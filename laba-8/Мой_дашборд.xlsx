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slicers/slicer1.xml" ContentType="application/vnd.ms-excel.slicer+xml"/>
  <Override PartName="/xl/comments1.xml" ContentType="application/vnd.openxmlformats-officedocument.spreadsheetml.comment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ml.chartshapes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550FB049-363E-4C6A-B32E-C269DFFE58B4}" xr6:coauthVersionLast="47" xr6:coauthVersionMax="47" xr10:uidLastSave="{00000000-0000-0000-0000-000000000000}"/>
  <bookViews>
    <workbookView xWindow="-108" yWindow="-108" windowWidth="30936" windowHeight="16896" tabRatio="774" activeTab="5" xr2:uid="{00000000-000D-0000-FFFF-FFFF00000000}"/>
  </bookViews>
  <sheets>
    <sheet name="Фин_промежут" sheetId="3" r:id="rId1"/>
    <sheet name="Прод_промежут" sheetId="5" r:id="rId2"/>
    <sheet name="Продажи" sheetId="2" r:id="rId3"/>
    <sheet name="Финансы" sheetId="1" r:id="rId4"/>
    <sheet name="Панель_Финансы" sheetId="4" r:id="rId5"/>
    <sheet name="Панель_Продажи" sheetId="6" r:id="rId6"/>
  </sheets>
  <definedNames>
    <definedName name="_xlnm._FilterDatabase" localSheetId="3" hidden="1">Финансы!$A$1:$G$901</definedName>
    <definedName name="Z_036E04B1_3915_470C_AE5E_C2CB6C7DE06A_.wvu.FilterData" localSheetId="3" hidden="1">Финансы!$A$1:$G$901</definedName>
    <definedName name="Данные_продукта">OFFSET(Прод_промежут!$N$2, 0, 0, 1, Прод_промежут!$L$1)</definedName>
    <definedName name="Срез_Квартал">#N/A</definedName>
  </definedNames>
  <calcPr calcId="191029"/>
  <pivotCaches>
    <pivotCache cacheId="0" r:id="rId7"/>
    <pivotCache cacheId="1" r:id="rId8"/>
    <pivotCache cacheId="2" r:id="rId9"/>
  </pivotCaches>
  <extLst>
    <ext xmlns:x14="http://schemas.microsoft.com/office/spreadsheetml/2009/9/main" uri="{BBE1A952-AA13-448e-AADC-164F8A28A991}">
      <x14:slicerCaches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" i="5" l="1" a="1"/>
  <c r="M1" i="5" s="1"/>
  <c r="H2" i="5"/>
  <c r="H5" i="5" s="1"/>
  <c r="E5" i="5"/>
  <c r="E6" i="5"/>
  <c r="E7" i="5"/>
  <c r="E8" i="5"/>
  <c r="E9" i="5"/>
  <c r="E4" i="5"/>
  <c r="E10" i="5" s="1"/>
  <c r="D5" i="5"/>
  <c r="D6" i="5"/>
  <c r="D7" i="5"/>
  <c r="D8" i="5"/>
  <c r="D9" i="5"/>
  <c r="D4" i="5"/>
  <c r="D10" i="5" s="1"/>
  <c r="C5" i="5"/>
  <c r="C6" i="5"/>
  <c r="C7" i="5"/>
  <c r="C8" i="5"/>
  <c r="C9" i="5"/>
  <c r="C4" i="5"/>
  <c r="C10" i="5" s="1"/>
  <c r="B5" i="5"/>
  <c r="B6" i="5"/>
  <c r="B7" i="5"/>
  <c r="B8" i="5"/>
  <c r="B9" i="5"/>
  <c r="B4" i="5"/>
  <c r="B10" i="5" s="1"/>
  <c r="F22" i="4"/>
  <c r="F23" i="4"/>
  <c r="F24" i="4"/>
  <c r="F25" i="4"/>
  <c r="F21" i="4"/>
  <c r="F27" i="4" s="1"/>
  <c r="E22" i="4"/>
  <c r="E23" i="4"/>
  <c r="E24" i="4"/>
  <c r="E25" i="4"/>
  <c r="E21" i="4"/>
  <c r="E27" i="4" s="1"/>
  <c r="D22" i="4"/>
  <c r="D23" i="4"/>
  <c r="D24" i="4"/>
  <c r="D25" i="4"/>
  <c r="D21" i="4"/>
  <c r="D27" i="4" s="1"/>
  <c r="C22" i="4"/>
  <c r="C23" i="4"/>
  <c r="C24" i="4"/>
  <c r="C25" i="4"/>
  <c r="C21" i="4"/>
  <c r="C27" i="4" s="1"/>
  <c r="O2" i="5" l="1"/>
  <c r="N2" i="5"/>
  <c r="P2" i="5"/>
  <c r="Q2" i="5"/>
  <c r="H3" i="5"/>
  <c r="H4" i="5"/>
  <c r="H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15" authorId="0" shapeId="0" xr:uid="{B41330E2-1D04-4B91-8B40-46E0E668A8F7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<sst xmlns="http://schemas.openxmlformats.org/spreadsheetml/2006/main" count="22141" uniqueCount="73">
  <si>
    <t>Units</t>
  </si>
  <si>
    <t>Q1</t>
  </si>
  <si>
    <t>EMA</t>
  </si>
  <si>
    <t>Germany</t>
  </si>
  <si>
    <t>Visual</t>
  </si>
  <si>
    <t>uLight Flashlight</t>
  </si>
  <si>
    <t>Q2</t>
  </si>
  <si>
    <t>Adhesive</t>
  </si>
  <si>
    <t>Indigo Strong Tape</t>
  </si>
  <si>
    <t>Q3</t>
  </si>
  <si>
    <t>Sun Danron Sunglasses</t>
  </si>
  <si>
    <t>Q4</t>
  </si>
  <si>
    <t>Foods</t>
  </si>
  <si>
    <t>Key Kix Kandy</t>
  </si>
  <si>
    <t>Americas</t>
  </si>
  <si>
    <t>Canada</t>
  </si>
  <si>
    <t>HotNamHold Spicy Candy</t>
  </si>
  <si>
    <t>Gravetom Glue</t>
  </si>
  <si>
    <t>United States</t>
  </si>
  <si>
    <t>Japan</t>
  </si>
  <si>
    <t>France</t>
  </si>
  <si>
    <t>United Kingdom</t>
  </si>
  <si>
    <t>Peru</t>
  </si>
  <si>
    <t>Mexico</t>
  </si>
  <si>
    <t>Brazil</t>
  </si>
  <si>
    <t>Argentina</t>
  </si>
  <si>
    <t>Italy</t>
  </si>
  <si>
    <t>Asia Pacific</t>
  </si>
  <si>
    <t>Australia</t>
  </si>
  <si>
    <t>India</t>
  </si>
  <si>
    <t>Other LatAm</t>
  </si>
  <si>
    <t>Other Europe</t>
  </si>
  <si>
    <t>Caribbean</t>
  </si>
  <si>
    <t>Africa</t>
  </si>
  <si>
    <t>Kenya</t>
  </si>
  <si>
    <t>South Africa</t>
  </si>
  <si>
    <t>Other NorthAm</t>
  </si>
  <si>
    <t>Chile</t>
  </si>
  <si>
    <t>China</t>
  </si>
  <si>
    <t>Egypt</t>
  </si>
  <si>
    <t>Morocco</t>
  </si>
  <si>
    <t>Other Africa</t>
  </si>
  <si>
    <t>Other Asia</t>
  </si>
  <si>
    <t>Los Angeles</t>
  </si>
  <si>
    <t>Product Margin</t>
  </si>
  <si>
    <t>Sales</t>
  </si>
  <si>
    <t>Materials</t>
  </si>
  <si>
    <t>Labor</t>
  </si>
  <si>
    <t>Overhead</t>
  </si>
  <si>
    <t>Product Margin %</t>
  </si>
  <si>
    <t>San Francisco</t>
  </si>
  <si>
    <t>San Diego</t>
  </si>
  <si>
    <t>Sacramento</t>
  </si>
  <si>
    <t>Квартал</t>
  </si>
  <si>
    <t>Регион</t>
  </si>
  <si>
    <t>Страна</t>
  </si>
  <si>
    <t>Категория</t>
  </si>
  <si>
    <t>Продукт</t>
  </si>
  <si>
    <t>Сумма</t>
  </si>
  <si>
    <t>Параметр</t>
  </si>
  <si>
    <t>Значение</t>
  </si>
  <si>
    <t>Единиц</t>
  </si>
  <si>
    <t>Названия строк</t>
  </si>
  <si>
    <t>Общий итог</t>
  </si>
  <si>
    <t>Сумма по полю Единиц</t>
  </si>
  <si>
    <t>(пусто)</t>
  </si>
  <si>
    <t>Сумма по полю Сумма</t>
  </si>
  <si>
    <t>Сумма по полю Q1</t>
  </si>
  <si>
    <t>Сумма по полю Q2</t>
  </si>
  <si>
    <t>Сумма по полю Q3</t>
  </si>
  <si>
    <t>Сумма по полю Q4</t>
  </si>
  <si>
    <t>К дашборду Продажи</t>
  </si>
  <si>
    <t>Итог: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</si>
</sst>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color rgb="FFF9FAFB"/>
      <name val="Consolas"/>
      <family val="3"/>
      <charset val="204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  <charset val="204"/>
    </font>
    <font>
      <b/>
      <i/>
      <sz val="18"/>
      <color rgb="FFFF0000"/>
      <name val="Calibri"/>
      <family val="2"/>
      <charset val="204"/>
      <scheme val="minor"/>
    </font>
    <font>
      <sz val="8"/>
      <color rgb="FF000000"/>
      <name val="Segoe U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8" fillId="0" borderId="0" applyNumberFormat="0" applyFill="0" applyBorder="0" applyAlignment="0" applyProtection="0"/>
  </cellStyleXfs>
  <cellXfs count="36">
    <xf numFmtId="0" fontId="0" fillId="0" borderId="0" xfId="0"/>
    <xf numFmtId="0" fontId="0" fillId="3" borderId="1" xfId="0" applyFont="1" applyFill="1" applyBorder="1"/>
    <xf numFmtId="49" fontId="0" fillId="3" borderId="1" xfId="0" applyNumberFormat="1" applyFont="1" applyFill="1" applyBorder="1"/>
    <xf numFmtId="0" fontId="0" fillId="0" borderId="1" xfId="0" applyFont="1" applyBorder="1"/>
    <xf numFmtId="49" fontId="0" fillId="0" borderId="1" xfId="0" applyNumberFormat="1" applyFont="1" applyBorder="1"/>
    <xf numFmtId="0" fontId="3" fillId="0" borderId="0" xfId="1" applyFont="1"/>
    <xf numFmtId="3" fontId="4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left"/>
    </xf>
    <xf numFmtId="1" fontId="4" fillId="0" borderId="0" xfId="1" applyNumberFormat="1" applyFont="1" applyAlignment="1">
      <alignment horizontal="left"/>
    </xf>
    <xf numFmtId="0" fontId="4" fillId="0" borderId="0" xfId="1" applyFont="1"/>
    <xf numFmtId="0" fontId="4" fillId="0" borderId="0" xfId="1" applyFont="1" applyAlignment="1">
      <alignment horizontal="center"/>
    </xf>
    <xf numFmtId="1" fontId="4" fillId="0" borderId="0" xfId="1" applyNumberFormat="1" applyFont="1" applyAlignment="1">
      <alignment horizontal="center"/>
    </xf>
    <xf numFmtId="4" fontId="4" fillId="0" borderId="0" xfId="1" applyNumberFormat="1" applyFont="1" applyAlignment="1">
      <alignment horizontal="right"/>
    </xf>
    <xf numFmtId="3" fontId="4" fillId="0" borderId="0" xfId="1" applyNumberFormat="1" applyFont="1" applyAlignment="1"/>
    <xf numFmtId="0" fontId="1" fillId="2" borderId="2" xfId="0" applyFont="1" applyFill="1" applyBorder="1" applyAlignment="1">
      <alignment horizontal="center" vertical="center"/>
    </xf>
    <xf numFmtId="3" fontId="5" fillId="0" borderId="0" xfId="1" applyNumberFormat="1" applyFont="1" applyAlignment="1">
      <alignment horizontal="center"/>
    </xf>
    <xf numFmtId="1" fontId="5" fillId="0" borderId="0" xfId="1" applyNumberFormat="1" applyFont="1" applyAlignment="1">
      <alignment horizontal="center"/>
    </xf>
    <xf numFmtId="3" fontId="5" fillId="0" borderId="0" xfId="1" applyNumberFormat="1" applyFont="1" applyAlignment="1">
      <alignment horizontal="center" vertical="center"/>
    </xf>
    <xf numFmtId="4" fontId="5" fillId="0" borderId="0" xfId="1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NumberFormat="1"/>
    <xf numFmtId="0" fontId="7" fillId="0" borderId="0" xfId="0" applyFont="1"/>
    <xf numFmtId="1" fontId="3" fillId="4" borderId="0" xfId="1" applyNumberFormat="1" applyFont="1" applyFill="1" applyAlignment="1">
      <alignment horizontal="left"/>
    </xf>
    <xf numFmtId="0" fontId="6" fillId="4" borderId="0" xfId="0" applyFont="1" applyFill="1"/>
    <xf numFmtId="0" fontId="0" fillId="5" borderId="0" xfId="0" applyFill="1"/>
    <xf numFmtId="0" fontId="6" fillId="0" borderId="0" xfId="0" applyFont="1"/>
    <xf numFmtId="0" fontId="8" fillId="0" borderId="0" xfId="2"/>
    <xf numFmtId="0" fontId="10" fillId="6" borderId="0" xfId="2" applyFont="1" applyFill="1" applyAlignment="1">
      <alignment horizontal="center" vertical="center"/>
    </xf>
    <xf numFmtId="0" fontId="0" fillId="7" borderId="0" xfId="0" applyFill="1"/>
    <xf numFmtId="0" fontId="3" fillId="8" borderId="2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6" borderId="0" xfId="0" applyFont="1" applyFill="1" applyBorder="1" applyAlignment="1">
      <alignment horizontal="center"/>
    </xf>
    <xf numFmtId="0" fontId="6" fillId="6" borderId="0" xfId="0" applyFont="1" applyFill="1"/>
    <xf numFmtId="0" fontId="0" fillId="9" borderId="1" xfId="0" applyFont="1" applyFill="1" applyBorder="1"/>
  </cellXfs>
  <cellStyles count="3">
    <cellStyle name="Normal 3" xfId="1" xr:uid="{00000000-0005-0000-0000-000000000000}"/>
    <cellStyle name="Гиперссылка" xfId="2" builtinId="8"/>
    <cellStyle name="Обычный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eetMetadata" Target="metadata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[Мой_дашборд.xlsx]Фин_промежут!Сводная таблица3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0" i="0" u="none" strike="noStrike" baseline="0">
                <a:effectLst/>
              </a:rPr>
              <a:t>Продажи, тыс. ед.</a:t>
            </a:r>
            <a:endParaRPr lang="ru-RU"/>
          </a:p>
        </c:rich>
      </c:tx>
      <c:layout>
        <c:manualLayout>
          <c:xMode val="edge"/>
          <c:yMode val="edge"/>
          <c:x val="0.33034011373578304"/>
          <c:y val="4.5275590551181105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680314960629921"/>
          <c:y val="0.18198855351414409"/>
          <c:w val="0.83291469816272967"/>
          <c:h val="0.637558690580344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Фин_промежут!$B$3</c:f>
              <c:strCache>
                <c:ptCount val="1"/>
                <c:pt idx="0">
                  <c:v>Итог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Фин_промежут!$A$4:$A$5</c:f>
              <c:strCache>
                <c:ptCount val="1"/>
                <c:pt idx="0">
                  <c:v>Q4</c:v>
                </c:pt>
              </c:strCache>
            </c:strRef>
          </c:cat>
          <c:val>
            <c:numRef>
              <c:f>Фин_промежут!$B$4:$B$5</c:f>
              <c:numCache>
                <c:formatCode>General</c:formatCode>
                <c:ptCount val="1"/>
                <c:pt idx="0">
                  <c:v>66833.572756185473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1A-4736-8541-2AB6CD997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05999071"/>
        <c:axId val="305993311"/>
      </c:barChart>
      <c:catAx>
        <c:axId val="30599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5993311"/>
        <c:crosses val="autoZero"/>
        <c:auto val="1"/>
        <c:lblAlgn val="ctr"/>
        <c:lblOffset val="100"/>
        <c:noMultiLvlLbl val="0"/>
      </c:catAx>
      <c:valAx>
        <c:axId val="30599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599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[Мой_дашборд.xlsx]Фин_промежут!Сводная таблица6</c:name>
    <c:fmtId val="17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Фин_промежут!$B$30</c:f>
              <c:strCache>
                <c:ptCount val="1"/>
                <c:pt idx="0">
                  <c:v>Итог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Фин_промежут!$A$31:$A$37</c:f>
              <c:strCache>
                <c:ptCount val="6"/>
                <c:pt idx="0">
                  <c:v>Africa</c:v>
                </c:pt>
                <c:pt idx="1">
                  <c:v>Americas</c:v>
                </c:pt>
                <c:pt idx="2">
                  <c:v>Asia Pacific</c:v>
                </c:pt>
                <c:pt idx="3">
                  <c:v>EMA</c:v>
                </c:pt>
                <c:pt idx="4">
                  <c:v>Japan</c:v>
                </c:pt>
                <c:pt idx="5">
                  <c:v>(пусто)</c:v>
                </c:pt>
              </c:strCache>
            </c:strRef>
          </c:cat>
          <c:val>
            <c:numRef>
              <c:f>Фин_промежут!$B$31:$B$37</c:f>
              <c:numCache>
                <c:formatCode>General</c:formatCode>
                <c:ptCount val="6"/>
                <c:pt idx="0">
                  <c:v>3995647.5406374158</c:v>
                </c:pt>
                <c:pt idx="1">
                  <c:v>51658196.090519346</c:v>
                </c:pt>
                <c:pt idx="2">
                  <c:v>27546630.476876516</c:v>
                </c:pt>
                <c:pt idx="3">
                  <c:v>50028724.198956147</c:v>
                </c:pt>
                <c:pt idx="4">
                  <c:v>22568090.176577993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3-4951-9A93-160D4BB40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35825728"/>
        <c:axId val="1735826208"/>
      </c:barChart>
      <c:catAx>
        <c:axId val="173582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5826208"/>
        <c:crosses val="autoZero"/>
        <c:auto val="1"/>
        <c:lblAlgn val="ctr"/>
        <c:lblOffset val="100"/>
        <c:noMultiLvlLbl val="0"/>
      </c:catAx>
      <c:valAx>
        <c:axId val="173582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582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[Мой_дашборд.xlsx]Фин_промежут!Сводная таблица12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Доля, регион</a:t>
            </a:r>
            <a:endParaRPr lang="ru-RU"/>
          </a:p>
        </c:rich>
      </c:tx>
      <c:layout>
        <c:manualLayout>
          <c:xMode val="edge"/>
          <c:yMode val="edge"/>
          <c:x val="0.31827077865266834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Фин_промежут!$B$56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71-4DE4-98FA-C2E8C1C6CE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71-4DE4-98FA-C2E8C1C6CE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C71-4DE4-98FA-C2E8C1C6CE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C71-4DE4-98FA-C2E8C1C6CE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C71-4DE4-98FA-C2E8C1C6CE9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C71-4DE4-98FA-C2E8C1C6CE96}"/>
              </c:ext>
            </c:extLst>
          </c:dPt>
          <c:cat>
            <c:strRef>
              <c:f>Фин_промежут!$A$57:$A$63</c:f>
              <c:strCache>
                <c:ptCount val="6"/>
                <c:pt idx="0">
                  <c:v>Africa</c:v>
                </c:pt>
                <c:pt idx="1">
                  <c:v>Americas</c:v>
                </c:pt>
                <c:pt idx="2">
                  <c:v>Asia Pacific</c:v>
                </c:pt>
                <c:pt idx="3">
                  <c:v>EMA</c:v>
                </c:pt>
                <c:pt idx="4">
                  <c:v>Japan</c:v>
                </c:pt>
                <c:pt idx="5">
                  <c:v>(пусто)</c:v>
                </c:pt>
              </c:strCache>
            </c:strRef>
          </c:cat>
          <c:val>
            <c:numRef>
              <c:f>Фин_промежут!$B$57:$B$63</c:f>
              <c:numCache>
                <c:formatCode>General</c:formatCode>
                <c:ptCount val="6"/>
                <c:pt idx="0">
                  <c:v>3995647.5406374158</c:v>
                </c:pt>
                <c:pt idx="1">
                  <c:v>51658196.090519346</c:v>
                </c:pt>
                <c:pt idx="2">
                  <c:v>27546630.476876516</c:v>
                </c:pt>
                <c:pt idx="3">
                  <c:v>50028724.198956147</c:v>
                </c:pt>
                <c:pt idx="4">
                  <c:v>22568090.176577993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5-486D-9FB9-A809D9674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rich>
      </c:tx>
      <c:layout>
        <c:manualLayout>
          <c:xMode val="edge"/>
          <c:yMode val="edge"/>
          <c:x val="0.3094582239720035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2D4-4430-999A-002E2B58F3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2D4-4430-999A-002E2B58F3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2D4-4430-999A-002E2B58F3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Прод_промежут!$G$4:$G$6</c:f>
              <c:strCache>
                <c:ptCount val="3"/>
                <c:pt idx="0">
                  <c:v>Adhesive</c:v>
                </c:pt>
                <c:pt idx="1">
                  <c:v>Foods</c:v>
                </c:pt>
                <c:pt idx="2">
                  <c:v>Visual</c:v>
                </c:pt>
              </c:strCache>
            </c:strRef>
          </c:cat>
          <c:val>
            <c:numRef>
              <c:f>Прод_промежут!$H$4:$H$6</c:f>
              <c:numCache>
                <c:formatCode>General</c:formatCode>
                <c:ptCount val="3"/>
                <c:pt idx="0">
                  <c:v>38903842.999999993</c:v>
                </c:pt>
                <c:pt idx="1">
                  <c:v>66385690.319999978</c:v>
                </c:pt>
                <c:pt idx="2">
                  <c:v>3754916.3999999971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2-4188-B758-B26DC89DF71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$M$1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Прод_промежут!$N$1:$Q$1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[0]!Данные_продукта</c:f>
              <c:numCache>
                <c:formatCode>General</c:formatCode>
                <c:ptCount val="4"/>
                <c:pt idx="0">
                  <c:v>2859410.5999999982</c:v>
                </c:pt>
                <c:pt idx="1">
                  <c:v>3654282.349999995</c:v>
                </c:pt>
                <c:pt idx="2">
                  <c:v>4154066.3999999976</c:v>
                </c:pt>
                <c:pt idx="3">
                  <c:v>4477898.4999999935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7-4F7D-956B-D68057EA2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6601600"/>
        <c:axId val="1856602560"/>
      </c:barChart>
      <c:catAx>
        <c:axId val="18566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6602560"/>
        <c:crosses val="autoZero"/>
        <c:auto val="1"/>
        <c:lblAlgn val="ctr"/>
        <c:lblOffset val="100"/>
        <c:noMultiLvlLbl val="0"/>
      </c:catAx>
      <c:valAx>
        <c:axId val="185660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6601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[Мой_дашборд.xlsx]Фин_промежут!Сводная таблица3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Единиц за период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Фин_промежут!$B$3</c:f>
              <c:strCache>
                <c:ptCount val="1"/>
                <c:pt idx="0">
                  <c:v>Итог</c:v>
                </c:pt>
              </c:strCache>
            </c:strRef>
          </c:tx>
          <c:invertIfNegative val="0"/>
          <c:cat>
            <c:strRef>
              <c:f>Фин_промежут!$A$4:$A$5</c:f>
              <c:strCache>
                <c:ptCount val="1"/>
                <c:pt idx="0">
                  <c:v>Q4</c:v>
                </c:pt>
              </c:strCache>
            </c:strRef>
          </c:cat>
          <c:val>
            <c:numRef>
              <c:f>Фин_промежут!$B$4:$B$5</c:f>
              <c:numCache>
                <c:formatCode>General</c:formatCode>
                <c:ptCount val="1"/>
                <c:pt idx="0">
                  <c:v>66833.572756185473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2B-416D-9C08-75C618C02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020512"/>
        <c:axId val="447021760"/>
      </c:barChart>
      <c:catAx>
        <c:axId val="44702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7021760"/>
        <c:crosses val="autoZero"/>
        <c:auto val="1"/>
        <c:lblAlgn val="ctr"/>
        <c:lblOffset val="100"/>
        <c:noMultiLvlLbl val="0"/>
      </c:catAx>
      <c:valAx>
        <c:axId val="44702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702051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[Мой_дашборд.xlsx]Фин_промежут!Сводная таблица4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Выручка по регионам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Фин_промежут!$I$3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Фин_промежут!$H$4:$H$9</c:f>
              <c:strCache>
                <c:ptCount val="5"/>
                <c:pt idx="0">
                  <c:v>Africa</c:v>
                </c:pt>
                <c:pt idx="1">
                  <c:v>Asia Pacific</c:v>
                </c:pt>
                <c:pt idx="2">
                  <c:v>Japan</c:v>
                </c:pt>
                <c:pt idx="3">
                  <c:v>EMA</c:v>
                </c:pt>
                <c:pt idx="4">
                  <c:v>Americas</c:v>
                </c:pt>
              </c:strCache>
            </c:strRef>
          </c:cat>
          <c:val>
            <c:numRef>
              <c:f>Фин_промежут!$I$4:$I$9</c:f>
              <c:numCache>
                <c:formatCode>0</c:formatCode>
                <c:ptCount val="5"/>
                <c:pt idx="0">
                  <c:v>3509.3237238264064</c:v>
                </c:pt>
                <c:pt idx="1">
                  <c:v>6206.8223869500889</c:v>
                </c:pt>
                <c:pt idx="2">
                  <c:v>7440.8874987086165</c:v>
                </c:pt>
                <c:pt idx="3">
                  <c:v>13743.555694345694</c:v>
                </c:pt>
                <c:pt idx="4">
                  <c:v>35932.983452354645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90-4C80-9D44-1C8650FC4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020512"/>
        <c:axId val="447021760"/>
      </c:barChart>
      <c:catAx>
        <c:axId val="44702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7021760"/>
        <c:crosses val="autoZero"/>
        <c:auto val="1"/>
        <c:lblAlgn val="ctr"/>
        <c:lblOffset val="100"/>
        <c:noMultiLvlLbl val="0"/>
      </c:catAx>
      <c:valAx>
        <c:axId val="44702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702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[Мой_дашборд.xlsx]Фин_промежут!Сводная таблица3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0" i="0" u="none" strike="noStrike" baseline="0">
                <a:effectLst/>
              </a:rPr>
              <a:t>Продажи, тыс. ед.</a:t>
            </a:r>
            <a:endParaRPr lang="ru-RU"/>
          </a:p>
        </c:rich>
      </c:tx>
      <c:layout>
        <c:manualLayout>
          <c:xMode val="edge"/>
          <c:yMode val="edge"/>
          <c:x val="0.29512895395117866"/>
          <c:y val="0.13884284201316938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989488989932598"/>
          <c:y val="0.29309987567343554"/>
          <c:w val="0.7272808768622232"/>
          <c:h val="0.473815904590873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Фин_промежут!$B$3</c:f>
              <c:strCache>
                <c:ptCount val="1"/>
                <c:pt idx="0">
                  <c:v>Итог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Фин_промежут!$A$4:$A$5</c:f>
              <c:strCache>
                <c:ptCount val="1"/>
                <c:pt idx="0">
                  <c:v>Q4</c:v>
                </c:pt>
              </c:strCache>
            </c:strRef>
          </c:cat>
          <c:val>
            <c:numRef>
              <c:f>Фин_промежут!$B$4:$B$5</c:f>
              <c:numCache>
                <c:formatCode>General</c:formatCode>
                <c:ptCount val="1"/>
                <c:pt idx="0">
                  <c:v>66833.572756185473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53-4DEB-9441-8AD1C61B2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05999071"/>
        <c:axId val="305993311"/>
      </c:barChart>
      <c:catAx>
        <c:axId val="30599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5993311"/>
        <c:crosses val="autoZero"/>
        <c:auto val="1"/>
        <c:lblAlgn val="ctr"/>
        <c:lblOffset val="100"/>
        <c:noMultiLvlLbl val="0"/>
      </c:catAx>
      <c:valAx>
        <c:axId val="30599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599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[Мой_дашборд.xlsx]Фин_промежут!Сводная таблица6</c:name>
    <c:fmtId val="21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Фин_промежут!$B$30</c:f>
              <c:strCache>
                <c:ptCount val="1"/>
                <c:pt idx="0">
                  <c:v>Итог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Фин_промежут!$A$31:$A$37</c:f>
              <c:strCache>
                <c:ptCount val="6"/>
                <c:pt idx="0">
                  <c:v>Africa</c:v>
                </c:pt>
                <c:pt idx="1">
                  <c:v>Americas</c:v>
                </c:pt>
                <c:pt idx="2">
                  <c:v>Asia Pacific</c:v>
                </c:pt>
                <c:pt idx="3">
                  <c:v>EMA</c:v>
                </c:pt>
                <c:pt idx="4">
                  <c:v>Japan</c:v>
                </c:pt>
                <c:pt idx="5">
                  <c:v>(пусто)</c:v>
                </c:pt>
              </c:strCache>
            </c:strRef>
          </c:cat>
          <c:val>
            <c:numRef>
              <c:f>Фин_промежут!$B$31:$B$37</c:f>
              <c:numCache>
                <c:formatCode>General</c:formatCode>
                <c:ptCount val="6"/>
                <c:pt idx="0">
                  <c:v>3995647.5406374158</c:v>
                </c:pt>
                <c:pt idx="1">
                  <c:v>51658196.090519346</c:v>
                </c:pt>
                <c:pt idx="2">
                  <c:v>27546630.476876516</c:v>
                </c:pt>
                <c:pt idx="3">
                  <c:v>50028724.198956147</c:v>
                </c:pt>
                <c:pt idx="4">
                  <c:v>22568090.176577993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F-41B3-A7B5-7789D89F5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35825728"/>
        <c:axId val="1735826208"/>
      </c:barChart>
      <c:catAx>
        <c:axId val="173582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5826208"/>
        <c:crosses val="autoZero"/>
        <c:auto val="1"/>
        <c:lblAlgn val="ctr"/>
        <c:lblOffset val="100"/>
        <c:noMultiLvlLbl val="0"/>
      </c:catAx>
      <c:valAx>
        <c:axId val="173582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582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[Мой_дашборд.xlsx]Фин_промежут!Сводная таблица12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Доля, регион</a:t>
            </a:r>
            <a:endParaRPr lang="ru-RU"/>
          </a:p>
        </c:rich>
      </c:tx>
      <c:layout>
        <c:manualLayout>
          <c:xMode val="edge"/>
          <c:yMode val="edge"/>
          <c:x val="0.31827077865266834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Фин_промежут!$B$56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A3-47DF-83E9-3D3C85B1DE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A3-47DF-83E9-3D3C85B1DE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A3-47DF-83E9-3D3C85B1DEC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7A3-47DF-83E9-3D3C85B1DEC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7A3-47DF-83E9-3D3C85B1DEC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7A3-47DF-83E9-3D3C85B1DEC4}"/>
              </c:ext>
            </c:extLst>
          </c:dPt>
          <c:cat>
            <c:strRef>
              <c:f>Фин_промежут!$A$57:$A$63</c:f>
              <c:strCache>
                <c:ptCount val="6"/>
                <c:pt idx="0">
                  <c:v>Africa</c:v>
                </c:pt>
                <c:pt idx="1">
                  <c:v>Americas</c:v>
                </c:pt>
                <c:pt idx="2">
                  <c:v>Asia Pacific</c:v>
                </c:pt>
                <c:pt idx="3">
                  <c:v>EMA</c:v>
                </c:pt>
                <c:pt idx="4">
                  <c:v>Japan</c:v>
                </c:pt>
                <c:pt idx="5">
                  <c:v>(пусто)</c:v>
                </c:pt>
              </c:strCache>
            </c:strRef>
          </c:cat>
          <c:val>
            <c:numRef>
              <c:f>Фин_промежут!$B$57:$B$63</c:f>
              <c:numCache>
                <c:formatCode>General</c:formatCode>
                <c:ptCount val="6"/>
                <c:pt idx="0">
                  <c:v>3995647.5406374158</c:v>
                </c:pt>
                <c:pt idx="1">
                  <c:v>51658196.090519346</c:v>
                </c:pt>
                <c:pt idx="2">
                  <c:v>27546630.476876516</c:v>
                </c:pt>
                <c:pt idx="3">
                  <c:v>50028724.198956147</c:v>
                </c:pt>
                <c:pt idx="4">
                  <c:v>22568090.176577993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7A3-47DF-83E9-3D3C85B1D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rich>
      </c:tx>
      <c:layout>
        <c:manualLayout>
          <c:xMode val="edge"/>
          <c:yMode val="edge"/>
          <c:x val="0.3094582239720035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857-4465-B0A2-C5E2B0DAB3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857-4465-B0A2-C5E2B0DAB3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857-4465-B0A2-C5E2B0DAB3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Прод_промежут!$G$4:$G$6</c:f>
              <c:strCache>
                <c:ptCount val="3"/>
                <c:pt idx="0">
                  <c:v>Adhesive</c:v>
                </c:pt>
                <c:pt idx="1">
                  <c:v>Foods</c:v>
                </c:pt>
                <c:pt idx="2">
                  <c:v>Visual</c:v>
                </c:pt>
              </c:strCache>
            </c:strRef>
          </c:cat>
          <c:val>
            <c:numRef>
              <c:f>Прод_промежут!$H$4:$H$6</c:f>
              <c:numCache>
                <c:formatCode>General</c:formatCode>
                <c:ptCount val="3"/>
                <c:pt idx="0">
                  <c:v>38903842.999999993</c:v>
                </c:pt>
                <c:pt idx="1">
                  <c:v>66385690.319999978</c:v>
                </c:pt>
                <c:pt idx="2">
                  <c:v>3754916.3999999971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57-4465-B0A2-C5E2B0DAB36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$M$1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Прод_промежут!$N$1:$Q$1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[0]!Данные_продукта</c:f>
              <c:numCache>
                <c:formatCode>General</c:formatCode>
                <c:ptCount val="4"/>
                <c:pt idx="0">
                  <c:v>2859410.5999999982</c:v>
                </c:pt>
                <c:pt idx="1">
                  <c:v>3654282.349999995</c:v>
                </c:pt>
                <c:pt idx="2">
                  <c:v>4154066.3999999976</c:v>
                </c:pt>
                <c:pt idx="3">
                  <c:v>4477898.4999999935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1-48D6-BBCD-8FFD1B279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6601600"/>
        <c:axId val="1856602560"/>
      </c:barChart>
      <c:catAx>
        <c:axId val="18566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6602560"/>
        <c:crosses val="autoZero"/>
        <c:auto val="1"/>
        <c:lblAlgn val="ctr"/>
        <c:lblOffset val="100"/>
        <c:noMultiLvlLbl val="0"/>
      </c:catAx>
      <c:valAx>
        <c:axId val="185660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6601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Radio" checked="Checked" firstButton="1" fmlaLink="$I$2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Drop" dropLines="6" dropStyle="combo" dx="26" fmlaLink="$K$1" fmlaRange="$A$4:$A$9" noThreeD="1" sel="2" val="0"/>
</file>

<file path=xl/ctrlProps/ctrlProp7.xml><?xml version="1.0" encoding="utf-8"?>
<formControlPr xmlns="http://schemas.microsoft.com/office/spreadsheetml/2009/9/main" objectType="Scroll" dx="26" fmlaLink="$L$1" max="4" min="1" page="10" val="4"/>
</file>

<file path=xl/ctrlProps/ctrlProp8.xml><?xml version="1.0" encoding="utf-8"?>
<formControlPr xmlns="http://schemas.microsoft.com/office/spreadsheetml/2009/9/main" objectType="Scroll" dx="26" fmlaLink="Прод_промежут!$L$1" max="4" min="1" page="10" val="4"/>
</file>

<file path=xl/ctrlProps/ctrlProp9.xml><?xml version="1.0" encoding="utf-8"?>
<formControlPr xmlns="http://schemas.microsoft.com/office/spreadsheetml/2009/9/main" objectType="Drop" dropLines="6" dropStyle="combo" dx="26" fmlaLink="Прод_промежут!$K$1" fmlaRange="Прод_промежут!$A$4:$A$9" noThreeD="1" sel="2" val="0"/>
</file>

<file path=xl/ctrlProps/ctrlProp10.xml><?xml version="1.0" encoding="utf-8"?>
<formControlPr xmlns="http://schemas.microsoft.com/office/spreadsheetml/2009/9/main" objectType="GBox" noThreeD="1"/>
</file>

<file path=xl/ctrlProps/ctrlProp11.xml><?xml version="1.0" encoding="utf-8"?>
<formControlPr xmlns="http://schemas.microsoft.com/office/spreadsheetml/2009/9/main" objectType="Radio" checked="Checked" firstButton="1" fmlaLink="Прод_промежут!$I$2" lockText="1" noThreeD="1"/>
</file>

<file path=xl/ctrlProps/ctrlProp12.xml><?xml version="1.0" encoding="utf-8"?>
<formControlPr xmlns="http://schemas.microsoft.com/office/spreadsheetml/2009/9/main" objectType="Radio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3</xdr:col>
      <xdr:colOff>396240</xdr:colOff>
      <xdr:row>24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AA8633E-4F09-3FB4-5C5B-5F85594F6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38</xdr:row>
      <xdr:rowOff>7620</xdr:rowOff>
    </xdr:from>
    <xdr:to>
      <xdr:col>3</xdr:col>
      <xdr:colOff>434340</xdr:colOff>
      <xdr:row>53</xdr:row>
      <xdr:rowOff>7620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52F5205-0F2C-F601-CE45-883FDE94C4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64</xdr:row>
      <xdr:rowOff>15240</xdr:rowOff>
    </xdr:from>
    <xdr:to>
      <xdr:col>3</xdr:col>
      <xdr:colOff>434340</xdr:colOff>
      <xdr:row>79</xdr:row>
      <xdr:rowOff>15240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A77E458-BEC9-6D2D-D32E-B7189D0AB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11</xdr:row>
      <xdr:rowOff>45720</xdr:rowOff>
    </xdr:from>
    <xdr:to>
      <xdr:col>9</xdr:col>
      <xdr:colOff>91440</xdr:colOff>
      <xdr:row>26</xdr:row>
      <xdr:rowOff>45720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E777560-6EBA-E567-0ECF-3BF83123B1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594360</xdr:colOff>
          <xdr:row>14</xdr:row>
          <xdr:rowOff>137160</xdr:rowOff>
        </xdr:from>
        <xdr:to>
          <xdr:col>3</xdr:col>
          <xdr:colOff>586740</xdr:colOff>
          <xdr:row>22</xdr:row>
          <xdr:rowOff>60960</xdr:rowOff>
        </xdr:to>
        <xdr:sp macro="" textlink="">
          <xdr:nvSpPr>
            <xdr:cNvPr id="4101" name="Group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670560</xdr:colOff>
          <xdr:row>16</xdr:row>
          <xdr:rowOff>53340</xdr:rowOff>
        </xdr:from>
        <xdr:to>
          <xdr:col>3</xdr:col>
          <xdr:colOff>495300</xdr:colOff>
          <xdr:row>17</xdr:row>
          <xdr:rowOff>91440</xdr:rowOff>
        </xdr:to>
        <xdr:sp macro="" textlink="">
          <xdr:nvSpPr>
            <xdr:cNvPr id="4103" name="Option Button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1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662940</xdr:colOff>
          <xdr:row>17</xdr:row>
          <xdr:rowOff>83820</xdr:rowOff>
        </xdr:from>
        <xdr:to>
          <xdr:col>3</xdr:col>
          <xdr:colOff>464820</xdr:colOff>
          <xdr:row>18</xdr:row>
          <xdr:rowOff>121920</xdr:rowOff>
        </xdr:to>
        <xdr:sp macro="" textlink="">
          <xdr:nvSpPr>
            <xdr:cNvPr id="4104" name="Option Button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1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662940</xdr:colOff>
          <xdr:row>19</xdr:row>
          <xdr:rowOff>175260</xdr:rowOff>
        </xdr:from>
        <xdr:to>
          <xdr:col>3</xdr:col>
          <xdr:colOff>441960</xdr:colOff>
          <xdr:row>21</xdr:row>
          <xdr:rowOff>30480</xdr:rowOff>
        </xdr:to>
        <xdr:sp macro="" textlink="">
          <xdr:nvSpPr>
            <xdr:cNvPr id="4106" name="Option Button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678180</xdr:colOff>
          <xdr:row>18</xdr:row>
          <xdr:rowOff>129540</xdr:rowOff>
        </xdr:from>
        <xdr:to>
          <xdr:col>3</xdr:col>
          <xdr:colOff>373380</xdr:colOff>
          <xdr:row>19</xdr:row>
          <xdr:rowOff>167640</xdr:rowOff>
        </xdr:to>
        <xdr:sp macro="" textlink="">
          <xdr:nvSpPr>
            <xdr:cNvPr id="4107" name="Option Button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22860</xdr:colOff>
          <xdr:row>23</xdr:row>
          <xdr:rowOff>167640</xdr:rowOff>
        </xdr:from>
        <xdr:to>
          <xdr:col>17</xdr:col>
          <xdr:colOff>327660</xdr:colOff>
          <xdr:row>25</xdr:row>
          <xdr:rowOff>114300</xdr:rowOff>
        </xdr:to>
        <xdr:sp macro="" textlink="">
          <xdr:nvSpPr>
            <xdr:cNvPr id="4109" name="Drop Down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1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335280</xdr:colOff>
          <xdr:row>9</xdr:row>
          <xdr:rowOff>0</xdr:rowOff>
        </xdr:from>
        <xdr:to>
          <xdr:col>18</xdr:col>
          <xdr:colOff>99060</xdr:colOff>
          <xdr:row>25</xdr:row>
          <xdr:rowOff>114300</xdr:rowOff>
        </xdr:to>
        <xdr:sp macro="" textlink="">
          <xdr:nvSpPr>
            <xdr:cNvPr id="4110" name="Scroll Bar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1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12</xdr:col>
      <xdr:colOff>22860</xdr:colOff>
      <xdr:row>8</xdr:row>
      <xdr:rowOff>171450</xdr:rowOff>
    </xdr:from>
    <xdr:to>
      <xdr:col>17</xdr:col>
      <xdr:colOff>331470</xdr:colOff>
      <xdr:row>23</xdr:row>
      <xdr:rowOff>171450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410FB32-5167-AC1B-C60E-579BDF59B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0.29833</cdr:x>
      <cdr:y>0.06667</cdr:y>
    </cdr:from>
    <cdr:to>
      <cdr:x>0.72833</cdr:x>
      <cdr:y>0.16111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411CCEC-886D-060C-C5B8-F6E6E61130EF}"/>
            </a:ext>
          </a:extLst>
        </cdr:cNvPr>
        <cdr:cNvSpPr txBox="1"/>
      </cdr:nvSpPr>
      <cdr:spPr>
        <a:xfrm xmlns:a="http://schemas.openxmlformats.org/drawingml/2006/main">
          <a:off x="1363980" y="182880"/>
          <a:ext cx="1965960" cy="259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0.41833</cdr:x>
      <cdr:y>0.03056</cdr:y>
    </cdr:from>
    <cdr:to>
      <cdr:x>0.60167</cdr:x>
      <cdr:y>0.14722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FC903E2-F26A-8EFB-3BE4-0C841CC3BAFB}"/>
            </a:ext>
          </a:extLst>
        </cdr:cNvPr>
        <cdr:cNvSpPr txBox="1"/>
      </cdr:nvSpPr>
      <cdr:spPr>
        <a:xfrm xmlns:a="http://schemas.openxmlformats.org/drawingml/2006/main">
          <a:off x="1912620" y="83820"/>
          <a:ext cx="83820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ru-RU" sz="1200" b="1" i="1"/>
            <a:t>Продажи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27</xdr:row>
      <xdr:rowOff>76201</xdr:rowOff>
    </xdr:from>
    <xdr:to>
      <xdr:col>4</xdr:col>
      <xdr:colOff>7620</xdr:colOff>
      <xdr:row>45</xdr:row>
      <xdr:rowOff>15241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E670B64-81A5-48C4-B882-B45B1A910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607695</xdr:colOff>
      <xdr:row>1</xdr:row>
      <xdr:rowOff>7620</xdr:rowOff>
    </xdr:from>
    <xdr:to>
      <xdr:col>5</xdr:col>
      <xdr:colOff>38100</xdr:colOff>
      <xdr:row>19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0FE2BE2-5165-476E-89AC-8A47D9C31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34290</xdr:colOff>
      <xdr:row>19</xdr:row>
      <xdr:rowOff>13335</xdr:rowOff>
    </xdr:from>
    <xdr:to>
      <xdr:col>8</xdr:col>
      <xdr:colOff>400050</xdr:colOff>
      <xdr:row>26</xdr:row>
      <xdr:rowOff>5715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Квартал">
              <a:extLst>
                <a:ext uri="{FF2B5EF4-FFF2-40B4-BE49-F238E27FC236}">
                  <a16:creationId xmlns:a16="http://schemas.microsoft.com/office/drawing/2014/main" id="{97975904-9339-45D8-8206-7F05CCB743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вартал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80710" y="3488055"/>
              <a:ext cx="1828800" cy="1386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4</xdr:col>
      <xdr:colOff>7620</xdr:colOff>
      <xdr:row>27</xdr:row>
      <xdr:rowOff>83820</xdr:rowOff>
    </xdr:from>
    <xdr:to>
      <xdr:col>7</xdr:col>
      <xdr:colOff>617220</xdr:colOff>
      <xdr:row>45</xdr:row>
      <xdr:rowOff>15240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53F05D8-1F8C-4721-B663-AAFB93F740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617220</xdr:colOff>
      <xdr:row>27</xdr:row>
      <xdr:rowOff>91440</xdr:rowOff>
    </xdr:from>
    <xdr:to>
      <xdr:col>10</xdr:col>
      <xdr:colOff>2286000</xdr:colOff>
      <xdr:row>45</xdr:row>
      <xdr:rowOff>22860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6786FA6-7DCA-46B0-B497-84BBDAC754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30480</xdr:colOff>
      <xdr:row>1</xdr:row>
      <xdr:rowOff>7620</xdr:rowOff>
    </xdr:from>
    <xdr:to>
      <xdr:col>10</xdr:col>
      <xdr:colOff>137160</xdr:colOff>
      <xdr:row>19</xdr:row>
      <xdr:rowOff>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D9C5EDCC-CCCD-4A3A-89FC-396EAD956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320040</xdr:colOff>
          <xdr:row>4</xdr:row>
          <xdr:rowOff>30480</xdr:rowOff>
        </xdr:from>
        <xdr:to>
          <xdr:col>11</xdr:col>
          <xdr:colOff>0</xdr:colOff>
          <xdr:row>12</xdr:row>
          <xdr:rowOff>38100</xdr:rowOff>
        </xdr:to>
        <xdr:pic>
          <xdr:nvPicPr>
            <xdr:cNvPr id="2" name="Рисунок 1">
              <a:extLst>
                <a:ext uri="{FF2B5EF4-FFF2-40B4-BE49-F238E27FC236}">
                  <a16:creationId xmlns:a16="http://schemas.microsoft.com/office/drawing/2014/main" id="{20B7A140-FAE3-C8C6-E2FE-D9B12A96B84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Прод_промежут!$A$3:$E$10" spid="_x0000_s515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148840" y="762000"/>
              <a:ext cx="4556760" cy="14706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3</xdr:col>
      <xdr:colOff>312420</xdr:colOff>
      <xdr:row>12</xdr:row>
      <xdr:rowOff>45720</xdr:rowOff>
    </xdr:from>
    <xdr:to>
      <xdr:col>11</xdr:col>
      <xdr:colOff>7620</xdr:colOff>
      <xdr:row>29</xdr:row>
      <xdr:rowOff>144780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594A6EB-EDB3-4856-83BE-F6EC2C5F5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7620</xdr:colOff>
      <xdr:row>4</xdr:row>
      <xdr:rowOff>15240</xdr:rowOff>
    </xdr:from>
    <xdr:to>
      <xdr:col>21</xdr:col>
      <xdr:colOff>30480</xdr:colOff>
      <xdr:row>28</xdr:row>
      <xdr:rowOff>15240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F7E66E69-AB23-454F-AB26-2465A50D7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30480</xdr:colOff>
          <xdr:row>4</xdr:row>
          <xdr:rowOff>7620</xdr:rowOff>
        </xdr:from>
        <xdr:to>
          <xdr:col>21</xdr:col>
          <xdr:colOff>403860</xdr:colOff>
          <xdr:row>28</xdr:row>
          <xdr:rowOff>30480</xdr:rowOff>
        </xdr:to>
        <xdr:sp macro="" textlink="">
          <xdr:nvSpPr>
            <xdr:cNvPr id="5132" name="Scroll Bar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5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</xdr:colOff>
          <xdr:row>28</xdr:row>
          <xdr:rowOff>15240</xdr:rowOff>
        </xdr:from>
        <xdr:to>
          <xdr:col>21</xdr:col>
          <xdr:colOff>411480</xdr:colOff>
          <xdr:row>29</xdr:row>
          <xdr:rowOff>144780</xdr:rowOff>
        </xdr:to>
        <xdr:sp macro="" textlink="">
          <xdr:nvSpPr>
            <xdr:cNvPr id="5133" name="Drop Down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5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320040</xdr:colOff>
          <xdr:row>16</xdr:row>
          <xdr:rowOff>30480</xdr:rowOff>
        </xdr:from>
        <xdr:to>
          <xdr:col>4</xdr:col>
          <xdr:colOff>449580</xdr:colOff>
          <xdr:row>26</xdr:row>
          <xdr:rowOff>53340</xdr:rowOff>
        </xdr:to>
        <xdr:sp macro="" textlink="">
          <xdr:nvSpPr>
            <xdr:cNvPr id="5134" name="Group Box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5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335280</xdr:colOff>
          <xdr:row>18</xdr:row>
          <xdr:rowOff>7620</xdr:rowOff>
        </xdr:from>
        <xdr:to>
          <xdr:col>4</xdr:col>
          <xdr:colOff>373380</xdr:colOff>
          <xdr:row>19</xdr:row>
          <xdr:rowOff>45720</xdr:rowOff>
        </xdr:to>
        <xdr:sp macro="" textlink="">
          <xdr:nvSpPr>
            <xdr:cNvPr id="5135" name="Option Button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5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327660</xdr:colOff>
          <xdr:row>19</xdr:row>
          <xdr:rowOff>83820</xdr:rowOff>
        </xdr:from>
        <xdr:to>
          <xdr:col>4</xdr:col>
          <xdr:colOff>312420</xdr:colOff>
          <xdr:row>20</xdr:row>
          <xdr:rowOff>152400</xdr:rowOff>
        </xdr:to>
        <xdr:sp macro="" textlink="">
          <xdr:nvSpPr>
            <xdr:cNvPr id="5136" name="Option Button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5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350520</xdr:colOff>
          <xdr:row>20</xdr:row>
          <xdr:rowOff>129540</xdr:rowOff>
        </xdr:from>
        <xdr:to>
          <xdr:col>4</xdr:col>
          <xdr:colOff>335280</xdr:colOff>
          <xdr:row>22</xdr:row>
          <xdr:rowOff>121920</xdr:rowOff>
        </xdr:to>
        <xdr:sp macro="" textlink="">
          <xdr:nvSpPr>
            <xdr:cNvPr id="5137" name="Option Button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5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335280</xdr:colOff>
          <xdr:row>22</xdr:row>
          <xdr:rowOff>53340</xdr:rowOff>
        </xdr:from>
        <xdr:to>
          <xdr:col>4</xdr:col>
          <xdr:colOff>365760</xdr:colOff>
          <xdr:row>24</xdr:row>
          <xdr:rowOff>38100</xdr:rowOff>
        </xdr:to>
        <xdr:sp macro="" textlink="">
          <xdr:nvSpPr>
            <xdr:cNvPr id="5138" name="Option Button 18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5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Q4</a:t>
              </a:r>
            </a:p>
          </xdr:txBody>
        </xdr:sp>
        <xdr:clientData/>
      </xdr:twoCellAnchor>
    </mc:Choice>
    <mc:Fallback/>
  </mc:AlternateContent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0.29833</cdr:x>
      <cdr:y>0.06667</cdr:y>
    </cdr:from>
    <cdr:to>
      <cdr:x>0.72833</cdr:x>
      <cdr:y>0.16111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411CCEC-886D-060C-C5B8-F6E6E61130EF}"/>
            </a:ext>
          </a:extLst>
        </cdr:cNvPr>
        <cdr:cNvSpPr txBox="1"/>
      </cdr:nvSpPr>
      <cdr:spPr>
        <a:xfrm xmlns:a="http://schemas.openxmlformats.org/drawingml/2006/main">
          <a:off x="1363980" y="182880"/>
          <a:ext cx="1965960" cy="259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0.41833</cdr:x>
      <cdr:y>0.03056</cdr:y>
    </cdr:from>
    <cdr:to>
      <cdr:x>0.60167</cdr:x>
      <cdr:y>0.14722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FC903E2-F26A-8EFB-3BE4-0C841CC3BAFB}"/>
            </a:ext>
          </a:extLst>
        </cdr:cNvPr>
        <cdr:cNvSpPr txBox="1"/>
      </cdr:nvSpPr>
      <cdr:spPr>
        <a:xfrm xmlns:a="http://schemas.openxmlformats.org/drawingml/2006/main">
          <a:off x="1912620" y="83820"/>
          <a:ext cx="83820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ru-RU" sz="1200" b="1" i="1"/>
            <a:t>Продажи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втор" refreshedDate="44162.520346064812" createdVersion="6" refreshedVersion="6" minRefreshableVersion="3" recordCount="900" xr:uid="{00000000-000A-0000-FFFF-FFFF00000000}">
  <cacheSource type="worksheet">
    <worksheetSource name="Финансы"/>
  </cacheSource>
  <cacheFields count="7">
    <cacheField name="Квартал" numFmtId="3">
      <sharedItems count="4">
        <s v="Q1"/>
        <s v="Q2"/>
        <s v="Q3"/>
        <s v="Q4"/>
      </sharedItems>
    </cacheField>
    <cacheField name="Регион" numFmtId="1">
      <sharedItems count="5">
        <s v="EMA"/>
        <s v="Americas"/>
        <s v="Japan"/>
        <s v="Asia Pacific"/>
        <s v="Africa"/>
      </sharedItems>
    </cacheField>
    <cacheField name="Страна" numFmtId="1">
      <sharedItems/>
    </cacheField>
    <cacheField name="Категория" numFmtId="1">
      <sharedItems count="3">
        <s v="Visual"/>
        <s v="Adhesive"/>
        <s v="Foods"/>
      </sharedItems>
    </cacheField>
    <cacheField name="Продукт" numFmtId="1">
      <sharedItems count="6">
        <s v="uLight Flashlight"/>
        <s v="Indigo Strong Tape"/>
        <s v="Sun Danron Sunglasses"/>
        <s v="Key Kix Kandy"/>
        <s v="HotNamHold Spicy Candy"/>
        <s v="Gravetom Glue"/>
      </sharedItems>
    </cacheField>
    <cacheField name="Единиц" numFmtId="3">
      <sharedItems containsSemiMixedTypes="0" containsString="0" containsNumber="1" minValue="2.0555408264044672E-2" maxValue="7492.0631670182047"/>
    </cacheField>
    <cacheField name="Сумма" numFmtId="4">
      <sharedItems containsSemiMixedTypes="0" containsString="0" containsNumber="1" minValue="8.437576100914157" maxValue="10301221.144948799"/>
    </cacheField>
  </cacheFields>
  <extLst>
    <ext xmlns:x14="http://schemas.microsoft.com/office/spreadsheetml/2009/9/main" uri="{725AE2AE-9491-48be-B2B4-4EB974FC3084}">
      <x14:pivotCacheDefinition pivotCacheId="71987083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втор" refreshedDate="46156.899272106479" createdVersion="8" refreshedVersion="8" minRefreshableVersion="3" recordCount="925" xr:uid="{058DA288-1B64-4313-A17C-C84636785E72}">
  <cacheSource type="worksheet">
    <worksheetSource ref="A1:G1048576" sheet="Финансы"/>
  </cacheSource>
  <cacheFields count="7">
    <cacheField name="Квартал" numFmtId="3">
      <sharedItems containsBlank="1" count="5">
        <s v="Q1"/>
        <s v="Q2"/>
        <s v="Q3"/>
        <s v="Q4"/>
        <m/>
      </sharedItems>
    </cacheField>
    <cacheField name="Регион" numFmtId="0">
      <sharedItems containsBlank="1" count="6">
        <s v="EMA"/>
        <s v="Americas"/>
        <s v="Japan"/>
        <s v="Asia Pacific"/>
        <s v="Africa"/>
        <m/>
      </sharedItems>
    </cacheField>
    <cacheField name="Страна" numFmtId="0">
      <sharedItems containsBlank="1"/>
    </cacheField>
    <cacheField name="Категория" numFmtId="0">
      <sharedItems containsBlank="1"/>
    </cacheField>
    <cacheField name="Продукт" numFmtId="0">
      <sharedItems containsBlank="1"/>
    </cacheField>
    <cacheField name="Единиц" numFmtId="0">
      <sharedItems containsString="0" containsBlank="1" containsNumber="1" minValue="2.0555408264044672E-2" maxValue="7492.0631670182047"/>
    </cacheField>
    <cacheField name="Сумма" numFmtId="4">
      <sharedItems containsString="0" containsBlank="1" containsNumber="1" minValue="8.437576100914157" maxValue="10301221.1449487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втор" refreshedDate="46156.914323611112" createdVersion="8" refreshedVersion="8" minRefreshableVersion="3" recordCount="7" xr:uid="{542FEF0A-24F5-4665-987D-9C20E71DC09A}">
  <cacheSource type="worksheet">
    <worksheetSource ref="B20:F27" sheet="Панель_Финансы"/>
  </cacheSource>
  <cacheFields count="5">
    <cacheField name="uLight Flashlight" numFmtId="0">
      <sharedItems containsBlank="1" count="6">
        <s v="Indigo Strong Tape"/>
        <s v="Sun Danron Sunglasses"/>
        <s v="Key Kix Kandy"/>
        <s v="HotNamHold Spicy Candy"/>
        <s v="Gravetom Glue"/>
        <m/>
      </sharedItems>
    </cacheField>
    <cacheField name="Q1" numFmtId="0">
      <sharedItems containsString="0" containsBlank="1" containsNumber="1" minValue="672392.18105339864" maxValue="30756006.92402786"/>
    </cacheField>
    <cacheField name="Q2" numFmtId="0">
      <sharedItems containsString="0" containsBlank="1" containsNumber="1" minValue="730756.93431061378" maxValue="28058251.209856071"/>
    </cacheField>
    <cacheField name="Q3" numFmtId="0">
      <sharedItems containsString="0" containsBlank="1" containsNumber="1" minValue="1641906.1038358856" maxValue="48165371.872154571"/>
    </cacheField>
    <cacheField name="Q4" numFmtId="0">
      <sharedItems containsString="0" containsBlank="1" containsNumber="1" minValue="2887291.8484658888" maxValue="24406524.5247312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0">
  <r>
    <x v="0"/>
    <x v="0"/>
    <s v="Germany"/>
    <x v="0"/>
    <x v="0"/>
    <n v="1388.481941894679"/>
    <n v="2694540.9328971165"/>
  </r>
  <r>
    <x v="1"/>
    <x v="0"/>
    <s v="Germany"/>
    <x v="1"/>
    <x v="1"/>
    <n v="796.63742255861507"/>
    <n v="1224742.5485414988"/>
  </r>
  <r>
    <x v="2"/>
    <x v="0"/>
    <s v="Germany"/>
    <x v="0"/>
    <x v="2"/>
    <n v="1687.1257263423104"/>
    <n v="6609701.0790499365"/>
  </r>
  <r>
    <x v="3"/>
    <x v="0"/>
    <s v="Germany"/>
    <x v="2"/>
    <x v="3"/>
    <n v="1626.7063714746957"/>
    <n v="2592600.4098612806"/>
  </r>
  <r>
    <x v="0"/>
    <x v="1"/>
    <s v="Canada"/>
    <x v="2"/>
    <x v="4"/>
    <n v="540.58685252966825"/>
    <n v="3498113.8460516375"/>
  </r>
  <r>
    <x v="1"/>
    <x v="1"/>
    <s v="Canada"/>
    <x v="1"/>
    <x v="5"/>
    <n v="133.09912498261838"/>
    <n v="329043.89482235274"/>
  </r>
  <r>
    <x v="2"/>
    <x v="1"/>
    <s v="Canada"/>
    <x v="0"/>
    <x v="0"/>
    <n v="700.83415030821925"/>
    <n v="959716.80407376168"/>
  </r>
  <r>
    <x v="3"/>
    <x v="1"/>
    <s v="Canada"/>
    <x v="1"/>
    <x v="1"/>
    <n v="901.82309649826493"/>
    <n v="1277235.4687311356"/>
  </r>
  <r>
    <x v="0"/>
    <x v="1"/>
    <s v="United States"/>
    <x v="0"/>
    <x v="2"/>
    <n v="1169.7676889061768"/>
    <n v="2994441.4399509695"/>
  </r>
  <r>
    <x v="0"/>
    <x v="2"/>
    <s v="Japan"/>
    <x v="0"/>
    <x v="0"/>
    <n v="482.58699472153239"/>
    <n v="3144472.0132891233"/>
  </r>
  <r>
    <x v="1"/>
    <x v="1"/>
    <s v="United States"/>
    <x v="1"/>
    <x v="1"/>
    <n v="1585.8404178636192"/>
    <n v="2919523.0418894682"/>
  </r>
  <r>
    <x v="0"/>
    <x v="0"/>
    <s v="France"/>
    <x v="0"/>
    <x v="2"/>
    <n v="143.24518973880913"/>
    <n v="2293163.6124412762"/>
  </r>
  <r>
    <x v="0"/>
    <x v="2"/>
    <s v="Japan"/>
    <x v="2"/>
    <x v="3"/>
    <n v="502.56209981089341"/>
    <n v="2954994.6760780588"/>
  </r>
  <r>
    <x v="1"/>
    <x v="2"/>
    <s v="Japan"/>
    <x v="0"/>
    <x v="0"/>
    <n v="661.02890958991338"/>
    <n v="1463997.8460987622"/>
  </r>
  <r>
    <x v="2"/>
    <x v="1"/>
    <s v="United States"/>
    <x v="1"/>
    <x v="1"/>
    <n v="43.409367737149296"/>
    <n v="1624290.5304258117"/>
  </r>
  <r>
    <x v="1"/>
    <x v="0"/>
    <s v="France"/>
    <x v="0"/>
    <x v="2"/>
    <n v="156.4717210480012"/>
    <n v="3462704.9756270209"/>
  </r>
  <r>
    <x v="1"/>
    <x v="2"/>
    <s v="Japan"/>
    <x v="2"/>
    <x v="3"/>
    <n v="431.16415670592687"/>
    <n v="1336321.4169638376"/>
  </r>
  <r>
    <x v="0"/>
    <x v="0"/>
    <s v="Germany"/>
    <x v="2"/>
    <x v="4"/>
    <n v="833.71382049408567"/>
    <n v="1595693.1107215495"/>
  </r>
  <r>
    <x v="0"/>
    <x v="0"/>
    <s v="United Kingdom"/>
    <x v="0"/>
    <x v="0"/>
    <n v="321.44814604862404"/>
    <n v="97298.31977529102"/>
  </r>
  <r>
    <x v="0"/>
    <x v="1"/>
    <s v="United States"/>
    <x v="1"/>
    <x v="1"/>
    <n v="255.89267174473207"/>
    <n v="1771804.1016473763"/>
  </r>
  <r>
    <x v="2"/>
    <x v="2"/>
    <s v="Japan"/>
    <x v="0"/>
    <x v="2"/>
    <n v="1803.5758704837463"/>
    <n v="1946019.4772090607"/>
  </r>
  <r>
    <x v="0"/>
    <x v="0"/>
    <s v="France"/>
    <x v="2"/>
    <x v="3"/>
    <n v="809.28954641403834"/>
    <n v="2733571.3871923871"/>
  </r>
  <r>
    <x v="3"/>
    <x v="1"/>
    <s v="United States"/>
    <x v="2"/>
    <x v="4"/>
    <n v="990.87795684226876"/>
    <n v="2785011.3915208825"/>
  </r>
  <r>
    <x v="2"/>
    <x v="0"/>
    <s v="France"/>
    <x v="0"/>
    <x v="0"/>
    <n v="543.6423659499269"/>
    <n v="277536.86710602196"/>
  </r>
  <r>
    <x v="2"/>
    <x v="2"/>
    <s v="Japan"/>
    <x v="1"/>
    <x v="1"/>
    <n v="644.65000973650604"/>
    <n v="2961090.0068195374"/>
  </r>
  <r>
    <x v="1"/>
    <x v="0"/>
    <s v="Germany"/>
    <x v="0"/>
    <x v="2"/>
    <n v="570.67072717509291"/>
    <n v="3253993.5253579607"/>
  </r>
  <r>
    <x v="1"/>
    <x v="0"/>
    <s v="United Kingdom"/>
    <x v="2"/>
    <x v="3"/>
    <n v="438.95673491597336"/>
    <n v="776786.56815970957"/>
  </r>
  <r>
    <x v="1"/>
    <x v="1"/>
    <s v="United States"/>
    <x v="2"/>
    <x v="4"/>
    <n v="433.05807716133131"/>
    <n v="2279197.6614709985"/>
  </r>
  <r>
    <x v="3"/>
    <x v="2"/>
    <s v="Japan"/>
    <x v="1"/>
    <x v="5"/>
    <n v="1625.7114291099242"/>
    <n v="1725444.0238804487"/>
  </r>
  <r>
    <x v="1"/>
    <x v="0"/>
    <s v="France"/>
    <x v="0"/>
    <x v="0"/>
    <n v="64.771333339012926"/>
    <n v="2729384.4333960861"/>
  </r>
  <r>
    <x v="3"/>
    <x v="0"/>
    <s v="France"/>
    <x v="1"/>
    <x v="1"/>
    <n v="535.89516859137802"/>
    <n v="1116631.8901956801"/>
  </r>
  <r>
    <x v="3"/>
    <x v="2"/>
    <s v="Japan"/>
    <x v="0"/>
    <x v="2"/>
    <n v="324.2546850713552"/>
    <n v="2373041.6752210646"/>
  </r>
  <r>
    <x v="2"/>
    <x v="0"/>
    <s v="Germany"/>
    <x v="0"/>
    <x v="0"/>
    <n v="321.51804864788573"/>
    <n v="495166.29849524173"/>
  </r>
  <r>
    <x v="2"/>
    <x v="0"/>
    <s v="United Kingdom"/>
    <x v="1"/>
    <x v="1"/>
    <n v="256.55022322353034"/>
    <n v="2608573.6760563506"/>
  </r>
  <r>
    <x v="2"/>
    <x v="1"/>
    <s v="United States"/>
    <x v="0"/>
    <x v="2"/>
    <n v="544.71690417349237"/>
    <n v="1940885.3876633777"/>
  </r>
  <r>
    <x v="2"/>
    <x v="0"/>
    <s v="France"/>
    <x v="2"/>
    <x v="3"/>
    <n v="1293.3996422789278"/>
    <n v="2445365.6171331094"/>
  </r>
  <r>
    <x v="3"/>
    <x v="0"/>
    <s v="Germany"/>
    <x v="2"/>
    <x v="4"/>
    <n v="1290.1935696967485"/>
    <n v="1577032.7919579723"/>
  </r>
  <r>
    <x v="3"/>
    <x v="0"/>
    <s v="United Kingdom"/>
    <x v="1"/>
    <x v="5"/>
    <n v="244.81511633202899"/>
    <n v="266132.1992881425"/>
  </r>
  <r>
    <x v="3"/>
    <x v="1"/>
    <s v="United States"/>
    <x v="0"/>
    <x v="0"/>
    <n v="693.7313703111613"/>
    <n v="1628460.1785076689"/>
  </r>
  <r>
    <x v="3"/>
    <x v="0"/>
    <s v="France"/>
    <x v="1"/>
    <x v="1"/>
    <n v="96.20660948803561"/>
    <n v="1337527.6842166325"/>
  </r>
  <r>
    <x v="0"/>
    <x v="0"/>
    <s v="United Kingdom"/>
    <x v="0"/>
    <x v="2"/>
    <n v="782.84039052632579"/>
    <n v="417241.19905993575"/>
  </r>
  <r>
    <x v="1"/>
    <x v="0"/>
    <s v="United Kingdom"/>
    <x v="2"/>
    <x v="3"/>
    <n v="954.19918728730408"/>
    <n v="1871054.0807609286"/>
  </r>
  <r>
    <x v="0"/>
    <x v="1"/>
    <s v="Canada"/>
    <x v="2"/>
    <x v="4"/>
    <n v="717.19784501237882"/>
    <n v="454615.51565676928"/>
  </r>
  <r>
    <x v="2"/>
    <x v="0"/>
    <s v="United Kingdom"/>
    <x v="1"/>
    <x v="5"/>
    <n v="298.51259471615776"/>
    <n v="47491.66691907456"/>
  </r>
  <r>
    <x v="1"/>
    <x v="1"/>
    <s v="Canada"/>
    <x v="0"/>
    <x v="0"/>
    <n v="531.89043383736134"/>
    <n v="391295.43405837467"/>
  </r>
  <r>
    <x v="3"/>
    <x v="0"/>
    <s v="United Kingdom"/>
    <x v="1"/>
    <x v="1"/>
    <n v="3.9607090111530852"/>
    <n v="900458.03661811398"/>
  </r>
  <r>
    <x v="0"/>
    <x v="2"/>
    <s v="Japan"/>
    <x v="0"/>
    <x v="2"/>
    <n v="413.526065755741"/>
    <n v="1371741.5477135547"/>
  </r>
  <r>
    <x v="2"/>
    <x v="1"/>
    <s v="Canada"/>
    <x v="0"/>
    <x v="0"/>
    <n v="723.99416673943051"/>
    <n v="651542.93649375904"/>
  </r>
  <r>
    <x v="1"/>
    <x v="2"/>
    <s v="Japan"/>
    <x v="1"/>
    <x v="1"/>
    <n v="208.42043810471296"/>
    <n v="1161848.8380291683"/>
  </r>
  <r>
    <x v="3"/>
    <x v="1"/>
    <s v="Canada"/>
    <x v="0"/>
    <x v="2"/>
    <n v="685.7010054809507"/>
    <n v="47399.604896327743"/>
  </r>
  <r>
    <x v="0"/>
    <x v="1"/>
    <s v="Peru"/>
    <x v="2"/>
    <x v="3"/>
    <n v="226.20921949646799"/>
    <n v="1443134.2999009758"/>
  </r>
  <r>
    <x v="2"/>
    <x v="2"/>
    <s v="Japan"/>
    <x v="0"/>
    <x v="0"/>
    <n v="125.13045695613982"/>
    <n v="1365302.9005884556"/>
  </r>
  <r>
    <x v="1"/>
    <x v="1"/>
    <s v="Peru"/>
    <x v="1"/>
    <x v="1"/>
    <n v="56.071262800742261"/>
    <n v="1012508.554698029"/>
  </r>
  <r>
    <x v="3"/>
    <x v="2"/>
    <s v="Japan"/>
    <x v="0"/>
    <x v="2"/>
    <n v="734.35834157608042"/>
    <n v="217573.89674266177"/>
  </r>
  <r>
    <x v="2"/>
    <x v="1"/>
    <s v="Peru"/>
    <x v="2"/>
    <x v="3"/>
    <n v="174.77272548176188"/>
    <n v="1058712.1916132127"/>
  </r>
  <r>
    <x v="0"/>
    <x v="1"/>
    <s v="United States"/>
    <x v="2"/>
    <x v="4"/>
    <n v="877.99507163945236"/>
    <n v="437971.61654983938"/>
  </r>
  <r>
    <x v="3"/>
    <x v="1"/>
    <s v="Peru"/>
    <x v="0"/>
    <x v="0"/>
    <n v="57.927031081453606"/>
    <n v="888600.64695231325"/>
  </r>
  <r>
    <x v="1"/>
    <x v="1"/>
    <s v="United States"/>
    <x v="1"/>
    <x v="1"/>
    <n v="722.36762485081272"/>
    <n v="750854.50539537484"/>
  </r>
  <r>
    <x v="0"/>
    <x v="1"/>
    <s v="Mexico"/>
    <x v="0"/>
    <x v="2"/>
    <n v="26.863821343431482"/>
    <n v="918931.85635126429"/>
  </r>
  <r>
    <x v="0"/>
    <x v="1"/>
    <s v="Brazil"/>
    <x v="2"/>
    <x v="3"/>
    <n v="413.26076275755952"/>
    <n v="282020.48174989613"/>
  </r>
  <r>
    <x v="0"/>
    <x v="0"/>
    <s v="United Kingdom"/>
    <x v="2"/>
    <x v="4"/>
    <n v="982.49628278517775"/>
    <n v="28005.135742205312"/>
  </r>
  <r>
    <x v="2"/>
    <x v="1"/>
    <s v="United States"/>
    <x v="0"/>
    <x v="0"/>
    <n v="163.86612210189924"/>
    <n v="680038.4320743219"/>
  </r>
  <r>
    <x v="1"/>
    <x v="1"/>
    <s v="Mexico"/>
    <x v="1"/>
    <x v="1"/>
    <n v="105.45613227350259"/>
    <n v="453315.50244478422"/>
  </r>
  <r>
    <x v="1"/>
    <x v="1"/>
    <s v="Brazil"/>
    <x v="0"/>
    <x v="2"/>
    <n v="81.489139670338773"/>
    <n v="816478.51804683346"/>
  </r>
  <r>
    <x v="1"/>
    <x v="0"/>
    <s v="United Kingdom"/>
    <x v="2"/>
    <x v="3"/>
    <n v="907.90291976463777"/>
    <n v="133805.00036430021"/>
  </r>
  <r>
    <x v="3"/>
    <x v="1"/>
    <s v="United States"/>
    <x v="2"/>
    <x v="4"/>
    <n v="805.5702462719637"/>
    <n v="837253.18574601447"/>
  </r>
  <r>
    <x v="2"/>
    <x v="1"/>
    <s v="Mexico"/>
    <x v="1"/>
    <x v="5"/>
    <n v="189.87100121285039"/>
    <n v="469875.08220069157"/>
  </r>
  <r>
    <x v="2"/>
    <x v="1"/>
    <s v="Brazil"/>
    <x v="0"/>
    <x v="0"/>
    <n v="290.38165211295563"/>
    <n v="201961.13536192762"/>
  </r>
  <r>
    <x v="2"/>
    <x v="0"/>
    <s v="United Kingdom"/>
    <x v="1"/>
    <x v="1"/>
    <n v="800.82439582565712"/>
    <n v="206998.4692279115"/>
  </r>
  <r>
    <x v="0"/>
    <x v="1"/>
    <s v="Argentina"/>
    <x v="0"/>
    <x v="2"/>
    <n v="177.61530702991877"/>
    <n v="525771.774048917"/>
  </r>
  <r>
    <x v="0"/>
    <x v="0"/>
    <s v="Italy"/>
    <x v="0"/>
    <x v="0"/>
    <n v="101.97998066832952"/>
    <n v="519357.31389385182"/>
  </r>
  <r>
    <x v="0"/>
    <x v="1"/>
    <s v="Mexico"/>
    <x v="1"/>
    <x v="1"/>
    <n v="12.725981163384859"/>
    <n v="296079.49989731424"/>
  </r>
  <r>
    <x v="0"/>
    <x v="1"/>
    <s v="Canada"/>
    <x v="0"/>
    <x v="2"/>
    <n v="336.35993757561664"/>
    <n v="705391.98307888"/>
  </r>
  <r>
    <x v="3"/>
    <x v="1"/>
    <s v="Mexico"/>
    <x v="2"/>
    <x v="3"/>
    <n v="28.624011157080531"/>
    <n v="132810.85623667584"/>
  </r>
  <r>
    <x v="3"/>
    <x v="1"/>
    <s v="Brazil"/>
    <x v="2"/>
    <x v="4"/>
    <n v="147.39272240103674"/>
    <n v="247494.40000819773"/>
  </r>
  <r>
    <x v="3"/>
    <x v="0"/>
    <s v="United Kingdom"/>
    <x v="1"/>
    <x v="5"/>
    <n v="116.54718001409492"/>
    <n v="702400.71915494872"/>
  </r>
  <r>
    <x v="1"/>
    <x v="1"/>
    <s v="Argentina"/>
    <x v="0"/>
    <x v="0"/>
    <n v="30.35667945696332"/>
    <n v="125464.03721292882"/>
  </r>
  <r>
    <x v="1"/>
    <x v="0"/>
    <s v="Italy"/>
    <x v="1"/>
    <x v="1"/>
    <n v="392.46177007589722"/>
    <n v="703338.9723693399"/>
  </r>
  <r>
    <x v="1"/>
    <x v="1"/>
    <s v="Mexico"/>
    <x v="0"/>
    <x v="2"/>
    <n v="23.213633309569559"/>
    <n v="373179.64487495919"/>
  </r>
  <r>
    <x v="1"/>
    <x v="1"/>
    <s v="Canada"/>
    <x v="2"/>
    <x v="3"/>
    <n v="329.25612837861991"/>
    <n v="677345.4455898609"/>
  </r>
  <r>
    <x v="2"/>
    <x v="1"/>
    <s v="Argentina"/>
    <x v="2"/>
    <x v="4"/>
    <n v="220.98991156417469"/>
    <n v="626069.29195154307"/>
  </r>
  <r>
    <x v="2"/>
    <x v="0"/>
    <s v="Italy"/>
    <x v="1"/>
    <x v="5"/>
    <n v="283.09740287077148"/>
    <n v="139318.37171424486"/>
  </r>
  <r>
    <x v="2"/>
    <x v="1"/>
    <s v="Mexico"/>
    <x v="0"/>
    <x v="0"/>
    <n v="171.39973201956309"/>
    <n v="533723.18945506681"/>
  </r>
  <r>
    <x v="2"/>
    <x v="1"/>
    <s v="Canada"/>
    <x v="1"/>
    <x v="1"/>
    <n v="652.97896883130306"/>
    <n v="598850.37870244146"/>
  </r>
  <r>
    <x v="3"/>
    <x v="1"/>
    <s v="Argentina"/>
    <x v="0"/>
    <x v="2"/>
    <n v="330.6354447373451"/>
    <n v="529730.66035374894"/>
  </r>
  <r>
    <x v="3"/>
    <x v="0"/>
    <s v="Italy"/>
    <x v="0"/>
    <x v="0"/>
    <n v="379.67275728442473"/>
    <n v="323088.24763647118"/>
  </r>
  <r>
    <x v="3"/>
    <x v="1"/>
    <s v="Mexico"/>
    <x v="1"/>
    <x v="1"/>
    <n v="254.23312321036065"/>
    <n v="417130.49446437543"/>
  </r>
  <r>
    <x v="3"/>
    <x v="1"/>
    <s v="Canada"/>
    <x v="0"/>
    <x v="2"/>
    <n v="576.94293489184929"/>
    <n v="253986.55842813425"/>
  </r>
  <r>
    <x v="0"/>
    <x v="3"/>
    <s v="Australia"/>
    <x v="2"/>
    <x v="3"/>
    <n v="46.523496955433075"/>
    <n v="383484.32372185925"/>
  </r>
  <r>
    <x v="0"/>
    <x v="3"/>
    <s v="India"/>
    <x v="0"/>
    <x v="0"/>
    <n v="76.276275342388544"/>
    <n v="488211.82220444828"/>
  </r>
  <r>
    <x v="0"/>
    <x v="1"/>
    <s v="Mexico"/>
    <x v="1"/>
    <x v="1"/>
    <n v="217.39321656923494"/>
    <n v="421413.45178879419"/>
  </r>
  <r>
    <x v="0"/>
    <x v="1"/>
    <s v="Other LatAm"/>
    <x v="0"/>
    <x v="2"/>
    <n v="330.345462153673"/>
    <n v="323706.49020276684"/>
  </r>
  <r>
    <x v="1"/>
    <x v="3"/>
    <s v="Australia"/>
    <x v="2"/>
    <x v="3"/>
    <n v="29.941865511227661"/>
    <n v="430988.68933393533"/>
  </r>
  <r>
    <x v="1"/>
    <x v="3"/>
    <s v="India"/>
    <x v="2"/>
    <x v="4"/>
    <n v="16.201826536052977"/>
    <n v="256153.60577383853"/>
  </r>
  <r>
    <x v="1"/>
    <x v="1"/>
    <s v="Mexico"/>
    <x v="0"/>
    <x v="0"/>
    <n v="263.44117662256394"/>
    <n v="411122.26199477847"/>
  </r>
  <r>
    <x v="1"/>
    <x v="1"/>
    <s v="Other LatAm"/>
    <x v="1"/>
    <x v="1"/>
    <n v="307.470057545288"/>
    <n v="173719.82981899235"/>
  </r>
  <r>
    <x v="0"/>
    <x v="0"/>
    <s v="Other Europe"/>
    <x v="0"/>
    <x v="2"/>
    <n v="122.98515754328037"/>
    <n v="40077.763234194208"/>
  </r>
  <r>
    <x v="2"/>
    <x v="3"/>
    <s v="Australia"/>
    <x v="2"/>
    <x v="3"/>
    <n v="54.988825889631698"/>
    <n v="359522.80259248184"/>
  </r>
  <r>
    <x v="2"/>
    <x v="3"/>
    <s v="India"/>
    <x v="2"/>
    <x v="4"/>
    <n v="61.048989469963999"/>
    <n v="324152.98962565605"/>
  </r>
  <r>
    <x v="2"/>
    <x v="1"/>
    <s v="Mexico"/>
    <x v="0"/>
    <x v="0"/>
    <n v="422.21277151156755"/>
    <n v="82345.258794730631"/>
  </r>
  <r>
    <x v="2"/>
    <x v="1"/>
    <s v="Other LatAm"/>
    <x v="1"/>
    <x v="1"/>
    <n v="94.500556653656531"/>
    <n v="229183.2825934538"/>
  </r>
  <r>
    <x v="1"/>
    <x v="0"/>
    <s v="Other Europe"/>
    <x v="0"/>
    <x v="2"/>
    <n v="212.4193831968114"/>
    <n v="40809.71344934596"/>
  </r>
  <r>
    <x v="0"/>
    <x v="1"/>
    <s v="Caribbean"/>
    <x v="2"/>
    <x v="3"/>
    <n v="575.91750187129946"/>
    <n v="276356.50192896719"/>
  </r>
  <r>
    <x v="0"/>
    <x v="4"/>
    <s v="Kenya"/>
    <x v="2"/>
    <x v="4"/>
    <n v="177.01783755419456"/>
    <n v="329175.22353563982"/>
  </r>
  <r>
    <x v="0"/>
    <x v="0"/>
    <s v="Other Europe"/>
    <x v="1"/>
    <x v="5"/>
    <n v="139.53285026727826"/>
    <n v="217209.40443628933"/>
  </r>
  <r>
    <x v="0"/>
    <x v="4"/>
    <s v="South Africa"/>
    <x v="0"/>
    <x v="0"/>
    <n v="106.12959060945286"/>
    <n v="222929.19116844132"/>
  </r>
  <r>
    <x v="3"/>
    <x v="3"/>
    <s v="Australia"/>
    <x v="1"/>
    <x v="1"/>
    <n v="73.665218295172963"/>
    <n v="1171135.2772554001"/>
  </r>
  <r>
    <x v="3"/>
    <x v="3"/>
    <s v="India"/>
    <x v="0"/>
    <x v="2"/>
    <n v="59.529240711071907"/>
    <n v="210217.97371528574"/>
  </r>
  <r>
    <x v="3"/>
    <x v="1"/>
    <s v="Mexico"/>
    <x v="0"/>
    <x v="0"/>
    <n v="476.73021499576862"/>
    <n v="41029.977634194998"/>
  </r>
  <r>
    <x v="3"/>
    <x v="1"/>
    <s v="Other LatAm"/>
    <x v="1"/>
    <x v="1"/>
    <n v="232.6374459348699"/>
    <n v="174394.95804058734"/>
  </r>
  <r>
    <x v="2"/>
    <x v="0"/>
    <s v="Other Europe"/>
    <x v="0"/>
    <x v="2"/>
    <n v="329.16570545075956"/>
    <n v="368511.07151175069"/>
  </r>
  <r>
    <x v="1"/>
    <x v="1"/>
    <s v="Caribbean"/>
    <x v="2"/>
    <x v="3"/>
    <n v="342.68699305685004"/>
    <n v="166721.64488449198"/>
  </r>
  <r>
    <x v="1"/>
    <x v="4"/>
    <s v="Kenya"/>
    <x v="2"/>
    <x v="4"/>
    <n v="94.222921329674136"/>
    <n v="88244.665501879354"/>
  </r>
  <r>
    <x v="1"/>
    <x v="0"/>
    <s v="Other Europe"/>
    <x v="1"/>
    <x v="5"/>
    <n v="125.92247391439741"/>
    <n v="123950.0421754019"/>
  </r>
  <r>
    <x v="1"/>
    <x v="4"/>
    <s v="South Africa"/>
    <x v="0"/>
    <x v="0"/>
    <n v="136.24125781261682"/>
    <n v="155766.4570059278"/>
  </r>
  <r>
    <x v="0"/>
    <x v="1"/>
    <s v="Other NorthAm"/>
    <x v="1"/>
    <x v="1"/>
    <n v="301.83115659147006"/>
    <n v="112875.65516417999"/>
  </r>
  <r>
    <x v="3"/>
    <x v="0"/>
    <s v="Other Europe"/>
    <x v="0"/>
    <x v="2"/>
    <n v="645.75350534769314"/>
    <n v="110760.7366881549"/>
  </r>
  <r>
    <x v="2"/>
    <x v="1"/>
    <s v="Caribbean"/>
    <x v="2"/>
    <x v="3"/>
    <n v="318.61223345331382"/>
    <n v="292160.71669190994"/>
  </r>
  <r>
    <x v="2"/>
    <x v="4"/>
    <s v="Kenya"/>
    <x v="2"/>
    <x v="4"/>
    <n v="6.3361699605593458"/>
    <n v="159533.85958096085"/>
  </r>
  <r>
    <x v="2"/>
    <x v="0"/>
    <s v="Other Europe"/>
    <x v="1"/>
    <x v="5"/>
    <n v="88.011990782069915"/>
    <n v="238314.90321742426"/>
  </r>
  <r>
    <x v="2"/>
    <x v="4"/>
    <s v="South Africa"/>
    <x v="0"/>
    <x v="0"/>
    <n v="111.00448630350002"/>
    <n v="59769.39210562261"/>
  </r>
  <r>
    <x v="1"/>
    <x v="1"/>
    <s v="Other NorthAm"/>
    <x v="1"/>
    <x v="1"/>
    <n v="373.30983226156604"/>
    <n v="8734.1203136988952"/>
  </r>
  <r>
    <x v="3"/>
    <x v="1"/>
    <s v="Caribbean"/>
    <x v="0"/>
    <x v="2"/>
    <n v="721.55269688519184"/>
    <n v="272936.36747182265"/>
  </r>
  <r>
    <x v="3"/>
    <x v="4"/>
    <s v="Kenya"/>
    <x v="0"/>
    <x v="0"/>
    <n v="138.10836525062768"/>
    <n v="234544.54926819686"/>
  </r>
  <r>
    <x v="3"/>
    <x v="0"/>
    <s v="Other Europe"/>
    <x v="1"/>
    <x v="1"/>
    <n v="40.397509818649269"/>
    <n v="299383.13318417175"/>
  </r>
  <r>
    <x v="3"/>
    <x v="4"/>
    <s v="South Africa"/>
    <x v="0"/>
    <x v="2"/>
    <n v="49.510194843065847"/>
    <n v="249084.65395819934"/>
  </r>
  <r>
    <x v="0"/>
    <x v="1"/>
    <s v="Caribbean"/>
    <x v="2"/>
    <x v="3"/>
    <n v="233.0976753001778"/>
    <n v="141597.40907289233"/>
  </r>
  <r>
    <x v="2"/>
    <x v="1"/>
    <s v="Other NorthAm"/>
    <x v="0"/>
    <x v="0"/>
    <n v="434.50227272824122"/>
    <n v="49834.617686217636"/>
  </r>
  <r>
    <x v="1"/>
    <x v="1"/>
    <s v="Caribbean"/>
    <x v="1"/>
    <x v="1"/>
    <n v="33.61191315261749"/>
    <n v="139326.05389891978"/>
  </r>
  <r>
    <x v="0"/>
    <x v="1"/>
    <s v="Other NorthAm"/>
    <x v="0"/>
    <x v="2"/>
    <n v="6536.1558683784097"/>
    <n v="46055.275568633806"/>
  </r>
  <r>
    <x v="3"/>
    <x v="1"/>
    <s v="Other NorthAm"/>
    <x v="2"/>
    <x v="3"/>
    <n v="593.21186745592058"/>
    <n v="51944.967108127006"/>
  </r>
  <r>
    <x v="0"/>
    <x v="0"/>
    <s v="Italy"/>
    <x v="2"/>
    <x v="4"/>
    <n v="80.276109179067134"/>
    <n v="70016.65212305852"/>
  </r>
  <r>
    <x v="2"/>
    <x v="1"/>
    <s v="Caribbean"/>
    <x v="0"/>
    <x v="0"/>
    <n v="212.01097023904367"/>
    <n v="215696.98900835868"/>
  </r>
  <r>
    <x v="1"/>
    <x v="1"/>
    <s v="Other NorthAm"/>
    <x v="1"/>
    <x v="1"/>
    <n v="3470.3413392591756"/>
    <n v="104874.22223761969"/>
  </r>
  <r>
    <x v="1"/>
    <x v="0"/>
    <s v="Italy"/>
    <x v="0"/>
    <x v="2"/>
    <n v="92.870366346232913"/>
    <n v="226291.6166081095"/>
  </r>
  <r>
    <x v="3"/>
    <x v="1"/>
    <s v="Caribbean"/>
    <x v="2"/>
    <x v="3"/>
    <n v="229.94443393818074"/>
    <n v="121087.96701279371"/>
  </r>
  <r>
    <x v="2"/>
    <x v="1"/>
    <s v="Other NorthAm"/>
    <x v="2"/>
    <x v="4"/>
    <n v="2407.4644430340413"/>
    <n v="54536.111987493459"/>
  </r>
  <r>
    <x v="0"/>
    <x v="1"/>
    <s v="United States"/>
    <x v="0"/>
    <x v="0"/>
    <n v="2321.4144497116649"/>
    <n v="138942.49225655221"/>
  </r>
  <r>
    <x v="2"/>
    <x v="0"/>
    <s v="Italy"/>
    <x v="1"/>
    <x v="1"/>
    <n v="273.66477907662556"/>
    <n v="45733.572266074567"/>
  </r>
  <r>
    <x v="3"/>
    <x v="1"/>
    <s v="Other NorthAm"/>
    <x v="0"/>
    <x v="2"/>
    <n v="7492.0631670182047"/>
    <n v="87013.923096211511"/>
  </r>
  <r>
    <x v="0"/>
    <x v="1"/>
    <s v="Brazil"/>
    <x v="2"/>
    <x v="3"/>
    <n v="215.07967668330821"/>
    <n v="157994.1711797801"/>
  </r>
  <r>
    <x v="0"/>
    <x v="3"/>
    <s v="Australia"/>
    <x v="2"/>
    <x v="4"/>
    <n v="95.839788292505546"/>
    <n v="72704.673209227622"/>
  </r>
  <r>
    <x v="0"/>
    <x v="1"/>
    <s v="Caribbean"/>
    <x v="1"/>
    <x v="5"/>
    <n v="30.59694540233977"/>
    <n v="170901.8412633668"/>
  </r>
  <r>
    <x v="0"/>
    <x v="1"/>
    <s v="Chile"/>
    <x v="0"/>
    <x v="0"/>
    <n v="84.588821839315642"/>
    <n v="32844.559434306575"/>
  </r>
  <r>
    <x v="0"/>
    <x v="3"/>
    <s v="China"/>
    <x v="1"/>
    <x v="1"/>
    <n v="29.760599841938529"/>
    <n v="486604.75846075499"/>
  </r>
  <r>
    <x v="0"/>
    <x v="4"/>
    <s v="Egypt"/>
    <x v="0"/>
    <x v="2"/>
    <n v="88.581581788548647"/>
    <n v="193043.88905638916"/>
  </r>
  <r>
    <x v="0"/>
    <x v="3"/>
    <s v="India"/>
    <x v="0"/>
    <x v="0"/>
    <n v="86.147847977554193"/>
    <n v="188700.77179926739"/>
  </r>
  <r>
    <x v="0"/>
    <x v="4"/>
    <s v="Morocco"/>
    <x v="1"/>
    <x v="1"/>
    <n v="4.0817946249262604"/>
    <n v="81260.596001271784"/>
  </r>
  <r>
    <x v="0"/>
    <x v="4"/>
    <s v="Other Africa"/>
    <x v="0"/>
    <x v="2"/>
    <n v="37.498581809813913"/>
    <n v="19829.409413614485"/>
  </r>
  <r>
    <x v="0"/>
    <x v="3"/>
    <s v="Other Asia"/>
    <x v="2"/>
    <x v="3"/>
    <n v="18.414767969534296"/>
    <n v="29234.385324161849"/>
  </r>
  <r>
    <x v="0"/>
    <x v="1"/>
    <s v="Other LatAm"/>
    <x v="2"/>
    <x v="4"/>
    <n v="3.2470392030518269"/>
    <n v="4528.9010611668346"/>
  </r>
  <r>
    <x v="0"/>
    <x v="1"/>
    <s v="Other NorthAm"/>
    <x v="1"/>
    <x v="5"/>
    <n v="90.666613324628997"/>
    <n v="89216.799287532922"/>
  </r>
  <r>
    <x v="0"/>
    <x v="1"/>
    <s v="Peru"/>
    <x v="0"/>
    <x v="0"/>
    <n v="12.504947402885591"/>
    <n v="112361.71530817955"/>
  </r>
  <r>
    <x v="0"/>
    <x v="1"/>
    <s v="Argentina"/>
    <x v="1"/>
    <x v="1"/>
    <n v="184.16089280544838"/>
    <n v="148108.2354355749"/>
  </r>
  <r>
    <x v="0"/>
    <x v="3"/>
    <s v="Australia"/>
    <x v="0"/>
    <x v="2"/>
    <n v="9.8933260185731342"/>
    <n v="29093.164603727928"/>
  </r>
  <r>
    <x v="0"/>
    <x v="3"/>
    <s v="China"/>
    <x v="2"/>
    <x v="3"/>
    <n v="50.729607582798053"/>
    <n v="63005.700846406398"/>
  </r>
  <r>
    <x v="0"/>
    <x v="0"/>
    <s v="France"/>
    <x v="2"/>
    <x v="4"/>
    <n v="122.26380857318873"/>
    <n v="47271.033018478192"/>
  </r>
  <r>
    <x v="0"/>
    <x v="0"/>
    <s v="Germany"/>
    <x v="1"/>
    <x v="5"/>
    <n v="194.77567054182146"/>
    <n v="121697.34769613569"/>
  </r>
  <r>
    <x v="0"/>
    <x v="3"/>
    <s v="Other Asia"/>
    <x v="0"/>
    <x v="0"/>
    <n v="67.895228899578797"/>
    <n v="149070.7027453027"/>
  </r>
  <r>
    <x v="0"/>
    <x v="1"/>
    <s v="Other NorthAm"/>
    <x v="1"/>
    <x v="1"/>
    <n v="135.19661017180624"/>
    <n v="22457.823775221186"/>
  </r>
  <r>
    <x v="0"/>
    <x v="4"/>
    <s v="South Africa"/>
    <x v="0"/>
    <x v="2"/>
    <n v="100.8945012519689"/>
    <n v="173582.82254208461"/>
  </r>
  <r>
    <x v="1"/>
    <x v="1"/>
    <s v="United States"/>
    <x v="0"/>
    <x v="0"/>
    <n v="478.18209542483601"/>
    <n v="35798.546245115504"/>
  </r>
  <r>
    <x v="3"/>
    <x v="0"/>
    <s v="Italy"/>
    <x v="1"/>
    <x v="1"/>
    <n v="74.752099015313433"/>
    <n v="171870.44801842811"/>
  </r>
  <r>
    <x v="1"/>
    <x v="1"/>
    <s v="Brazil"/>
    <x v="0"/>
    <x v="2"/>
    <n v="142.93988778190396"/>
    <n v="50483.671149828297"/>
  </r>
  <r>
    <x v="1"/>
    <x v="3"/>
    <s v="Australia"/>
    <x v="2"/>
    <x v="3"/>
    <n v="72.86217678374669"/>
    <n v="133044.55877189501"/>
  </r>
  <r>
    <x v="1"/>
    <x v="1"/>
    <s v="Caribbean"/>
    <x v="0"/>
    <x v="0"/>
    <n v="84.550102130015148"/>
    <n v="159455.83013544456"/>
  </r>
  <r>
    <x v="1"/>
    <x v="1"/>
    <s v="Chile"/>
    <x v="1"/>
    <x v="1"/>
    <n v="77.33013306524299"/>
    <n v="128534.62540110013"/>
  </r>
  <r>
    <x v="1"/>
    <x v="3"/>
    <s v="China"/>
    <x v="0"/>
    <x v="2"/>
    <n v="59.792013642618258"/>
    <n v="181541.44271204132"/>
  </r>
  <r>
    <x v="1"/>
    <x v="4"/>
    <s v="Egypt"/>
    <x v="2"/>
    <x v="3"/>
    <n v="56.768013462442468"/>
    <n v="5482.1719617393683"/>
  </r>
  <r>
    <x v="1"/>
    <x v="3"/>
    <s v="India"/>
    <x v="2"/>
    <x v="4"/>
    <n v="68.888474121561671"/>
    <n v="18677.269127563704"/>
  </r>
  <r>
    <x v="1"/>
    <x v="4"/>
    <s v="Morocco"/>
    <x v="0"/>
    <x v="0"/>
    <n v="6.0766468466681545"/>
    <n v="44488.435113325977"/>
  </r>
  <r>
    <x v="1"/>
    <x v="4"/>
    <s v="Other Africa"/>
    <x v="1"/>
    <x v="1"/>
    <n v="2.1897319294112094"/>
    <n v="73833.416600309647"/>
  </r>
  <r>
    <x v="1"/>
    <x v="3"/>
    <s v="Other Asia"/>
    <x v="0"/>
    <x v="2"/>
    <n v="18.02016468536749"/>
    <n v="91967.838307857164"/>
  </r>
  <r>
    <x v="1"/>
    <x v="1"/>
    <s v="Other LatAm"/>
    <x v="2"/>
    <x v="3"/>
    <n v="44.229068572076358"/>
    <n v="5784.4813127176167"/>
  </r>
  <r>
    <x v="1"/>
    <x v="1"/>
    <s v="Other NorthAm"/>
    <x v="2"/>
    <x v="4"/>
    <n v="15.011089479048678"/>
    <n v="85238.181776378042"/>
  </r>
  <r>
    <x v="1"/>
    <x v="1"/>
    <s v="Peru"/>
    <x v="0"/>
    <x v="0"/>
    <n v="73.423612777060043"/>
    <n v="3586.9227072671492"/>
  </r>
  <r>
    <x v="1"/>
    <x v="1"/>
    <s v="Argentina"/>
    <x v="1"/>
    <x v="1"/>
    <n v="79.299450348480605"/>
    <n v="9551.1286279433989"/>
  </r>
  <r>
    <x v="1"/>
    <x v="3"/>
    <s v="Australia"/>
    <x v="0"/>
    <x v="2"/>
    <n v="44.574775556247914"/>
    <n v="133180.2251182762"/>
  </r>
  <r>
    <x v="1"/>
    <x v="3"/>
    <s v="China"/>
    <x v="2"/>
    <x v="3"/>
    <n v="68.321859308161947"/>
    <n v="164707.13892151616"/>
  </r>
  <r>
    <x v="1"/>
    <x v="0"/>
    <s v="France"/>
    <x v="2"/>
    <x v="4"/>
    <n v="173.14299812678655"/>
    <n v="166970.69145674142"/>
  </r>
  <r>
    <x v="1"/>
    <x v="0"/>
    <s v="Germany"/>
    <x v="1"/>
    <x v="5"/>
    <n v="28.455895638217044"/>
    <n v="18957.304854237009"/>
  </r>
  <r>
    <x v="1"/>
    <x v="3"/>
    <s v="Other Asia"/>
    <x v="0"/>
    <x v="0"/>
    <n v="97.850706799363252"/>
    <n v="147236.89467201073"/>
  </r>
  <r>
    <x v="1"/>
    <x v="1"/>
    <s v="Other NorthAm"/>
    <x v="1"/>
    <x v="1"/>
    <n v="27.45441044025938"/>
    <n v="65135.191691144428"/>
  </r>
  <r>
    <x v="1"/>
    <x v="4"/>
    <s v="South Africa"/>
    <x v="0"/>
    <x v="2"/>
    <n v="157.52374342100666"/>
    <n v="30739.678320445819"/>
  </r>
  <r>
    <x v="2"/>
    <x v="1"/>
    <s v="United States"/>
    <x v="0"/>
    <x v="0"/>
    <n v="2333.4316492795551"/>
    <n v="137979.49478317588"/>
  </r>
  <r>
    <x v="2"/>
    <x v="1"/>
    <s v="Brazil"/>
    <x v="1"/>
    <x v="1"/>
    <n v="98.790030461168499"/>
    <n v="19569.901798271349"/>
  </r>
  <r>
    <x v="2"/>
    <x v="3"/>
    <s v="Australia"/>
    <x v="0"/>
    <x v="2"/>
    <n v="91.180738227558322"/>
    <n v="41041.04246892262"/>
  </r>
  <r>
    <x v="2"/>
    <x v="1"/>
    <s v="Caribbean"/>
    <x v="2"/>
    <x v="3"/>
    <n v="11.635541552368522"/>
    <n v="18487.274500251322"/>
  </r>
  <r>
    <x v="2"/>
    <x v="1"/>
    <s v="Chile"/>
    <x v="2"/>
    <x v="4"/>
    <n v="86.277966194938926"/>
    <n v="149675.32490719517"/>
  </r>
  <r>
    <x v="2"/>
    <x v="3"/>
    <s v="China"/>
    <x v="1"/>
    <x v="5"/>
    <n v="56.82844511084113"/>
    <n v="10301221.144948799"/>
  </r>
  <r>
    <x v="2"/>
    <x v="4"/>
    <s v="Egypt"/>
    <x v="0"/>
    <x v="0"/>
    <n v="2.0585308085173892"/>
    <n v="137518.36905989988"/>
  </r>
  <r>
    <x v="2"/>
    <x v="3"/>
    <s v="India"/>
    <x v="1"/>
    <x v="1"/>
    <n v="36.739425480482168"/>
    <n v="10016589.047652399"/>
  </r>
  <r>
    <x v="2"/>
    <x v="4"/>
    <s v="Morocco"/>
    <x v="0"/>
    <x v="2"/>
    <n v="29.231560751486541"/>
    <n v="65566.221331515189"/>
  </r>
  <r>
    <x v="2"/>
    <x v="4"/>
    <s v="Other Africa"/>
    <x v="2"/>
    <x v="3"/>
    <n v="88.209054193612246"/>
    <n v="23503.132661958207"/>
  </r>
  <r>
    <x v="2"/>
    <x v="3"/>
    <s v="Other Asia"/>
    <x v="2"/>
    <x v="4"/>
    <n v="7.9982091284364287"/>
    <n v="85030.592841186706"/>
  </r>
  <r>
    <x v="2"/>
    <x v="1"/>
    <s v="Other LatAm"/>
    <x v="1"/>
    <x v="5"/>
    <n v="77.542273715152987"/>
    <n v="118167.6630519319"/>
  </r>
  <r>
    <x v="2"/>
    <x v="1"/>
    <s v="Other NorthAm"/>
    <x v="0"/>
    <x v="0"/>
    <n v="48.534101558379916"/>
    <n v="149888.18583594591"/>
  </r>
  <r>
    <x v="2"/>
    <x v="1"/>
    <s v="Peru"/>
    <x v="1"/>
    <x v="1"/>
    <n v="23.227678154762543"/>
    <n v="128073.30943964457"/>
  </r>
  <r>
    <x v="2"/>
    <x v="1"/>
    <s v="Argentina"/>
    <x v="0"/>
    <x v="2"/>
    <n v="79.829595792580221"/>
    <n v="34479.269556094405"/>
  </r>
  <r>
    <x v="2"/>
    <x v="3"/>
    <s v="Australia"/>
    <x v="0"/>
    <x v="0"/>
    <n v="129.31567669875221"/>
    <n v="20138.304888058719"/>
  </r>
  <r>
    <x v="2"/>
    <x v="3"/>
    <s v="China"/>
    <x v="1"/>
    <x v="1"/>
    <n v="90.917668842848798"/>
    <n v="117978.44446345836"/>
  </r>
  <r>
    <x v="2"/>
    <x v="0"/>
    <s v="France"/>
    <x v="0"/>
    <x v="2"/>
    <n v="159.87182260760164"/>
    <n v="142652.80755261309"/>
  </r>
  <r>
    <x v="2"/>
    <x v="0"/>
    <s v="Germany"/>
    <x v="2"/>
    <x v="3"/>
    <n v="114.34540719437791"/>
    <n v="53269.776771653182"/>
  </r>
  <r>
    <x v="2"/>
    <x v="3"/>
    <s v="Other Asia"/>
    <x v="0"/>
    <x v="0"/>
    <n v="170.75892102075159"/>
    <n v="102403.6382146845"/>
  </r>
  <r>
    <x v="2"/>
    <x v="1"/>
    <s v="Other NorthAm"/>
    <x v="1"/>
    <x v="1"/>
    <n v="57.671999465492263"/>
    <n v="76597.144664831809"/>
  </r>
  <r>
    <x v="2"/>
    <x v="4"/>
    <s v="South Africa"/>
    <x v="0"/>
    <x v="2"/>
    <n v="76.211410080941278"/>
    <n v="20727.083025568354"/>
  </r>
  <r>
    <x v="3"/>
    <x v="1"/>
    <s v="United States"/>
    <x v="2"/>
    <x v="3"/>
    <n v="2544.1716859825647"/>
    <n v="83168.705459137345"/>
  </r>
  <r>
    <x v="0"/>
    <x v="2"/>
    <s v="Japan"/>
    <x v="2"/>
    <x v="4"/>
    <n v="1430.6906962548965"/>
    <n v="96274.683758339961"/>
  </r>
  <r>
    <x v="3"/>
    <x v="1"/>
    <s v="Brazil"/>
    <x v="0"/>
    <x v="0"/>
    <n v="104.81890139162715"/>
    <n v="30441.826777604532"/>
  </r>
  <r>
    <x v="3"/>
    <x v="3"/>
    <s v="Australia"/>
    <x v="1"/>
    <x v="1"/>
    <n v="3.7588093380691134"/>
    <n v="66919.163440208373"/>
  </r>
  <r>
    <x v="3"/>
    <x v="1"/>
    <s v="Caribbean"/>
    <x v="0"/>
    <x v="2"/>
    <n v="70.493378936043882"/>
    <n v="131895.81182504748"/>
  </r>
  <r>
    <x v="3"/>
    <x v="1"/>
    <s v="Chile"/>
    <x v="2"/>
    <x v="3"/>
    <n v="69.806847105974157"/>
    <n v="11893.755327105935"/>
  </r>
  <r>
    <x v="3"/>
    <x v="3"/>
    <s v="China"/>
    <x v="2"/>
    <x v="4"/>
    <n v="46.097588068823825"/>
    <n v="27878.252076083005"/>
  </r>
  <r>
    <x v="3"/>
    <x v="4"/>
    <s v="Egypt"/>
    <x v="0"/>
    <x v="0"/>
    <n v="7.3352087576495251"/>
    <n v="9312.7887013592645"/>
  </r>
  <r>
    <x v="3"/>
    <x v="3"/>
    <s v="India"/>
    <x v="1"/>
    <x v="1"/>
    <n v="91.308931367530022"/>
    <n v="63502.987228581769"/>
  </r>
  <r>
    <x v="3"/>
    <x v="4"/>
    <s v="Morocco"/>
    <x v="0"/>
    <x v="2"/>
    <n v="70.923858184232813"/>
    <n v="78048.996624635198"/>
  </r>
  <r>
    <x v="3"/>
    <x v="4"/>
    <s v="Other Africa"/>
    <x v="2"/>
    <x v="3"/>
    <n v="52.448562827521528"/>
    <n v="38424.910646561824"/>
  </r>
  <r>
    <x v="3"/>
    <x v="3"/>
    <s v="Other Asia"/>
    <x v="2"/>
    <x v="4"/>
    <n v="95.882749173779303"/>
    <n v="17807.700731712343"/>
  </r>
  <r>
    <x v="3"/>
    <x v="1"/>
    <s v="Other LatAm"/>
    <x v="1"/>
    <x v="5"/>
    <n v="39.082021919966792"/>
    <n v="63140.549607370063"/>
  </r>
  <r>
    <x v="3"/>
    <x v="1"/>
    <s v="Other NorthAm"/>
    <x v="0"/>
    <x v="0"/>
    <n v="51.97028741304166"/>
    <n v="74952.290975842974"/>
  </r>
  <r>
    <x v="3"/>
    <x v="1"/>
    <s v="Peru"/>
    <x v="1"/>
    <x v="1"/>
    <n v="77.816050646470103"/>
    <n v="47904.650654221521"/>
  </r>
  <r>
    <x v="3"/>
    <x v="1"/>
    <s v="Argentina"/>
    <x v="0"/>
    <x v="2"/>
    <n v="142.85691082932317"/>
    <n v="4352.0178622453986"/>
  </r>
  <r>
    <x v="3"/>
    <x v="3"/>
    <s v="Australia"/>
    <x v="0"/>
    <x v="0"/>
    <n v="177.24591162259458"/>
    <n v="39960.46312485425"/>
  </r>
  <r>
    <x v="3"/>
    <x v="3"/>
    <s v="China"/>
    <x v="1"/>
    <x v="1"/>
    <n v="68.847142915728909"/>
    <n v="62047.58615154861"/>
  </r>
  <r>
    <x v="3"/>
    <x v="0"/>
    <s v="France"/>
    <x v="0"/>
    <x v="2"/>
    <n v="25.82977717720496"/>
    <n v="125785.57041968373"/>
  </r>
  <r>
    <x v="3"/>
    <x v="0"/>
    <s v="Germany"/>
    <x v="2"/>
    <x v="3"/>
    <n v="32.727483889357245"/>
    <n v="20091.09208874459"/>
  </r>
  <r>
    <x v="3"/>
    <x v="3"/>
    <s v="Other Asia"/>
    <x v="2"/>
    <x v="4"/>
    <n v="77.112421479978366"/>
    <n v="89004.702443052636"/>
  </r>
  <r>
    <x v="3"/>
    <x v="1"/>
    <s v="Other NorthAm"/>
    <x v="1"/>
    <x v="5"/>
    <n v="41.599974720156752"/>
    <n v="21953.440107556191"/>
  </r>
  <r>
    <x v="3"/>
    <x v="4"/>
    <s v="South Africa"/>
    <x v="0"/>
    <x v="0"/>
    <n v="57.621394828856864"/>
    <n v="64665.179948679805"/>
  </r>
  <r>
    <x v="0"/>
    <x v="1"/>
    <s v="Chile"/>
    <x v="1"/>
    <x v="1"/>
    <n v="139.07118519691721"/>
    <n v="91884.662075472079"/>
  </r>
  <r>
    <x v="0"/>
    <x v="3"/>
    <s v="Other Asia"/>
    <x v="0"/>
    <x v="2"/>
    <n v="35.724372473396215"/>
    <n v="101561.83467561277"/>
  </r>
  <r>
    <x v="0"/>
    <x v="1"/>
    <s v="Canada"/>
    <x v="2"/>
    <x v="3"/>
    <n v="1523.6360473943932"/>
    <n v="121096.66224758257"/>
  </r>
  <r>
    <x v="1"/>
    <x v="2"/>
    <s v="Japan"/>
    <x v="2"/>
    <x v="4"/>
    <n v="1487.0756693509065"/>
    <n v="98158.070149783525"/>
  </r>
  <r>
    <x v="1"/>
    <x v="1"/>
    <s v="Chile"/>
    <x v="1"/>
    <x v="5"/>
    <n v="97.265879490623774"/>
    <n v="119218.70976539321"/>
  </r>
  <r>
    <x v="1"/>
    <x v="3"/>
    <s v="Other Asia"/>
    <x v="0"/>
    <x v="0"/>
    <n v="295.88341969456451"/>
    <n v="39121.672173190294"/>
  </r>
  <r>
    <x v="1"/>
    <x v="1"/>
    <s v="Canada"/>
    <x v="1"/>
    <x v="1"/>
    <n v="1190.1104121803655"/>
    <n v="25271.656386233226"/>
  </r>
  <r>
    <x v="2"/>
    <x v="2"/>
    <s v="Japan"/>
    <x v="0"/>
    <x v="2"/>
    <n v="289.90618482357604"/>
    <n v="117823.61095852473"/>
  </r>
  <r>
    <x v="2"/>
    <x v="1"/>
    <s v="Chile"/>
    <x v="0"/>
    <x v="0"/>
    <n v="216.84468483927049"/>
    <n v="71186.548634381761"/>
  </r>
  <r>
    <x v="2"/>
    <x v="3"/>
    <s v="Other Asia"/>
    <x v="1"/>
    <x v="1"/>
    <n v="233.83280678308438"/>
    <n v="10884.545605998141"/>
  </r>
  <r>
    <x v="2"/>
    <x v="1"/>
    <s v="Canada"/>
    <x v="0"/>
    <x v="2"/>
    <n v="1219.1759434463165"/>
    <n v="100367.54962929995"/>
  </r>
  <r>
    <x v="3"/>
    <x v="2"/>
    <s v="Japan"/>
    <x v="2"/>
    <x v="3"/>
    <n v="590.89274732077683"/>
    <n v="16325.029754747196"/>
  </r>
  <r>
    <x v="3"/>
    <x v="1"/>
    <s v="Chile"/>
    <x v="0"/>
    <x v="0"/>
    <n v="249.20043496840663"/>
    <n v="42353.147475490041"/>
  </r>
  <r>
    <x v="3"/>
    <x v="3"/>
    <s v="Other Asia"/>
    <x v="1"/>
    <x v="1"/>
    <n v="157.32537067697194"/>
    <n v="106140.36080459868"/>
  </r>
  <r>
    <x v="3"/>
    <x v="1"/>
    <s v="Canada"/>
    <x v="0"/>
    <x v="2"/>
    <n v="1596.0895742406137"/>
    <n v="10361.648145177049"/>
  </r>
  <r>
    <x v="0"/>
    <x v="3"/>
    <s v="China"/>
    <x v="2"/>
    <x v="3"/>
    <n v="177.11702985743614"/>
    <n v="24483.560599855991"/>
  </r>
  <r>
    <x v="0"/>
    <x v="4"/>
    <s v="Morocco"/>
    <x v="2"/>
    <x v="4"/>
    <n v="100.84326285177667"/>
    <n v="94866.370366798947"/>
  </r>
  <r>
    <x v="0"/>
    <x v="1"/>
    <s v="Other LatAm"/>
    <x v="0"/>
    <x v="0"/>
    <n v="68.730995708938281"/>
    <n v="53743.10278084522"/>
  </r>
  <r>
    <x v="0"/>
    <x v="1"/>
    <s v="Brazil"/>
    <x v="1"/>
    <x v="1"/>
    <n v="44.43848845003231"/>
    <n v="25473.372056330845"/>
  </r>
  <r>
    <x v="0"/>
    <x v="1"/>
    <s v="Chile"/>
    <x v="0"/>
    <x v="2"/>
    <n v="78.523784269691532"/>
    <n v="80473.743041238777"/>
  </r>
  <r>
    <x v="0"/>
    <x v="4"/>
    <s v="Egypt"/>
    <x v="2"/>
    <x v="3"/>
    <n v="79.765051195863634"/>
    <n v="12288.849106334965"/>
  </r>
  <r>
    <x v="0"/>
    <x v="3"/>
    <s v="India"/>
    <x v="2"/>
    <x v="4"/>
    <n v="52.928616834378772"/>
    <n v="42677.091335553996"/>
  </r>
  <r>
    <x v="0"/>
    <x v="0"/>
    <s v="Italy"/>
    <x v="0"/>
    <x v="0"/>
    <n v="47.370416719968489"/>
    <n v="33772.254575706029"/>
  </r>
  <r>
    <x v="0"/>
    <x v="4"/>
    <s v="Kenya"/>
    <x v="1"/>
    <x v="1"/>
    <n v="86.636169096618687"/>
    <n v="86589.845120124664"/>
  </r>
  <r>
    <x v="0"/>
    <x v="4"/>
    <s v="Morocco"/>
    <x v="0"/>
    <x v="2"/>
    <n v="52.337769419318647"/>
    <n v="18103.476507531013"/>
  </r>
  <r>
    <x v="0"/>
    <x v="4"/>
    <s v="Other Africa"/>
    <x v="2"/>
    <x v="3"/>
    <n v="75.952052772390743"/>
    <n v="16792.309690481488"/>
  </r>
  <r>
    <x v="0"/>
    <x v="0"/>
    <s v="Other Europe"/>
    <x v="2"/>
    <x v="4"/>
    <n v="66.876001650052785"/>
    <n v="91721.955745924788"/>
  </r>
  <r>
    <x v="0"/>
    <x v="1"/>
    <s v="Peru"/>
    <x v="1"/>
    <x v="5"/>
    <n v="65.139539092433552"/>
    <n v="50709.931596520619"/>
  </r>
  <r>
    <x v="1"/>
    <x v="3"/>
    <s v="China"/>
    <x v="0"/>
    <x v="0"/>
    <n v="90.236329509934876"/>
    <n v="60559.109595542395"/>
  </r>
  <r>
    <x v="1"/>
    <x v="4"/>
    <s v="Morocco"/>
    <x v="1"/>
    <x v="1"/>
    <n v="167.42006514305103"/>
    <n v="3437.0049675026166"/>
  </r>
  <r>
    <x v="1"/>
    <x v="1"/>
    <s v="Other LatAm"/>
    <x v="0"/>
    <x v="0"/>
    <n v="108.52241612192302"/>
    <n v="89682.104408357191"/>
  </r>
  <r>
    <x v="1"/>
    <x v="1"/>
    <s v="Brazil"/>
    <x v="1"/>
    <x v="1"/>
    <n v="63.180439281586587"/>
    <n v="61824.471550763519"/>
  </r>
  <r>
    <x v="1"/>
    <x v="1"/>
    <s v="Chile"/>
    <x v="0"/>
    <x v="2"/>
    <n v="70.993900038229185"/>
    <n v="90068.468763121928"/>
  </r>
  <r>
    <x v="1"/>
    <x v="4"/>
    <s v="Egypt"/>
    <x v="2"/>
    <x v="3"/>
    <n v="22.332521897533297"/>
    <n v="10142.62534307727"/>
  </r>
  <r>
    <x v="1"/>
    <x v="3"/>
    <s v="India"/>
    <x v="2"/>
    <x v="4"/>
    <n v="95.750880049854459"/>
    <n v="12127.441508555421"/>
  </r>
  <r>
    <x v="1"/>
    <x v="0"/>
    <s v="Italy"/>
    <x v="1"/>
    <x v="5"/>
    <n v="7.902047799234424"/>
    <n v="65530.657488090583"/>
  </r>
  <r>
    <x v="1"/>
    <x v="4"/>
    <s v="Kenya"/>
    <x v="0"/>
    <x v="0"/>
    <n v="71.213930101657752"/>
    <n v="18199.840963791758"/>
  </r>
  <r>
    <x v="1"/>
    <x v="4"/>
    <s v="Morocco"/>
    <x v="1"/>
    <x v="1"/>
    <n v="74.220430841069174"/>
    <n v="24179.711141572625"/>
  </r>
  <r>
    <x v="1"/>
    <x v="4"/>
    <s v="Other Africa"/>
    <x v="0"/>
    <x v="2"/>
    <n v="78.189038582240755"/>
    <n v="75056.743545451347"/>
  </r>
  <r>
    <x v="1"/>
    <x v="0"/>
    <s v="Other Europe"/>
    <x v="0"/>
    <x v="0"/>
    <n v="40.235253261016624"/>
    <n v="38248.089273572987"/>
  </r>
  <r>
    <x v="1"/>
    <x v="1"/>
    <s v="Peru"/>
    <x v="1"/>
    <x v="1"/>
    <n v="17.764374356374901"/>
    <n v="620.47062100918993"/>
  </r>
  <r>
    <x v="2"/>
    <x v="3"/>
    <s v="China"/>
    <x v="0"/>
    <x v="2"/>
    <n v="177.21095838005567"/>
    <n v="27154.256182984082"/>
  </r>
  <r>
    <x v="2"/>
    <x v="4"/>
    <s v="Morocco"/>
    <x v="2"/>
    <x v="3"/>
    <n v="60.641928185214056"/>
    <n v="37395.719325168327"/>
  </r>
  <r>
    <x v="2"/>
    <x v="1"/>
    <s v="Other LatAm"/>
    <x v="0"/>
    <x v="0"/>
    <n v="130.01888773560495"/>
    <n v="29653.413290444805"/>
  </r>
  <r>
    <x v="2"/>
    <x v="1"/>
    <s v="Brazil"/>
    <x v="1"/>
    <x v="1"/>
    <n v="63.592021378826757"/>
    <n v="70180.570763741009"/>
  </r>
  <r>
    <x v="2"/>
    <x v="1"/>
    <s v="Chile"/>
    <x v="0"/>
    <x v="2"/>
    <n v="28.529063117550191"/>
    <n v="15108.237345059188"/>
  </r>
  <r>
    <x v="2"/>
    <x v="4"/>
    <s v="Egypt"/>
    <x v="2"/>
    <x v="3"/>
    <n v="18.901004097097029"/>
    <n v="38357.83036820362"/>
  </r>
  <r>
    <x v="2"/>
    <x v="3"/>
    <s v="India"/>
    <x v="2"/>
    <x v="4"/>
    <n v="10.654585721295007"/>
    <n v="77980.10922802522"/>
  </r>
  <r>
    <x v="2"/>
    <x v="0"/>
    <s v="Italy"/>
    <x v="0"/>
    <x v="0"/>
    <n v="3.7152283679477982"/>
    <n v="65643.584440239851"/>
  </r>
  <r>
    <x v="2"/>
    <x v="4"/>
    <s v="Kenya"/>
    <x v="1"/>
    <x v="1"/>
    <n v="14.069706675400084"/>
    <n v="66318.88660660485"/>
  </r>
  <r>
    <x v="2"/>
    <x v="4"/>
    <s v="Morocco"/>
    <x v="0"/>
    <x v="2"/>
    <n v="20.182515551823599"/>
    <n v="43230.904369086427"/>
  </r>
  <r>
    <x v="2"/>
    <x v="4"/>
    <s v="Other Africa"/>
    <x v="2"/>
    <x v="3"/>
    <n v="87.689541155214101"/>
    <n v="58328.553334850003"/>
  </r>
  <r>
    <x v="2"/>
    <x v="0"/>
    <s v="Other Europe"/>
    <x v="2"/>
    <x v="4"/>
    <n v="1.9482250383589417"/>
    <n v="58620.849540628005"/>
  </r>
  <r>
    <x v="2"/>
    <x v="1"/>
    <s v="Peru"/>
    <x v="0"/>
    <x v="0"/>
    <n v="85.508677666439326"/>
    <n v="73878.415099880935"/>
  </r>
  <r>
    <x v="3"/>
    <x v="3"/>
    <s v="China"/>
    <x v="1"/>
    <x v="1"/>
    <n v="143.82138313794712"/>
    <n v="43942.100098472962"/>
  </r>
  <r>
    <x v="3"/>
    <x v="4"/>
    <s v="Morocco"/>
    <x v="0"/>
    <x v="2"/>
    <n v="85.436618502353667"/>
    <n v="51756.404736562305"/>
  </r>
  <r>
    <x v="3"/>
    <x v="1"/>
    <s v="Other LatAm"/>
    <x v="2"/>
    <x v="3"/>
    <n v="161.71719179419597"/>
    <n v="11411.904013939364"/>
  </r>
  <r>
    <x v="3"/>
    <x v="1"/>
    <s v="Brazil"/>
    <x v="2"/>
    <x v="4"/>
    <n v="9.9283061405003536"/>
    <n v="34303.200940980227"/>
  </r>
  <r>
    <x v="3"/>
    <x v="1"/>
    <s v="Chile"/>
    <x v="1"/>
    <x v="5"/>
    <n v="76.798394215711596"/>
    <n v="35464.992214699436"/>
  </r>
  <r>
    <x v="3"/>
    <x v="4"/>
    <s v="Egypt"/>
    <x v="0"/>
    <x v="0"/>
    <n v="97.385058962572657"/>
    <n v="6959.927095020942"/>
  </r>
  <r>
    <x v="3"/>
    <x v="3"/>
    <s v="India"/>
    <x v="0"/>
    <x v="0"/>
    <n v="2.6591125320010178"/>
    <n v="11591.486860909563"/>
  </r>
  <r>
    <x v="3"/>
    <x v="0"/>
    <s v="Italy"/>
    <x v="1"/>
    <x v="1"/>
    <n v="51.15981683593418"/>
    <n v="30163.845372557469"/>
  </r>
  <r>
    <x v="3"/>
    <x v="4"/>
    <s v="Kenya"/>
    <x v="0"/>
    <x v="2"/>
    <n v="37.248194237963617"/>
    <n v="60943.495028967016"/>
  </r>
  <r>
    <x v="3"/>
    <x v="4"/>
    <s v="Morocco"/>
    <x v="2"/>
    <x v="3"/>
    <n v="51.712065301217081"/>
    <n v="68604.47688201748"/>
  </r>
  <r>
    <x v="3"/>
    <x v="4"/>
    <s v="Other Africa"/>
    <x v="2"/>
    <x v="4"/>
    <n v="85.4875101403195"/>
    <n v="916.84033214210103"/>
  </r>
  <r>
    <x v="3"/>
    <x v="0"/>
    <s v="Other Europe"/>
    <x v="1"/>
    <x v="5"/>
    <n v="60.427970557066146"/>
    <n v="56553.691261678767"/>
  </r>
  <r>
    <x v="3"/>
    <x v="1"/>
    <s v="Peru"/>
    <x v="0"/>
    <x v="0"/>
    <n v="43.711287169207935"/>
    <n v="65480.063221693359"/>
  </r>
  <r>
    <x v="0"/>
    <x v="1"/>
    <s v="Canada"/>
    <x v="1"/>
    <x v="1"/>
    <n v="1010.4547427408761"/>
    <n v="13776.29415144329"/>
  </r>
  <r>
    <x v="1"/>
    <x v="1"/>
    <s v="Canada"/>
    <x v="0"/>
    <x v="2"/>
    <n v="1911.5653735090746"/>
    <n v="42875.635799501557"/>
  </r>
  <r>
    <x v="2"/>
    <x v="1"/>
    <s v="Canada"/>
    <x v="0"/>
    <x v="0"/>
    <n v="116.36232526816457"/>
    <n v="19221.35044877819"/>
  </r>
  <r>
    <x v="3"/>
    <x v="1"/>
    <s v="Canada"/>
    <x v="1"/>
    <x v="1"/>
    <n v="804.43315641277877"/>
    <n v="9449.929069359574"/>
  </r>
  <r>
    <x v="0"/>
    <x v="2"/>
    <s v="Japan"/>
    <x v="0"/>
    <x v="2"/>
    <n v="1330.5281368517171"/>
    <n v="41554.648790690408"/>
  </r>
  <r>
    <x v="0"/>
    <x v="1"/>
    <s v="Argentina"/>
    <x v="2"/>
    <x v="3"/>
    <n v="18.172000426056911"/>
    <n v="43514.037482054846"/>
  </r>
  <r>
    <x v="0"/>
    <x v="4"/>
    <s v="Egypt"/>
    <x v="0"/>
    <x v="0"/>
    <n v="98.899655097102368"/>
    <n v="1226.2833784461691"/>
  </r>
  <r>
    <x v="0"/>
    <x v="4"/>
    <s v="Kenya"/>
    <x v="1"/>
    <x v="1"/>
    <n v="83.901809704366315"/>
    <n v="31605.66793549151"/>
  </r>
  <r>
    <x v="0"/>
    <x v="4"/>
    <s v="Other Africa"/>
    <x v="0"/>
    <x v="2"/>
    <n v="83.409800295430614"/>
    <n v="7380.8966081287508"/>
  </r>
  <r>
    <x v="0"/>
    <x v="4"/>
    <s v="South Africa"/>
    <x v="2"/>
    <x v="3"/>
    <n v="55.929060189373558"/>
    <n v="4269.4860756455455"/>
  </r>
  <r>
    <x v="1"/>
    <x v="2"/>
    <s v="Japan"/>
    <x v="2"/>
    <x v="4"/>
    <n v="656.18777417839738"/>
    <n v="33499.611718655113"/>
  </r>
  <r>
    <x v="0"/>
    <x v="1"/>
    <s v="Argentina"/>
    <x v="0"/>
    <x v="0"/>
    <n v="122.30559147083113"/>
    <n v="43768.777140474413"/>
  </r>
  <r>
    <x v="0"/>
    <x v="0"/>
    <s v="Germany"/>
    <x v="1"/>
    <x v="1"/>
    <n v="249.64012582240684"/>
    <n v="8769.3022191087948"/>
  </r>
  <r>
    <x v="0"/>
    <x v="0"/>
    <s v="Italy"/>
    <x v="0"/>
    <x v="2"/>
    <n v="536.00102790569508"/>
    <n v="36000.438400340499"/>
  </r>
  <r>
    <x v="0"/>
    <x v="1"/>
    <s v="Mexico"/>
    <x v="2"/>
    <x v="3"/>
    <n v="429.30719341384247"/>
    <n v="30698.481412415276"/>
  </r>
  <r>
    <x v="0"/>
    <x v="0"/>
    <s v="United Kingdom"/>
    <x v="2"/>
    <x v="4"/>
    <n v="354.0052480313534"/>
    <n v="15963.081263238564"/>
  </r>
  <r>
    <x v="1"/>
    <x v="1"/>
    <s v="Argentina"/>
    <x v="0"/>
    <x v="0"/>
    <n v="80.39567299074406"/>
    <n v="35335.27592693326"/>
  </r>
  <r>
    <x v="1"/>
    <x v="4"/>
    <s v="Egypt"/>
    <x v="1"/>
    <x v="1"/>
    <n v="36.694105445803871"/>
    <n v="39940.518405964212"/>
  </r>
  <r>
    <x v="1"/>
    <x v="4"/>
    <s v="Kenya"/>
    <x v="0"/>
    <x v="2"/>
    <n v="60.649137344807968"/>
    <n v="16895.911060873459"/>
  </r>
  <r>
    <x v="1"/>
    <x v="4"/>
    <s v="Other Africa"/>
    <x v="2"/>
    <x v="3"/>
    <n v="2.9912104938375705"/>
    <n v="29856.580073186706"/>
  </r>
  <r>
    <x v="1"/>
    <x v="4"/>
    <s v="South Africa"/>
    <x v="2"/>
    <x v="4"/>
    <n v="3.6371590334965731"/>
    <n v="32396.824948340509"/>
  </r>
  <r>
    <x v="2"/>
    <x v="2"/>
    <s v="Japan"/>
    <x v="1"/>
    <x v="5"/>
    <n v="2013.5771431389003"/>
    <n v="1539.7945998878604"/>
  </r>
  <r>
    <x v="1"/>
    <x v="1"/>
    <s v="Argentina"/>
    <x v="0"/>
    <x v="0"/>
    <n v="22.622758201032411"/>
    <n v="26978.39157099399"/>
  </r>
  <r>
    <x v="1"/>
    <x v="0"/>
    <s v="Germany"/>
    <x v="1"/>
    <x v="1"/>
    <n v="495.65754695868236"/>
    <n v="42551.314941900491"/>
  </r>
  <r>
    <x v="1"/>
    <x v="0"/>
    <s v="Italy"/>
    <x v="0"/>
    <x v="2"/>
    <n v="289.89272107082797"/>
    <n v="35001.795021727594"/>
  </r>
  <r>
    <x v="1"/>
    <x v="1"/>
    <s v="Mexico"/>
    <x v="0"/>
    <x v="0"/>
    <n v="549.55951464107784"/>
    <n v="9996.5934672032017"/>
  </r>
  <r>
    <x v="1"/>
    <x v="0"/>
    <s v="United Kingdom"/>
    <x v="1"/>
    <x v="1"/>
    <n v="165.77514676373539"/>
    <n v="1804.5772830901842"/>
  </r>
  <r>
    <x v="0"/>
    <x v="1"/>
    <s v="Canada"/>
    <x v="0"/>
    <x v="2"/>
    <n v="1674.079551945033"/>
    <n v="6810.9302469794784"/>
  </r>
  <r>
    <x v="2"/>
    <x v="1"/>
    <s v="Argentina"/>
    <x v="2"/>
    <x v="3"/>
    <n v="99.239204380410229"/>
    <n v="28239.746595029523"/>
  </r>
  <r>
    <x v="2"/>
    <x v="4"/>
    <s v="Egypt"/>
    <x v="2"/>
    <x v="4"/>
    <n v="78.917590529636072"/>
    <n v="20140.767565287151"/>
  </r>
  <r>
    <x v="2"/>
    <x v="4"/>
    <s v="Kenya"/>
    <x v="1"/>
    <x v="5"/>
    <n v="19.713546950242744"/>
    <n v="26068.568233030124"/>
  </r>
  <r>
    <x v="2"/>
    <x v="4"/>
    <s v="Other Africa"/>
    <x v="0"/>
    <x v="0"/>
    <n v="73.679944347895798"/>
    <n v="25704.360369216985"/>
  </r>
  <r>
    <x v="2"/>
    <x v="4"/>
    <s v="South Africa"/>
    <x v="1"/>
    <x v="1"/>
    <n v="46.695336906759621"/>
    <n v="38253.744836762533"/>
  </r>
  <r>
    <x v="0"/>
    <x v="1"/>
    <s v="Caribbean"/>
    <x v="0"/>
    <x v="2"/>
    <n v="354.16483875451377"/>
    <n v="15581.96593367029"/>
  </r>
  <r>
    <x v="3"/>
    <x v="2"/>
    <s v="Japan"/>
    <x v="2"/>
    <x v="3"/>
    <n v="2686.0974874060048"/>
    <n v="36895.12296486093"/>
  </r>
  <r>
    <x v="2"/>
    <x v="1"/>
    <s v="Argentina"/>
    <x v="2"/>
    <x v="4"/>
    <n v="77.130553748793318"/>
    <n v="25031.603817545492"/>
  </r>
  <r>
    <x v="2"/>
    <x v="0"/>
    <s v="Germany"/>
    <x v="1"/>
    <x v="5"/>
    <n v="440.25125808238954"/>
    <n v="15340.245051727112"/>
  </r>
  <r>
    <x v="2"/>
    <x v="0"/>
    <s v="Italy"/>
    <x v="0"/>
    <x v="0"/>
    <n v="308.96483662581886"/>
    <n v="10006.398116881839"/>
  </r>
  <r>
    <x v="2"/>
    <x v="1"/>
    <s v="Mexico"/>
    <x v="1"/>
    <x v="1"/>
    <n v="116.3207001032788"/>
    <n v="37905.19945789803"/>
  </r>
  <r>
    <x v="2"/>
    <x v="0"/>
    <s v="United Kingdom"/>
    <x v="0"/>
    <x v="2"/>
    <n v="382.35063689244271"/>
    <n v="64.398321693915022"/>
  </r>
  <r>
    <x v="1"/>
    <x v="1"/>
    <s v="Canada"/>
    <x v="0"/>
    <x v="0"/>
    <n v="689.44827088625971"/>
    <n v="6113.6130254422715"/>
  </r>
  <r>
    <x v="0"/>
    <x v="0"/>
    <s v="Germany"/>
    <x v="1"/>
    <x v="1"/>
    <n v="1820.774084306322"/>
    <n v="482.8005523304455"/>
  </r>
  <r>
    <x v="0"/>
    <x v="1"/>
    <s v="United States"/>
    <x v="0"/>
    <x v="2"/>
    <n v="1890.27279530128"/>
    <n v="802.76857861317694"/>
  </r>
  <r>
    <x v="0"/>
    <x v="3"/>
    <s v="Australia"/>
    <x v="2"/>
    <x v="3"/>
    <n v="70.354450117883971"/>
    <n v="18041.342134180013"/>
  </r>
  <r>
    <x v="3"/>
    <x v="1"/>
    <s v="Argentina"/>
    <x v="0"/>
    <x v="0"/>
    <n v="96.355044109623122"/>
    <n v="13742.349578615054"/>
  </r>
  <r>
    <x v="3"/>
    <x v="4"/>
    <s v="Egypt"/>
    <x v="1"/>
    <x v="1"/>
    <n v="20.104309202815784"/>
    <n v="30110.167608378833"/>
  </r>
  <r>
    <x v="3"/>
    <x v="4"/>
    <s v="Kenya"/>
    <x v="0"/>
    <x v="2"/>
    <n v="88.995255834743148"/>
    <n v="27152.482894135221"/>
  </r>
  <r>
    <x v="3"/>
    <x v="4"/>
    <s v="Other Africa"/>
    <x v="2"/>
    <x v="3"/>
    <n v="52.453495829377061"/>
    <n v="10061.317928274704"/>
  </r>
  <r>
    <x v="3"/>
    <x v="4"/>
    <s v="South Africa"/>
    <x v="2"/>
    <x v="4"/>
    <n v="19.326456809540105"/>
    <n v="27139.073526853768"/>
  </r>
  <r>
    <x v="1"/>
    <x v="1"/>
    <s v="Caribbean"/>
    <x v="0"/>
    <x v="0"/>
    <n v="80.201811410461232"/>
    <n v="7156.7075805243803"/>
  </r>
  <r>
    <x v="3"/>
    <x v="1"/>
    <s v="Argentina"/>
    <x v="1"/>
    <x v="1"/>
    <n v="358.19980643354938"/>
    <n v="20143.34649067518"/>
  </r>
  <r>
    <x v="3"/>
    <x v="0"/>
    <s v="Germany"/>
    <x v="0"/>
    <x v="2"/>
    <n v="413.26282219033601"/>
    <n v="16960.944933319042"/>
  </r>
  <r>
    <x v="3"/>
    <x v="0"/>
    <s v="Italy"/>
    <x v="2"/>
    <x v="3"/>
    <n v="15.048346424373449"/>
    <n v="4403.5623380154429"/>
  </r>
  <r>
    <x v="3"/>
    <x v="1"/>
    <s v="Mexico"/>
    <x v="2"/>
    <x v="4"/>
    <n v="558.84102144154895"/>
    <n v="23843.53158766963"/>
  </r>
  <r>
    <x v="3"/>
    <x v="0"/>
    <s v="United Kingdom"/>
    <x v="0"/>
    <x v="0"/>
    <n v="79.757885179242294"/>
    <n v="11568.738643080542"/>
  </r>
  <r>
    <x v="2"/>
    <x v="1"/>
    <s v="Canada"/>
    <x v="1"/>
    <x v="1"/>
    <n v="344.58932776651636"/>
    <n v="29647.379634067202"/>
  </r>
  <r>
    <x v="1"/>
    <x v="0"/>
    <s v="Germany"/>
    <x v="0"/>
    <x v="2"/>
    <n v="1613.1950862676604"/>
    <n v="11650.82490139408"/>
  </r>
  <r>
    <x v="1"/>
    <x v="1"/>
    <s v="United States"/>
    <x v="2"/>
    <x v="3"/>
    <n v="2078.752363024978"/>
    <n v="24153.97039587039"/>
  </r>
  <r>
    <x v="1"/>
    <x v="3"/>
    <s v="Australia"/>
    <x v="2"/>
    <x v="4"/>
    <n v="877.81287063371565"/>
    <n v="6367.3914231648669"/>
  </r>
  <r>
    <x v="2"/>
    <x v="1"/>
    <s v="Caribbean"/>
    <x v="1"/>
    <x v="5"/>
    <n v="229.42457973113051"/>
    <n v="8348.1864055419683"/>
  </r>
  <r>
    <x v="3"/>
    <x v="1"/>
    <s v="Canada"/>
    <x v="0"/>
    <x v="0"/>
    <n v="1935.1185544318469"/>
    <n v="26684.787808885638"/>
  </r>
  <r>
    <x v="0"/>
    <x v="1"/>
    <s v="United States"/>
    <x v="1"/>
    <x v="1"/>
    <n v="842.55829413996253"/>
    <n v="5935.4077023070204"/>
  </r>
  <r>
    <x v="0"/>
    <x v="3"/>
    <s v="China"/>
    <x v="0"/>
    <x v="2"/>
    <n v="38.411349630769109"/>
    <n v="9319.0483561484143"/>
  </r>
  <r>
    <x v="0"/>
    <x v="0"/>
    <s v="France"/>
    <x v="0"/>
    <x v="0"/>
    <n v="182.11977934151946"/>
    <n v="30877.127675776137"/>
  </r>
  <r>
    <x v="0"/>
    <x v="0"/>
    <s v="Other Europe"/>
    <x v="1"/>
    <x v="1"/>
    <n v="302.68649500212632"/>
    <n v="17293.083354597911"/>
  </r>
  <r>
    <x v="0"/>
    <x v="1"/>
    <s v="Peru"/>
    <x v="0"/>
    <x v="0"/>
    <n v="78.413678933793562"/>
    <n v="31735.808885510778"/>
  </r>
  <r>
    <x v="2"/>
    <x v="0"/>
    <s v="Germany"/>
    <x v="1"/>
    <x v="1"/>
    <n v="2729.50992549886"/>
    <n v="14363.300833661719"/>
  </r>
  <r>
    <x v="2"/>
    <x v="1"/>
    <s v="United States"/>
    <x v="0"/>
    <x v="2"/>
    <n v="803.50771762023214"/>
    <n v="15497.078099806862"/>
  </r>
  <r>
    <x v="2"/>
    <x v="3"/>
    <s v="Australia"/>
    <x v="2"/>
    <x v="3"/>
    <n v="680.85420195566257"/>
    <n v="15304.110691643818"/>
  </r>
  <r>
    <x v="3"/>
    <x v="1"/>
    <s v="Caribbean"/>
    <x v="2"/>
    <x v="4"/>
    <n v="55.737593025241949"/>
    <n v="26959.388553101788"/>
  </r>
  <r>
    <x v="1"/>
    <x v="1"/>
    <s v="United States"/>
    <x v="1"/>
    <x v="5"/>
    <n v="925.66797296785808"/>
    <n v="28964.804953722374"/>
  </r>
  <r>
    <x v="1"/>
    <x v="3"/>
    <s v="China"/>
    <x v="0"/>
    <x v="0"/>
    <n v="356.27163587814721"/>
    <n v="20045.668032186513"/>
  </r>
  <r>
    <x v="1"/>
    <x v="0"/>
    <s v="France"/>
    <x v="1"/>
    <x v="1"/>
    <n v="249.85705183062237"/>
    <n v="5491.4576788805425"/>
  </r>
  <r>
    <x v="1"/>
    <x v="0"/>
    <s v="Other Europe"/>
    <x v="0"/>
    <x v="2"/>
    <n v="341.9585723993805"/>
    <n v="5700.297249337018"/>
  </r>
  <r>
    <x v="1"/>
    <x v="1"/>
    <s v="Peru"/>
    <x v="0"/>
    <x v="0"/>
    <n v="384.99951288758893"/>
    <n v="12247.707029394223"/>
  </r>
  <r>
    <x v="3"/>
    <x v="0"/>
    <s v="Germany"/>
    <x v="1"/>
    <x v="1"/>
    <n v="1554.6132119750837"/>
    <n v="25943.081428732166"/>
  </r>
  <r>
    <x v="3"/>
    <x v="1"/>
    <s v="United States"/>
    <x v="0"/>
    <x v="2"/>
    <n v="1775.9305415558629"/>
    <n v="18343.020225866439"/>
  </r>
  <r>
    <x v="3"/>
    <x v="3"/>
    <s v="Australia"/>
    <x v="2"/>
    <x v="3"/>
    <n v="98.204619733223808"/>
    <n v="132.10265519276345"/>
  </r>
  <r>
    <x v="0"/>
    <x v="1"/>
    <s v="Brazil"/>
    <x v="0"/>
    <x v="0"/>
    <n v="378.3273145532803"/>
    <n v="17385.95978798694"/>
  </r>
  <r>
    <x v="0"/>
    <x v="1"/>
    <s v="Caribbean"/>
    <x v="1"/>
    <x v="1"/>
    <n v="259.93694743165179"/>
    <n v="1798.7550428893883"/>
  </r>
  <r>
    <x v="0"/>
    <x v="1"/>
    <s v="Chile"/>
    <x v="0"/>
    <x v="2"/>
    <n v="245.0935638975352"/>
    <n v="20507.570090182708"/>
  </r>
  <r>
    <x v="0"/>
    <x v="1"/>
    <s v="Canada"/>
    <x v="2"/>
    <x v="3"/>
    <n v="717.68885397214035"/>
    <n v="15589.061906073766"/>
  </r>
  <r>
    <x v="0"/>
    <x v="0"/>
    <s v="United Kingdom"/>
    <x v="2"/>
    <x v="4"/>
    <n v="219.99365843876149"/>
    <n v="20194.245956722807"/>
  </r>
  <r>
    <x v="2"/>
    <x v="1"/>
    <s v="United States"/>
    <x v="0"/>
    <x v="0"/>
    <n v="632.03464853340847"/>
    <n v="8744.5891199586185"/>
  </r>
  <r>
    <x v="2"/>
    <x v="3"/>
    <s v="China"/>
    <x v="1"/>
    <x v="1"/>
    <n v="139.12235493917251"/>
    <n v="1777.3054932421301"/>
  </r>
  <r>
    <x v="2"/>
    <x v="0"/>
    <s v="France"/>
    <x v="0"/>
    <x v="2"/>
    <n v="208.6967383245792"/>
    <n v="18821.059809561557"/>
  </r>
  <r>
    <x v="2"/>
    <x v="0"/>
    <s v="Other Europe"/>
    <x v="2"/>
    <x v="3"/>
    <n v="153.40949839374645"/>
    <n v="20665.207686230176"/>
  </r>
  <r>
    <x v="2"/>
    <x v="1"/>
    <s v="Peru"/>
    <x v="2"/>
    <x v="4"/>
    <n v="347.71255478590319"/>
    <n v="14462.920134286422"/>
  </r>
  <r>
    <x v="0"/>
    <x v="0"/>
    <s v="United Kingdom"/>
    <x v="0"/>
    <x v="0"/>
    <n v="1958.6898599911365"/>
    <n v="2790.8231655426789"/>
  </r>
  <r>
    <x v="1"/>
    <x v="1"/>
    <s v="Brazil"/>
    <x v="1"/>
    <x v="1"/>
    <n v="266.53354133040921"/>
    <n v="13550.934018374537"/>
  </r>
  <r>
    <x v="1"/>
    <x v="1"/>
    <s v="Caribbean"/>
    <x v="0"/>
    <x v="2"/>
    <n v="112.64997988346295"/>
    <n v="1412.1508639076783"/>
  </r>
  <r>
    <x v="1"/>
    <x v="1"/>
    <s v="Chile"/>
    <x v="2"/>
    <x v="3"/>
    <n v="10.380430281384179"/>
    <n v="16975.928365024505"/>
  </r>
  <r>
    <x v="1"/>
    <x v="1"/>
    <s v="Canada"/>
    <x v="2"/>
    <x v="4"/>
    <n v="800.04468207625905"/>
    <n v="16234.770159608615"/>
  </r>
  <r>
    <x v="1"/>
    <x v="0"/>
    <s v="United Kingdom"/>
    <x v="1"/>
    <x v="5"/>
    <n v="1170.5174211751"/>
    <n v="19706.364593312079"/>
  </r>
  <r>
    <x v="3"/>
    <x v="1"/>
    <s v="United States"/>
    <x v="0"/>
    <x v="0"/>
    <n v="235.72092043068551"/>
    <n v="15406.344605136841"/>
  </r>
  <r>
    <x v="3"/>
    <x v="3"/>
    <s v="China"/>
    <x v="1"/>
    <x v="1"/>
    <n v="52.706794342157082"/>
    <n v="10548.76139238543"/>
  </r>
  <r>
    <x v="3"/>
    <x v="0"/>
    <s v="France"/>
    <x v="0"/>
    <x v="2"/>
    <n v="391.46982555394061"/>
    <n v="12637.726019589825"/>
  </r>
  <r>
    <x v="3"/>
    <x v="0"/>
    <s v="Other Europe"/>
    <x v="0"/>
    <x v="0"/>
    <n v="262.73426858933817"/>
    <n v="12447.327712846934"/>
  </r>
  <r>
    <x v="3"/>
    <x v="1"/>
    <s v="Peru"/>
    <x v="1"/>
    <x v="1"/>
    <n v="67.461429109971505"/>
    <n v="13970.300181724107"/>
  </r>
  <r>
    <x v="1"/>
    <x v="0"/>
    <s v="United Kingdom"/>
    <x v="0"/>
    <x v="2"/>
    <n v="2016.4927702377099"/>
    <n v="17904.858444045924"/>
  </r>
  <r>
    <x v="0"/>
    <x v="3"/>
    <s v="Australia"/>
    <x v="2"/>
    <x v="3"/>
    <n v="19.897292232963082"/>
    <n v="10674.569177142985"/>
  </r>
  <r>
    <x v="0"/>
    <x v="1"/>
    <s v="Other NorthAm"/>
    <x v="2"/>
    <x v="4"/>
    <n v="42.945316933310096"/>
    <n v="18372.990272735478"/>
  </r>
  <r>
    <x v="0"/>
    <x v="1"/>
    <s v="Canada"/>
    <x v="1"/>
    <x v="5"/>
    <n v="892.25741718546487"/>
    <n v="2228.9960814887309"/>
  </r>
  <r>
    <x v="2"/>
    <x v="1"/>
    <s v="Brazil"/>
    <x v="0"/>
    <x v="0"/>
    <n v="178.02199794195985"/>
    <n v="16965.882447576434"/>
  </r>
  <r>
    <x v="2"/>
    <x v="1"/>
    <s v="Caribbean"/>
    <x v="1"/>
    <x v="1"/>
    <n v="0.14828462390141794"/>
    <n v="11742.192386941017"/>
  </r>
  <r>
    <x v="2"/>
    <x v="1"/>
    <s v="Chile"/>
    <x v="0"/>
    <x v="2"/>
    <n v="786.58814032796727"/>
    <n v="17706.970307853786"/>
  </r>
  <r>
    <x v="0"/>
    <x v="1"/>
    <s v="United States"/>
    <x v="2"/>
    <x v="3"/>
    <n v="1488.7458934554161"/>
    <n v="23673.062096829381"/>
  </r>
  <r>
    <x v="0"/>
    <x v="2"/>
    <s v="Japan"/>
    <x v="2"/>
    <x v="4"/>
    <n v="38.420314353970753"/>
    <n v="12586.056826084132"/>
  </r>
  <r>
    <x v="2"/>
    <x v="1"/>
    <s v="Canada"/>
    <x v="1"/>
    <x v="5"/>
    <n v="3.7168547802139074"/>
    <n v="15224.708735692897"/>
  </r>
  <r>
    <x v="2"/>
    <x v="0"/>
    <s v="United Kingdom"/>
    <x v="0"/>
    <x v="0"/>
    <n v="943.89146839712339"/>
    <n v="11214.215256813528"/>
  </r>
  <r>
    <x v="0"/>
    <x v="3"/>
    <s v="Other Asia"/>
    <x v="1"/>
    <x v="1"/>
    <n v="123.22222422280902"/>
    <n v="15983.366590662627"/>
  </r>
  <r>
    <x v="0"/>
    <x v="1"/>
    <s v="United States"/>
    <x v="0"/>
    <x v="2"/>
    <n v="754.92672498430693"/>
    <n v="18367.304818688353"/>
  </r>
  <r>
    <x v="2"/>
    <x v="0"/>
    <s v="United Kingdom"/>
    <x v="0"/>
    <x v="0"/>
    <n v="1829.316968726198"/>
    <n v="16607.755004481056"/>
  </r>
  <r>
    <x v="1"/>
    <x v="3"/>
    <s v="Australia"/>
    <x v="1"/>
    <x v="1"/>
    <n v="84.970712433732842"/>
    <n v="12727.551646478751"/>
  </r>
  <r>
    <x v="1"/>
    <x v="1"/>
    <s v="Other NorthAm"/>
    <x v="0"/>
    <x v="2"/>
    <n v="70.171496564034896"/>
    <n v="5103.0714610205905"/>
  </r>
  <r>
    <x v="1"/>
    <x v="1"/>
    <s v="Canada"/>
    <x v="2"/>
    <x v="3"/>
    <n v="78.328631019030581"/>
    <n v="18541.033960402201"/>
  </r>
  <r>
    <x v="3"/>
    <x v="1"/>
    <s v="Brazil"/>
    <x v="0"/>
    <x v="0"/>
    <n v="387.84384065002087"/>
    <n v="11239.518767140144"/>
  </r>
  <r>
    <x v="3"/>
    <x v="1"/>
    <s v="Caribbean"/>
    <x v="1"/>
    <x v="1"/>
    <n v="460.83821939419067"/>
    <n v="2398.7833460667434"/>
  </r>
  <r>
    <x v="3"/>
    <x v="1"/>
    <s v="Chile"/>
    <x v="0"/>
    <x v="2"/>
    <n v="145.61000218691333"/>
    <n v="21407.76483408517"/>
  </r>
  <r>
    <x v="1"/>
    <x v="1"/>
    <s v="United States"/>
    <x v="2"/>
    <x v="3"/>
    <n v="1078.3300793290437"/>
    <n v="15507.809793314887"/>
  </r>
  <r>
    <x v="1"/>
    <x v="2"/>
    <s v="Japan"/>
    <x v="2"/>
    <x v="4"/>
    <n v="93.484868466475746"/>
    <n v="13657.855697279883"/>
  </r>
  <r>
    <x v="3"/>
    <x v="1"/>
    <s v="Canada"/>
    <x v="0"/>
    <x v="0"/>
    <n v="780.82669360337604"/>
    <n v="8330.6252624193548"/>
  </r>
  <r>
    <x v="3"/>
    <x v="0"/>
    <s v="United Kingdom"/>
    <x v="1"/>
    <x v="1"/>
    <n v="580.51550254531321"/>
    <n v="18924.534168082573"/>
  </r>
  <r>
    <x v="0"/>
    <x v="1"/>
    <s v="Canada"/>
    <x v="0"/>
    <x v="2"/>
    <n v="230.40874317384805"/>
    <n v="4427.1024847468652"/>
  </r>
  <r>
    <x v="0"/>
    <x v="0"/>
    <s v="France"/>
    <x v="2"/>
    <x v="3"/>
    <n v="1475.0016358448192"/>
    <n v="4318.4346115576773"/>
  </r>
  <r>
    <x v="1"/>
    <x v="3"/>
    <s v="Other Asia"/>
    <x v="2"/>
    <x v="4"/>
    <n v="522.63944720225481"/>
    <n v="1270.3881077482365"/>
  </r>
  <r>
    <x v="1"/>
    <x v="1"/>
    <s v="United States"/>
    <x v="0"/>
    <x v="0"/>
    <n v="420.57537652126484"/>
    <n v="9474.78788668368"/>
  </r>
  <r>
    <x v="3"/>
    <x v="0"/>
    <s v="United Kingdom"/>
    <x v="1"/>
    <x v="1"/>
    <n v="238.34435440494417"/>
    <n v="5767.4285068915015"/>
  </r>
  <r>
    <x v="2"/>
    <x v="3"/>
    <s v="Australia"/>
    <x v="0"/>
    <x v="2"/>
    <n v="193.87249307583261"/>
    <n v="6038.067092921332"/>
  </r>
  <r>
    <x v="2"/>
    <x v="1"/>
    <s v="Other NorthAm"/>
    <x v="2"/>
    <x v="3"/>
    <n v="212.81593295616403"/>
    <n v="3771.526366962913"/>
  </r>
  <r>
    <x v="2"/>
    <x v="1"/>
    <s v="Canada"/>
    <x v="2"/>
    <x v="4"/>
    <n v="50.345404979452724"/>
    <n v="2605.5195398644573"/>
  </r>
  <r>
    <x v="2"/>
    <x v="1"/>
    <s v="United States"/>
    <x v="1"/>
    <x v="5"/>
    <n v="544.80967977815453"/>
    <n v="2317.8999957609594"/>
  </r>
  <r>
    <x v="0"/>
    <x v="0"/>
    <s v="France"/>
    <x v="0"/>
    <x v="0"/>
    <n v="77.293843540610396"/>
    <n v="8156.6261624742765"/>
  </r>
  <r>
    <x v="0"/>
    <x v="2"/>
    <s v="Japan"/>
    <x v="1"/>
    <x v="1"/>
    <n v="191.33175700899301"/>
    <n v="11135.77427129494"/>
  </r>
  <r>
    <x v="0"/>
    <x v="1"/>
    <s v="United States"/>
    <x v="0"/>
    <x v="2"/>
    <n v="416.64659049420152"/>
    <n v="18058.606217539636"/>
  </r>
  <r>
    <x v="2"/>
    <x v="2"/>
    <s v="Japan"/>
    <x v="0"/>
    <x v="0"/>
    <n v="53.089185373210057"/>
    <n v="3636.4653450776532"/>
  </r>
  <r>
    <x v="1"/>
    <x v="1"/>
    <s v="Canada"/>
    <x v="0"/>
    <x v="0"/>
    <n v="1177.2916590483874"/>
    <n v="3392.9014135358848"/>
  </r>
  <r>
    <x v="1"/>
    <x v="0"/>
    <s v="France"/>
    <x v="1"/>
    <x v="1"/>
    <n v="716.96441056456024"/>
    <n v="2759.3168195138351"/>
  </r>
  <r>
    <x v="2"/>
    <x v="3"/>
    <s v="Other Asia"/>
    <x v="0"/>
    <x v="2"/>
    <n v="461.98816756186716"/>
    <n v="13627.971552255687"/>
  </r>
  <r>
    <x v="2"/>
    <x v="1"/>
    <s v="United States"/>
    <x v="2"/>
    <x v="3"/>
    <n v="821.15266164591958"/>
    <n v="573.10328885558556"/>
  </r>
  <r>
    <x v="3"/>
    <x v="3"/>
    <s v="Australia"/>
    <x v="2"/>
    <x v="4"/>
    <n v="149.9727681521108"/>
    <n v="12224.944085892817"/>
  </r>
  <r>
    <x v="3"/>
    <x v="1"/>
    <s v="Other NorthAm"/>
    <x v="1"/>
    <x v="5"/>
    <n v="273.3906435298195"/>
    <n v="6684.5254998803193"/>
  </r>
  <r>
    <x v="3"/>
    <x v="1"/>
    <s v="Canada"/>
    <x v="0"/>
    <x v="0"/>
    <n v="151.21034055446216"/>
    <n v="4341.2330861109922"/>
  </r>
  <r>
    <x v="0"/>
    <x v="3"/>
    <s v="Other Asia"/>
    <x v="1"/>
    <x v="1"/>
    <n v="245.09503343178949"/>
    <n v="12560.519125472638"/>
  </r>
  <r>
    <x v="3"/>
    <x v="1"/>
    <s v="United States"/>
    <x v="0"/>
    <x v="2"/>
    <n v="528.25935091887004"/>
    <n v="8135.1072697317477"/>
  </r>
  <r>
    <x v="1"/>
    <x v="0"/>
    <s v="France"/>
    <x v="0"/>
    <x v="0"/>
    <n v="65.206568774374318"/>
    <n v="3636.1362325132359"/>
  </r>
  <r>
    <x v="1"/>
    <x v="2"/>
    <s v="Japan"/>
    <x v="1"/>
    <x v="1"/>
    <n v="284.61872811803914"/>
    <n v="4227.733257918153"/>
  </r>
  <r>
    <x v="1"/>
    <x v="1"/>
    <s v="United States"/>
    <x v="0"/>
    <x v="2"/>
    <n v="451.43465460132575"/>
    <n v="12371.871293101169"/>
  </r>
  <r>
    <x v="3"/>
    <x v="2"/>
    <s v="Japan"/>
    <x v="2"/>
    <x v="3"/>
    <n v="339.4608487824371"/>
    <n v="926.59446846051287"/>
  </r>
  <r>
    <x v="2"/>
    <x v="1"/>
    <s v="Canada"/>
    <x v="0"/>
    <x v="0"/>
    <n v="1293.8834495089395"/>
    <n v="16800.765774303298"/>
  </r>
  <r>
    <x v="2"/>
    <x v="0"/>
    <s v="France"/>
    <x v="1"/>
    <x v="1"/>
    <n v="85.389324304469483"/>
    <n v="10159.546255263438"/>
  </r>
  <r>
    <x v="3"/>
    <x v="3"/>
    <s v="Other Asia"/>
    <x v="0"/>
    <x v="2"/>
    <n v="175.57383930998185"/>
    <n v="3507.0472519472241"/>
  </r>
  <r>
    <x v="3"/>
    <x v="1"/>
    <s v="United States"/>
    <x v="2"/>
    <x v="3"/>
    <n v="286.43407952358757"/>
    <n v="14164.855490852737"/>
  </r>
  <r>
    <x v="1"/>
    <x v="3"/>
    <s v="Other Asia"/>
    <x v="2"/>
    <x v="4"/>
    <n v="200.25895814251271"/>
    <n v="7986.2931380756527"/>
  </r>
  <r>
    <x v="0"/>
    <x v="0"/>
    <s v="Italy"/>
    <x v="0"/>
    <x v="0"/>
    <n v="443.16519299582069"/>
    <n v="14365.027025231211"/>
  </r>
  <r>
    <x v="0"/>
    <x v="1"/>
    <s v="Mexico"/>
    <x v="1"/>
    <x v="1"/>
    <n v="578.75663293361868"/>
    <n v="5796.0794884050301"/>
  </r>
  <r>
    <x v="0"/>
    <x v="1"/>
    <s v="Brazil"/>
    <x v="0"/>
    <x v="2"/>
    <n v="147.75019269964105"/>
    <n v="10136.207210016437"/>
  </r>
  <r>
    <x v="0"/>
    <x v="4"/>
    <s v="Egypt"/>
    <x v="2"/>
    <x v="3"/>
    <n v="192.51223138053319"/>
    <n v="15693.247106552235"/>
  </r>
  <r>
    <x v="0"/>
    <x v="3"/>
    <s v="India"/>
    <x v="2"/>
    <x v="4"/>
    <n v="9.4439049424181576"/>
    <n v="9850.4347465204773"/>
  </r>
  <r>
    <x v="0"/>
    <x v="4"/>
    <s v="Kenya"/>
    <x v="0"/>
    <x v="0"/>
    <n v="126.86532997904578"/>
    <n v="9120.0358455826063"/>
  </r>
  <r>
    <x v="0"/>
    <x v="4"/>
    <s v="Morocco"/>
    <x v="1"/>
    <x v="1"/>
    <n v="188.77172302090912"/>
    <n v="377.2000136814313"/>
  </r>
  <r>
    <x v="0"/>
    <x v="4"/>
    <s v="Other Africa"/>
    <x v="0"/>
    <x v="2"/>
    <n v="124.78093684167106"/>
    <n v="10918.274058436509"/>
  </r>
  <r>
    <x v="0"/>
    <x v="3"/>
    <s v="Other Asia"/>
    <x v="2"/>
    <x v="3"/>
    <n v="101.46391465787019"/>
    <n v="978.59865961072501"/>
  </r>
  <r>
    <x v="0"/>
    <x v="1"/>
    <s v="Other LatAm"/>
    <x v="2"/>
    <x v="4"/>
    <n v="160.59867908788874"/>
    <n v="10671.851191989845"/>
  </r>
  <r>
    <x v="0"/>
    <x v="3"/>
    <s v="India"/>
    <x v="1"/>
    <x v="5"/>
    <n v="505.96925936406478"/>
    <n v="3822.5725097727263"/>
  </r>
  <r>
    <x v="0"/>
    <x v="0"/>
    <s v="Other Europe"/>
    <x v="0"/>
    <x v="0"/>
    <n v="37.489937283680774"/>
    <n v="1543.4222514741123"/>
  </r>
  <r>
    <x v="0"/>
    <x v="1"/>
    <s v="Peru"/>
    <x v="1"/>
    <x v="1"/>
    <n v="111.03494798908287"/>
    <n v="6284.4417919986881"/>
  </r>
  <r>
    <x v="2"/>
    <x v="0"/>
    <s v="France"/>
    <x v="0"/>
    <x v="2"/>
    <n v="515.99691236806393"/>
    <n v="8935.7819656267566"/>
  </r>
  <r>
    <x v="2"/>
    <x v="2"/>
    <s v="Japan"/>
    <x v="0"/>
    <x v="0"/>
    <n v="491.14138284548972"/>
    <n v="11292.779963018438"/>
  </r>
  <r>
    <x v="2"/>
    <x v="1"/>
    <s v="United States"/>
    <x v="1"/>
    <x v="1"/>
    <n v="11.430305238172878"/>
    <n v="7050.3625145697697"/>
  </r>
  <r>
    <x v="3"/>
    <x v="1"/>
    <s v="Canada"/>
    <x v="0"/>
    <x v="2"/>
    <n v="453.91239795389993"/>
    <n v="3833.4357194108379"/>
  </r>
  <r>
    <x v="3"/>
    <x v="0"/>
    <s v="France"/>
    <x v="2"/>
    <x v="3"/>
    <n v="1153.061186397008"/>
    <n v="8828.3733503805852"/>
  </r>
  <r>
    <x v="2"/>
    <x v="3"/>
    <s v="Other Asia"/>
    <x v="2"/>
    <x v="4"/>
    <n v="637.61054095866712"/>
    <n v="8130.4847458280638"/>
  </r>
  <r>
    <x v="1"/>
    <x v="0"/>
    <s v="Italy"/>
    <x v="1"/>
    <x v="5"/>
    <n v="317.11194750514551"/>
    <n v="5029.4088858987498"/>
  </r>
  <r>
    <x v="1"/>
    <x v="1"/>
    <s v="Mexico"/>
    <x v="0"/>
    <x v="0"/>
    <n v="99.820243344765913"/>
    <n v="7727.7120245026981"/>
  </r>
  <r>
    <x v="1"/>
    <x v="1"/>
    <s v="Brazil"/>
    <x v="1"/>
    <x v="1"/>
    <n v="62.346637087830459"/>
    <n v="13842.658324342192"/>
  </r>
  <r>
    <x v="1"/>
    <x v="4"/>
    <s v="Egypt"/>
    <x v="0"/>
    <x v="2"/>
    <n v="132.35782328520145"/>
    <n v="1055.5079461017158"/>
  </r>
  <r>
    <x v="1"/>
    <x v="3"/>
    <s v="India"/>
    <x v="2"/>
    <x v="3"/>
    <n v="141.05705583078816"/>
    <n v="2246.4006104426517"/>
  </r>
  <r>
    <x v="1"/>
    <x v="4"/>
    <s v="Kenya"/>
    <x v="2"/>
    <x v="4"/>
    <n v="9.460514280362986"/>
    <n v="13096.788890616444"/>
  </r>
  <r>
    <x v="1"/>
    <x v="4"/>
    <s v="Morocco"/>
    <x v="1"/>
    <x v="5"/>
    <n v="73.410015376248339"/>
    <n v="6880.1938965938461"/>
  </r>
  <r>
    <x v="1"/>
    <x v="4"/>
    <s v="Other Africa"/>
    <x v="0"/>
    <x v="0"/>
    <n v="74.3566823326546"/>
    <n v="1019.9734514864394"/>
  </r>
  <r>
    <x v="1"/>
    <x v="3"/>
    <s v="Other Asia"/>
    <x v="1"/>
    <x v="1"/>
    <n v="146.75435734188795"/>
    <n v="2568.1991479739372"/>
  </r>
  <r>
    <x v="1"/>
    <x v="1"/>
    <s v="Other LatAm"/>
    <x v="0"/>
    <x v="2"/>
    <n v="107.47524414691725"/>
    <n v="13636.672184788913"/>
  </r>
  <r>
    <x v="1"/>
    <x v="3"/>
    <s v="India"/>
    <x v="0"/>
    <x v="0"/>
    <n v="682.24829661703552"/>
    <n v="9844.0367218542087"/>
  </r>
  <r>
    <x v="1"/>
    <x v="0"/>
    <s v="Other Europe"/>
    <x v="1"/>
    <x v="1"/>
    <n v="132.98986813606462"/>
    <n v="5200.6277437857352"/>
  </r>
  <r>
    <x v="1"/>
    <x v="1"/>
    <s v="Peru"/>
    <x v="0"/>
    <x v="2"/>
    <n v="475.08168933245543"/>
    <n v="8934.8651527801121"/>
  </r>
  <r>
    <x v="3"/>
    <x v="0"/>
    <s v="France"/>
    <x v="2"/>
    <x v="3"/>
    <n v="295.07025817438262"/>
    <n v="13222.638112529556"/>
  </r>
  <r>
    <x v="3"/>
    <x v="2"/>
    <s v="Japan"/>
    <x v="0"/>
    <x v="0"/>
    <n v="473.3741750505942"/>
    <n v="2937.7659739259971"/>
  </r>
  <r>
    <x v="3"/>
    <x v="1"/>
    <s v="United States"/>
    <x v="1"/>
    <x v="1"/>
    <n v="53.257538027173723"/>
    <n v="13818.003022831395"/>
  </r>
  <r>
    <x v="0"/>
    <x v="1"/>
    <s v="Brazil"/>
    <x v="0"/>
    <x v="2"/>
    <n v="1083.24936816025"/>
    <n v="9455.4543217993341"/>
  </r>
  <r>
    <x v="0"/>
    <x v="1"/>
    <s v="Mexico"/>
    <x v="2"/>
    <x v="3"/>
    <n v="401.41279189410852"/>
    <n v="416.8954830893199"/>
  </r>
  <r>
    <x v="0"/>
    <x v="0"/>
    <s v="Italy"/>
    <x v="2"/>
    <x v="4"/>
    <n v="123.5128624052777"/>
    <n v="13212.901392656931"/>
  </r>
  <r>
    <x v="0"/>
    <x v="1"/>
    <s v="Brazil"/>
    <x v="0"/>
    <x v="0"/>
    <n v="14.557729236912564"/>
    <n v="9610.3287041596559"/>
  </r>
  <r>
    <x v="0"/>
    <x v="0"/>
    <s v="France"/>
    <x v="1"/>
    <x v="1"/>
    <n v="551.1025343736037"/>
    <n v="289.89684699554346"/>
  </r>
  <r>
    <x v="0"/>
    <x v="3"/>
    <s v="Other Asia"/>
    <x v="0"/>
    <x v="2"/>
    <n v="344.40711775096133"/>
    <n v="13218.805248018725"/>
  </r>
  <r>
    <x v="3"/>
    <x v="3"/>
    <s v="Other Asia"/>
    <x v="2"/>
    <x v="3"/>
    <n v="465.41211916146494"/>
    <n v="4791.7778195712381"/>
  </r>
  <r>
    <x v="2"/>
    <x v="0"/>
    <s v="Italy"/>
    <x v="2"/>
    <x v="4"/>
    <n v="228.38632134862564"/>
    <n v="10153.047683764267"/>
  </r>
  <r>
    <x v="2"/>
    <x v="1"/>
    <s v="Mexico"/>
    <x v="0"/>
    <x v="0"/>
    <n v="476.71286866998344"/>
    <n v="25.940970282652415"/>
  </r>
  <r>
    <x v="2"/>
    <x v="1"/>
    <s v="Brazil"/>
    <x v="1"/>
    <x v="1"/>
    <n v="60.006885987968417"/>
    <n v="13007.457296160055"/>
  </r>
  <r>
    <x v="2"/>
    <x v="4"/>
    <s v="Egypt"/>
    <x v="0"/>
    <x v="2"/>
    <n v="177.07468394510215"/>
    <n v="1894.6607705152019"/>
  </r>
  <r>
    <x v="2"/>
    <x v="3"/>
    <s v="India"/>
    <x v="2"/>
    <x v="3"/>
    <n v="41.404743835119007"/>
    <n v="5489.0492617616928"/>
  </r>
  <r>
    <x v="2"/>
    <x v="4"/>
    <s v="Kenya"/>
    <x v="2"/>
    <x v="4"/>
    <n v="135.36520636735077"/>
    <n v="2816.897318928568"/>
  </r>
  <r>
    <x v="2"/>
    <x v="4"/>
    <s v="Morocco"/>
    <x v="1"/>
    <x v="5"/>
    <n v="109.54999611950029"/>
    <n v="9670.0107742224191"/>
  </r>
  <r>
    <x v="2"/>
    <x v="4"/>
    <s v="Other Africa"/>
    <x v="0"/>
    <x v="0"/>
    <n v="153.28026822226093"/>
    <n v="6601.5227288861879"/>
  </r>
  <r>
    <x v="2"/>
    <x v="3"/>
    <s v="Other Asia"/>
    <x v="1"/>
    <x v="1"/>
    <n v="190.3396446883562"/>
    <n v="13048.442732589137"/>
  </r>
  <r>
    <x v="2"/>
    <x v="1"/>
    <s v="Other LatAm"/>
    <x v="0"/>
    <x v="2"/>
    <n v="140.94887146402471"/>
    <n v="6079.1183975343301"/>
  </r>
  <r>
    <x v="2"/>
    <x v="3"/>
    <s v="India"/>
    <x v="0"/>
    <x v="0"/>
    <n v="307.74413751496468"/>
    <n v="12726.092698070488"/>
  </r>
  <r>
    <x v="2"/>
    <x v="0"/>
    <s v="Other Europe"/>
    <x v="1"/>
    <x v="1"/>
    <n v="430.24284022903885"/>
    <n v="2260.7915389861901"/>
  </r>
  <r>
    <x v="2"/>
    <x v="1"/>
    <s v="Peru"/>
    <x v="0"/>
    <x v="2"/>
    <n v="305.15181540158665"/>
    <n v="12762.332873619329"/>
  </r>
  <r>
    <x v="1"/>
    <x v="1"/>
    <s v="Brazil"/>
    <x v="2"/>
    <x v="3"/>
    <n v="914.85485953089665"/>
    <n v="12296.899145573239"/>
  </r>
  <r>
    <x v="1"/>
    <x v="1"/>
    <s v="Mexico"/>
    <x v="2"/>
    <x v="4"/>
    <n v="112.42690640465298"/>
    <n v="12790.696796864257"/>
  </r>
  <r>
    <x v="0"/>
    <x v="1"/>
    <s v="Argentina"/>
    <x v="1"/>
    <x v="5"/>
    <n v="328.35768574295798"/>
    <n v="404.72836964763701"/>
  </r>
  <r>
    <x v="0"/>
    <x v="1"/>
    <s v="Other LatAm"/>
    <x v="0"/>
    <x v="0"/>
    <n v="257.2764392796671"/>
    <n v="5193.6245576362126"/>
  </r>
  <r>
    <x v="1"/>
    <x v="0"/>
    <s v="Italy"/>
    <x v="1"/>
    <x v="1"/>
    <n v="406.56409160264957"/>
    <n v="10753.261399383591"/>
  </r>
  <r>
    <x v="1"/>
    <x v="1"/>
    <s v="Brazil"/>
    <x v="0"/>
    <x v="2"/>
    <n v="470.95103233987174"/>
    <n v="8344.738160696199"/>
  </r>
  <r>
    <x v="1"/>
    <x v="0"/>
    <s v="France"/>
    <x v="2"/>
    <x v="3"/>
    <n v="599.11574259294866"/>
    <n v="6826.4499990117765"/>
  </r>
  <r>
    <x v="1"/>
    <x v="3"/>
    <s v="Other Asia"/>
    <x v="2"/>
    <x v="4"/>
    <n v="477.10309231551946"/>
    <n v="2926.0358495147029"/>
  </r>
  <r>
    <x v="3"/>
    <x v="0"/>
    <s v="Italy"/>
    <x v="1"/>
    <x v="5"/>
    <n v="596.56449921394596"/>
    <n v="90.452416889260348"/>
  </r>
  <r>
    <x v="3"/>
    <x v="1"/>
    <s v="Mexico"/>
    <x v="0"/>
    <x v="0"/>
    <n v="39.7695593384924"/>
    <n v="575.24161341823128"/>
  </r>
  <r>
    <x v="3"/>
    <x v="1"/>
    <s v="Brazil"/>
    <x v="1"/>
    <x v="1"/>
    <n v="175.41701556219778"/>
    <n v="7705.1415138238444"/>
  </r>
  <r>
    <x v="3"/>
    <x v="4"/>
    <s v="Egypt"/>
    <x v="0"/>
    <x v="2"/>
    <n v="19.63395264428982"/>
    <n v="3404.5752981760943"/>
  </r>
  <r>
    <x v="3"/>
    <x v="3"/>
    <s v="India"/>
    <x v="0"/>
    <x v="0"/>
    <n v="171.63274164940958"/>
    <n v="5989.9539610850006"/>
  </r>
  <r>
    <x v="3"/>
    <x v="4"/>
    <s v="Kenya"/>
    <x v="1"/>
    <x v="1"/>
    <n v="60.449480383249465"/>
    <n v="11720.782204102748"/>
  </r>
  <r>
    <x v="3"/>
    <x v="4"/>
    <s v="Morocco"/>
    <x v="0"/>
    <x v="2"/>
    <n v="129.71280241235945"/>
    <n v="11131.013858914434"/>
  </r>
  <r>
    <x v="3"/>
    <x v="4"/>
    <s v="Other Africa"/>
    <x v="2"/>
    <x v="3"/>
    <n v="147.23312837923004"/>
    <n v="10473.83514067185"/>
  </r>
  <r>
    <x v="3"/>
    <x v="3"/>
    <s v="Other Asia"/>
    <x v="0"/>
    <x v="0"/>
    <n v="75.305228930119483"/>
    <n v="5946.327598912254"/>
  </r>
  <r>
    <x v="3"/>
    <x v="1"/>
    <s v="Other LatAm"/>
    <x v="1"/>
    <x v="1"/>
    <n v="84.260674312099582"/>
    <n v="1397.6576212449108"/>
  </r>
  <r>
    <x v="3"/>
    <x v="3"/>
    <s v="India"/>
    <x v="0"/>
    <x v="2"/>
    <n v="708.32972351854551"/>
    <n v="9519.1660679062516"/>
  </r>
  <r>
    <x v="3"/>
    <x v="0"/>
    <s v="Other Europe"/>
    <x v="2"/>
    <x v="3"/>
    <n v="177.74450397555484"/>
    <n v="8135.8095470195422"/>
  </r>
  <r>
    <x v="3"/>
    <x v="1"/>
    <s v="Peru"/>
    <x v="2"/>
    <x v="4"/>
    <n v="178.04307274536768"/>
    <n v="342.33723517688156"/>
  </r>
  <r>
    <x v="2"/>
    <x v="1"/>
    <s v="Brazil"/>
    <x v="0"/>
    <x v="0"/>
    <n v="126.74592811963521"/>
    <n v="851.21623038635335"/>
  </r>
  <r>
    <x v="2"/>
    <x v="1"/>
    <s v="Mexico"/>
    <x v="1"/>
    <x v="1"/>
    <n v="1136.8829353697947"/>
    <n v="10467.189096368587"/>
  </r>
  <r>
    <x v="1"/>
    <x v="1"/>
    <s v="Argentina"/>
    <x v="0"/>
    <x v="2"/>
    <n v="30.061587903401232"/>
    <n v="5873.9705508057959"/>
  </r>
  <r>
    <x v="1"/>
    <x v="1"/>
    <s v="Other LatAm"/>
    <x v="2"/>
    <x v="3"/>
    <n v="357.13447849775548"/>
    <n v="6647.9983463818025"/>
  </r>
  <r>
    <x v="2"/>
    <x v="0"/>
    <s v="Italy"/>
    <x v="2"/>
    <x v="4"/>
    <n v="342.04668194133774"/>
    <n v="469.11257733935236"/>
  </r>
  <r>
    <x v="0"/>
    <x v="0"/>
    <s v="Other Europe"/>
    <x v="0"/>
    <x v="0"/>
    <n v="336.41608386460575"/>
    <n v="33.43295840159044"/>
  </r>
  <r>
    <x v="2"/>
    <x v="1"/>
    <s v="Brazil"/>
    <x v="1"/>
    <x v="1"/>
    <n v="528.11013736954919"/>
    <n v="6245.159485421158"/>
  </r>
  <r>
    <x v="2"/>
    <x v="0"/>
    <s v="France"/>
    <x v="0"/>
    <x v="2"/>
    <n v="405.77083469179343"/>
    <n v="11008.525052399229"/>
  </r>
  <r>
    <x v="2"/>
    <x v="3"/>
    <s v="Other Asia"/>
    <x v="2"/>
    <x v="3"/>
    <n v="253.46437681964744"/>
    <n v="3780.1318999609903"/>
  </r>
  <r>
    <x v="0"/>
    <x v="2"/>
    <s v="Japan"/>
    <x v="2"/>
    <x v="4"/>
    <n v="228.38138280058047"/>
    <n v="10611.400151296402"/>
  </r>
  <r>
    <x v="0"/>
    <x v="1"/>
    <s v="Other LatAm"/>
    <x v="1"/>
    <x v="5"/>
    <n v="303.50809562442009"/>
    <n v="3664.0951958514052"/>
  </r>
  <r>
    <x v="0"/>
    <x v="1"/>
    <s v="Other NorthAm"/>
    <x v="0"/>
    <x v="0"/>
    <n v="583.05033486685716"/>
    <n v="8409.127337973041"/>
  </r>
  <r>
    <x v="3"/>
    <x v="1"/>
    <s v="Brazil"/>
    <x v="1"/>
    <x v="1"/>
    <n v="147.7326996919146"/>
    <n v="3618.5127623984299"/>
  </r>
  <r>
    <x v="3"/>
    <x v="1"/>
    <s v="Mexico"/>
    <x v="0"/>
    <x v="2"/>
    <n v="547.36182621782064"/>
    <n v="8318.2143589832231"/>
  </r>
  <r>
    <x v="2"/>
    <x v="1"/>
    <s v="Argentina"/>
    <x v="0"/>
    <x v="0"/>
    <n v="247.57825180895452"/>
    <n v="737.31234162769397"/>
  </r>
  <r>
    <x v="2"/>
    <x v="1"/>
    <s v="Other LatAm"/>
    <x v="0"/>
    <x v="0"/>
    <n v="189.2439901115722"/>
    <n v="8228.9278239783016"/>
  </r>
  <r>
    <x v="3"/>
    <x v="0"/>
    <s v="Italy"/>
    <x v="1"/>
    <x v="1"/>
    <n v="106.33555967215216"/>
    <n v="6058.3006421213668"/>
  </r>
  <r>
    <x v="1"/>
    <x v="0"/>
    <s v="Other Europe"/>
    <x v="0"/>
    <x v="2"/>
    <n v="323.03305832647311"/>
    <n v="284.50987418266777"/>
  </r>
  <r>
    <x v="3"/>
    <x v="1"/>
    <s v="Brazil"/>
    <x v="2"/>
    <x v="3"/>
    <n v="29.034111699183995"/>
    <n v="3045.8847066913459"/>
  </r>
  <r>
    <x v="3"/>
    <x v="0"/>
    <s v="France"/>
    <x v="2"/>
    <x v="4"/>
    <n v="508.39274823265441"/>
    <n v="6697.7537093356286"/>
  </r>
  <r>
    <x v="3"/>
    <x v="3"/>
    <s v="Other Asia"/>
    <x v="1"/>
    <x v="5"/>
    <n v="478.16702282489132"/>
    <n v="4667.3272896402268"/>
  </r>
  <r>
    <x v="1"/>
    <x v="2"/>
    <s v="Japan"/>
    <x v="0"/>
    <x v="0"/>
    <n v="526.48758736322634"/>
    <n v="7539.6970780337579"/>
  </r>
  <r>
    <x v="1"/>
    <x v="1"/>
    <s v="Other LatAm"/>
    <x v="1"/>
    <x v="1"/>
    <n v="352.60917306513875"/>
    <n v="6756.1239084010449"/>
  </r>
  <r>
    <x v="1"/>
    <x v="1"/>
    <s v="Other NorthAm"/>
    <x v="0"/>
    <x v="2"/>
    <n v="545.7150088986964"/>
    <n v="3681.1289096807304"/>
  </r>
  <r>
    <x v="0"/>
    <x v="1"/>
    <s v="Caribbean"/>
    <x v="0"/>
    <x v="0"/>
    <n v="284.16334836529131"/>
    <n v="6872.178995941249"/>
  </r>
  <r>
    <x v="3"/>
    <x v="1"/>
    <s v="Argentina"/>
    <x v="1"/>
    <x v="1"/>
    <n v="193.58328499110939"/>
    <n v="897.95705214104964"/>
  </r>
  <r>
    <x v="3"/>
    <x v="1"/>
    <s v="Other LatAm"/>
    <x v="0"/>
    <x v="2"/>
    <n v="176.28557826101314"/>
    <n v="3593.9296951145152"/>
  </r>
  <r>
    <x v="0"/>
    <x v="1"/>
    <s v="Mexico"/>
    <x v="2"/>
    <x v="3"/>
    <n v="33.035501676567947"/>
    <n v="5395.8742635935778"/>
  </r>
  <r>
    <x v="2"/>
    <x v="0"/>
    <s v="Other Europe"/>
    <x v="0"/>
    <x v="0"/>
    <n v="358.13224445837477"/>
    <n v="1154.781165210341"/>
  </r>
  <r>
    <x v="2"/>
    <x v="2"/>
    <s v="Japan"/>
    <x v="1"/>
    <x v="1"/>
    <n v="627.69316506310133"/>
    <n v="2090.6829876329539"/>
  </r>
  <r>
    <x v="2"/>
    <x v="1"/>
    <s v="Other LatAm"/>
    <x v="0"/>
    <x v="2"/>
    <n v="552.36757444290561"/>
    <n v="6671.8764437691107"/>
  </r>
  <r>
    <x v="2"/>
    <x v="1"/>
    <s v="Other NorthAm"/>
    <x v="2"/>
    <x v="3"/>
    <n v="685.06273787934333"/>
    <n v="3051.5842588649775"/>
  </r>
  <r>
    <x v="0"/>
    <x v="3"/>
    <s v="Australia"/>
    <x v="2"/>
    <x v="4"/>
    <n v="65.689539526283625"/>
    <n v="8378.5154815526766"/>
  </r>
  <r>
    <x v="0"/>
    <x v="0"/>
    <s v="Germany"/>
    <x v="0"/>
    <x v="0"/>
    <n v="122.61462036840385"/>
    <n v="5590.8133863384137"/>
  </r>
  <r>
    <x v="0"/>
    <x v="1"/>
    <s v="Other LatAm"/>
    <x v="1"/>
    <x v="1"/>
    <n v="201.43277203278558"/>
    <n v="1833.9889581129682"/>
  </r>
  <r>
    <x v="1"/>
    <x v="1"/>
    <s v="Caribbean"/>
    <x v="0"/>
    <x v="2"/>
    <n v="292.42373718825547"/>
    <n v="3184.3062932246357"/>
  </r>
  <r>
    <x v="1"/>
    <x v="1"/>
    <s v="Mexico"/>
    <x v="2"/>
    <x v="3"/>
    <n v="109.11822581283559"/>
    <n v="711.87817623643787"/>
  </r>
  <r>
    <x v="3"/>
    <x v="0"/>
    <s v="Other Europe"/>
    <x v="2"/>
    <x v="4"/>
    <n v="289.63928710436448"/>
    <n v="4361.292145698877"/>
  </r>
  <r>
    <x v="3"/>
    <x v="2"/>
    <s v="Japan"/>
    <x v="0"/>
    <x v="0"/>
    <n v="351.78183303432888"/>
    <n v="6019.8716231969956"/>
  </r>
  <r>
    <x v="3"/>
    <x v="1"/>
    <s v="Other LatAm"/>
    <x v="1"/>
    <x v="1"/>
    <n v="261.41105426650029"/>
    <n v="8159.6697891725489"/>
  </r>
  <r>
    <x v="3"/>
    <x v="1"/>
    <s v="Other NorthAm"/>
    <x v="0"/>
    <x v="2"/>
    <n v="436.43274734424722"/>
    <n v="5605.0398574613428"/>
  </r>
  <r>
    <x v="0"/>
    <x v="1"/>
    <s v="Argentina"/>
    <x v="2"/>
    <x v="3"/>
    <n v="299.41675540749202"/>
    <n v="2365.6600583461113"/>
  </r>
  <r>
    <x v="0"/>
    <x v="1"/>
    <s v="Chile"/>
    <x v="2"/>
    <x v="4"/>
    <n v="626.1830075753096"/>
    <n v="5838.9739129339432"/>
  </r>
  <r>
    <x v="0"/>
    <x v="0"/>
    <s v="Other Europe"/>
    <x v="1"/>
    <x v="5"/>
    <n v="613.72968777841379"/>
    <n v="1157.4503309799184"/>
  </r>
  <r>
    <x v="0"/>
    <x v="1"/>
    <s v="Other LatAm"/>
    <x v="0"/>
    <x v="0"/>
    <n v="575.66568915335665"/>
    <n v="7829.6073878624156"/>
  </r>
  <r>
    <x v="0"/>
    <x v="3"/>
    <s v="India"/>
    <x v="1"/>
    <x v="1"/>
    <n v="534.32303871213662"/>
    <n v="7372.7630392604624"/>
  </r>
  <r>
    <x v="1"/>
    <x v="3"/>
    <s v="Australia"/>
    <x v="0"/>
    <x v="2"/>
    <n v="311.75330707774265"/>
    <n v="5550.6972059102663"/>
  </r>
  <r>
    <x v="1"/>
    <x v="0"/>
    <s v="Germany"/>
    <x v="0"/>
    <x v="0"/>
    <n v="20.177209458779544"/>
    <n v="3088.197955993026"/>
  </r>
  <r>
    <x v="1"/>
    <x v="1"/>
    <s v="Other LatAm"/>
    <x v="1"/>
    <x v="1"/>
    <n v="83.449096524782362"/>
    <n v="239.05650359900392"/>
  </r>
  <r>
    <x v="2"/>
    <x v="1"/>
    <s v="Caribbean"/>
    <x v="0"/>
    <x v="2"/>
    <n v="101.94461951814446"/>
    <n v="3352.8157119625757"/>
  </r>
  <r>
    <x v="0"/>
    <x v="1"/>
    <s v="Chile"/>
    <x v="2"/>
    <x v="3"/>
    <n v="79.511567882400414"/>
    <n v="7837.8817700649961"/>
  </r>
  <r>
    <x v="0"/>
    <x v="4"/>
    <s v="South Africa"/>
    <x v="0"/>
    <x v="0"/>
    <n v="26.110460952713765"/>
    <n v="6785.9322237927699"/>
  </r>
  <r>
    <x v="0"/>
    <x v="0"/>
    <s v="France"/>
    <x v="1"/>
    <x v="1"/>
    <n v="290.3622534009628"/>
    <n v="2336.9186767158681"/>
  </r>
  <r>
    <x v="0"/>
    <x v="2"/>
    <s v="Japan"/>
    <x v="0"/>
    <x v="2"/>
    <n v="310.04253869323293"/>
    <n v="5779.6619961445685"/>
  </r>
  <r>
    <x v="0"/>
    <x v="1"/>
    <s v="Other LatAm"/>
    <x v="2"/>
    <x v="3"/>
    <n v="55.56738533450698"/>
    <n v="763.10215424018679"/>
  </r>
  <r>
    <x v="2"/>
    <x v="1"/>
    <s v="Mexico"/>
    <x v="2"/>
    <x v="4"/>
    <n v="63.041635057925305"/>
    <n v="4581.9206947094244"/>
  </r>
  <r>
    <x v="1"/>
    <x v="1"/>
    <s v="Argentina"/>
    <x v="1"/>
    <x v="5"/>
    <n v="64.610397347041726"/>
    <n v="1493.3578108788024"/>
  </r>
  <r>
    <x v="1"/>
    <x v="1"/>
    <s v="Chile"/>
    <x v="0"/>
    <x v="0"/>
    <n v="25.17213901373907"/>
    <n v="7058.2035103536327"/>
  </r>
  <r>
    <x v="1"/>
    <x v="0"/>
    <s v="Other Europe"/>
    <x v="1"/>
    <x v="1"/>
    <n v="383.35364845879667"/>
    <n v="2321.1357177623613"/>
  </r>
  <r>
    <x v="1"/>
    <x v="1"/>
    <s v="Other LatAm"/>
    <x v="0"/>
    <x v="2"/>
    <n v="511.62238476908897"/>
    <n v="7611.2888436386347"/>
  </r>
  <r>
    <x v="1"/>
    <x v="3"/>
    <s v="India"/>
    <x v="0"/>
    <x v="0"/>
    <n v="112.22543665536193"/>
    <n v="3764.431605699192"/>
  </r>
  <r>
    <x v="2"/>
    <x v="3"/>
    <s v="Australia"/>
    <x v="1"/>
    <x v="1"/>
    <n v="194.22620642378661"/>
    <n v="5902.3503627835562"/>
  </r>
  <r>
    <x v="2"/>
    <x v="0"/>
    <s v="Germany"/>
    <x v="0"/>
    <x v="2"/>
    <n v="25.544077128142817"/>
    <n v="2625.3023133198049"/>
  </r>
  <r>
    <x v="2"/>
    <x v="1"/>
    <s v="Other LatAm"/>
    <x v="2"/>
    <x v="3"/>
    <n v="212.42067068596953"/>
    <n v="2998.9450725316701"/>
  </r>
  <r>
    <x v="3"/>
    <x v="1"/>
    <s v="Caribbean"/>
    <x v="0"/>
    <x v="0"/>
    <n v="241.06613008943896"/>
    <n v="157.29516035133656"/>
  </r>
  <r>
    <x v="1"/>
    <x v="1"/>
    <s v="Chile"/>
    <x v="1"/>
    <x v="1"/>
    <n v="13.325243580402457"/>
    <n v="4010.1537798700156"/>
  </r>
  <r>
    <x v="1"/>
    <x v="4"/>
    <s v="South Africa"/>
    <x v="0"/>
    <x v="2"/>
    <n v="84.449326540106995"/>
    <n v="6195.5423586434335"/>
  </r>
  <r>
    <x v="1"/>
    <x v="0"/>
    <s v="France"/>
    <x v="2"/>
    <x v="3"/>
    <n v="234.80758542355034"/>
    <n v="614.7885026215954"/>
  </r>
  <r>
    <x v="1"/>
    <x v="2"/>
    <s v="Japan"/>
    <x v="2"/>
    <x v="4"/>
    <n v="155.7303504236188"/>
    <n v="5555.5543728232442"/>
  </r>
  <r>
    <x v="1"/>
    <x v="1"/>
    <s v="Other LatAm"/>
    <x v="0"/>
    <x v="0"/>
    <n v="276.40441168623511"/>
    <n v="5043.7722044086277"/>
  </r>
  <r>
    <x v="3"/>
    <x v="1"/>
    <s v="Mexico"/>
    <x v="1"/>
    <x v="1"/>
    <n v="246.64255048592167"/>
    <n v="4428.670505277214"/>
  </r>
  <r>
    <x v="0"/>
    <x v="3"/>
    <s v="Australia"/>
    <x v="0"/>
    <x v="2"/>
    <n v="518.05678860346234"/>
    <n v="4971.0220488232153"/>
  </r>
  <r>
    <x v="0"/>
    <x v="1"/>
    <s v="Caribbean"/>
    <x v="2"/>
    <x v="3"/>
    <n v="465.65750028566981"/>
    <n v="5151.3769434794085"/>
  </r>
  <r>
    <x v="0"/>
    <x v="3"/>
    <s v="China"/>
    <x v="2"/>
    <x v="4"/>
    <n v="92.779079130195896"/>
    <n v="3483.9573007651779"/>
  </r>
  <r>
    <x v="0"/>
    <x v="1"/>
    <s v="Peru"/>
    <x v="0"/>
    <x v="0"/>
    <n v="575.06271704460232"/>
    <n v="6877.1957152624964"/>
  </r>
  <r>
    <x v="2"/>
    <x v="1"/>
    <s v="Argentina"/>
    <x v="1"/>
    <x v="1"/>
    <n v="489.73741066911316"/>
    <n v="2310.0152945623777"/>
  </r>
  <r>
    <x v="2"/>
    <x v="1"/>
    <s v="Chile"/>
    <x v="0"/>
    <x v="2"/>
    <n v="648.00734045647914"/>
    <n v="3683.3559365475157"/>
  </r>
  <r>
    <x v="2"/>
    <x v="0"/>
    <s v="Other Europe"/>
    <x v="2"/>
    <x v="3"/>
    <n v="344.28092187517905"/>
    <n v="4526.1538727461411"/>
  </r>
  <r>
    <x v="2"/>
    <x v="1"/>
    <s v="Other LatAm"/>
    <x v="2"/>
    <x v="4"/>
    <n v="597.06232027647275"/>
    <n v="2855.6154762082151"/>
  </r>
  <r>
    <x v="2"/>
    <x v="3"/>
    <s v="India"/>
    <x v="1"/>
    <x v="5"/>
    <n v="180.00185650707863"/>
    <n v="1453.5907981268283"/>
  </r>
  <r>
    <x v="3"/>
    <x v="3"/>
    <s v="Australia"/>
    <x v="0"/>
    <x v="0"/>
    <n v="283.56445039862592"/>
    <n v="512.6329910640361"/>
  </r>
  <r>
    <x v="3"/>
    <x v="0"/>
    <s v="Germany"/>
    <x v="1"/>
    <x v="1"/>
    <n v="159.62986646773061"/>
    <n v="4315.9492620694591"/>
  </r>
  <r>
    <x v="3"/>
    <x v="1"/>
    <s v="Other LatAm"/>
    <x v="0"/>
    <x v="2"/>
    <n v="173.30228161845298"/>
    <n v="4398.1115915282608"/>
  </r>
  <r>
    <x v="0"/>
    <x v="1"/>
    <s v="Chile"/>
    <x v="0"/>
    <x v="0"/>
    <n v="51.41777682601969"/>
    <n v="5980.2352346162479"/>
  </r>
  <r>
    <x v="2"/>
    <x v="1"/>
    <s v="Chile"/>
    <x v="1"/>
    <x v="1"/>
    <n v="7.4622743531108426"/>
    <n v="2105.9910220762958"/>
  </r>
  <r>
    <x v="2"/>
    <x v="4"/>
    <s v="South Africa"/>
    <x v="0"/>
    <x v="2"/>
    <n v="97.275935651850887"/>
    <n v="228.74604572791668"/>
  </r>
  <r>
    <x v="2"/>
    <x v="0"/>
    <s v="France"/>
    <x v="2"/>
    <x v="3"/>
    <n v="13.705495035901549"/>
    <n v="810.3005101575036"/>
  </r>
  <r>
    <x v="2"/>
    <x v="2"/>
    <s v="Japan"/>
    <x v="2"/>
    <x v="4"/>
    <n v="393.23012081222259"/>
    <n v="3615.8502253518918"/>
  </r>
  <r>
    <x v="2"/>
    <x v="1"/>
    <s v="Other LatAm"/>
    <x v="0"/>
    <x v="0"/>
    <n v="98.586503820115468"/>
    <n v="2506.0525043256803"/>
  </r>
  <r>
    <x v="1"/>
    <x v="3"/>
    <s v="Australia"/>
    <x v="1"/>
    <x v="1"/>
    <n v="456.85302964466246"/>
    <n v="4856.1915165585742"/>
  </r>
  <r>
    <x v="1"/>
    <x v="1"/>
    <s v="Caribbean"/>
    <x v="0"/>
    <x v="2"/>
    <n v="436.33936491678469"/>
    <n v="4374.1305584927613"/>
  </r>
  <r>
    <x v="1"/>
    <x v="3"/>
    <s v="China"/>
    <x v="2"/>
    <x v="3"/>
    <n v="115.194118915133"/>
    <n v="2522.4506862892085"/>
  </r>
  <r>
    <x v="1"/>
    <x v="1"/>
    <s v="Peru"/>
    <x v="2"/>
    <x v="4"/>
    <n v="583.7686028880853"/>
    <n v="271.0153976946749"/>
  </r>
  <r>
    <x v="0"/>
    <x v="3"/>
    <s v="China"/>
    <x v="1"/>
    <x v="5"/>
    <n v="179.42006901521381"/>
    <n v="6266.786381235579"/>
  </r>
  <r>
    <x v="0"/>
    <x v="4"/>
    <s v="Egypt"/>
    <x v="0"/>
    <x v="0"/>
    <n v="104.39104031029274"/>
    <n v="3537.2051460668445"/>
  </r>
  <r>
    <x v="0"/>
    <x v="4"/>
    <s v="Morocco"/>
    <x v="1"/>
    <x v="1"/>
    <n v="78.156597415909346"/>
    <n v="5731.4710157166701"/>
  </r>
  <r>
    <x v="0"/>
    <x v="4"/>
    <s v="Other Africa"/>
    <x v="0"/>
    <x v="2"/>
    <n v="94.711263308636262"/>
    <n v="3811.58874850953"/>
  </r>
  <r>
    <x v="0"/>
    <x v="0"/>
    <s v="United Kingdom"/>
    <x v="0"/>
    <x v="0"/>
    <n v="167.21927504568157"/>
    <n v="936.01236802642234"/>
  </r>
  <r>
    <x v="3"/>
    <x v="1"/>
    <s v="Argentina"/>
    <x v="1"/>
    <x v="1"/>
    <n v="314.317830089567"/>
    <n v="3962.5705662306063"/>
  </r>
  <r>
    <x v="3"/>
    <x v="1"/>
    <s v="Chile"/>
    <x v="0"/>
    <x v="2"/>
    <n v="251.98913956528486"/>
    <n v="2126.0555117876993"/>
  </r>
  <r>
    <x v="3"/>
    <x v="0"/>
    <s v="Other Europe"/>
    <x v="2"/>
    <x v="3"/>
    <n v="279.55452180012799"/>
    <n v="873.50863903557183"/>
  </r>
  <r>
    <x v="3"/>
    <x v="1"/>
    <s v="Other LatAm"/>
    <x v="0"/>
    <x v="0"/>
    <n v="201.17903920281606"/>
    <n v="6229.0942467790865"/>
  </r>
  <r>
    <x v="3"/>
    <x v="3"/>
    <s v="India"/>
    <x v="1"/>
    <x v="1"/>
    <n v="267.39713718488929"/>
    <n v="3013.158194636726"/>
  </r>
  <r>
    <x v="1"/>
    <x v="1"/>
    <s v="Chile"/>
    <x v="0"/>
    <x v="2"/>
    <n v="198.13230601112082"/>
    <n v="2071.0239993044697"/>
  </r>
  <r>
    <x v="3"/>
    <x v="1"/>
    <s v="Chile"/>
    <x v="2"/>
    <x v="3"/>
    <n v="62.613319638148823"/>
    <n v="423.95381018270928"/>
  </r>
  <r>
    <x v="3"/>
    <x v="4"/>
    <s v="South Africa"/>
    <x v="2"/>
    <x v="4"/>
    <n v="24.485098938839656"/>
    <n v="5640.8299009757238"/>
  </r>
  <r>
    <x v="3"/>
    <x v="0"/>
    <s v="France"/>
    <x v="0"/>
    <x v="0"/>
    <n v="376.9401891797429"/>
    <n v="2051.9421108977085"/>
  </r>
  <r>
    <x v="3"/>
    <x v="2"/>
    <s v="Japan"/>
    <x v="1"/>
    <x v="1"/>
    <n v="314.95595135711483"/>
    <n v="2557.5410112220998"/>
  </r>
  <r>
    <x v="3"/>
    <x v="1"/>
    <s v="Other LatAm"/>
    <x v="0"/>
    <x v="2"/>
    <n v="122.18554032187967"/>
    <n v="18.511468079485894"/>
  </r>
  <r>
    <x v="0"/>
    <x v="3"/>
    <s v="China"/>
    <x v="2"/>
    <x v="3"/>
    <n v="111.5117709749029"/>
    <n v="4199.9764864522149"/>
  </r>
  <r>
    <x v="0"/>
    <x v="0"/>
    <s v="Germany"/>
    <x v="2"/>
    <x v="4"/>
    <n v="28.646796815974085"/>
    <n v="5802.702957234942"/>
  </r>
  <r>
    <x v="2"/>
    <x v="3"/>
    <s v="Australia"/>
    <x v="0"/>
    <x v="0"/>
    <n v="535.35556075476052"/>
    <n v="2032.5546483824291"/>
  </r>
  <r>
    <x v="2"/>
    <x v="1"/>
    <s v="Caribbean"/>
    <x v="1"/>
    <x v="1"/>
    <n v="148.19274707388104"/>
    <n v="5572.7692129424377"/>
  </r>
  <r>
    <x v="2"/>
    <x v="3"/>
    <s v="China"/>
    <x v="0"/>
    <x v="2"/>
    <n v="64.663318922248436"/>
    <n v="1604.5704533621501"/>
  </r>
  <r>
    <x v="2"/>
    <x v="1"/>
    <s v="Peru"/>
    <x v="2"/>
    <x v="3"/>
    <n v="465.16534795318876"/>
    <n v="4897.529078920179"/>
  </r>
  <r>
    <x v="1"/>
    <x v="3"/>
    <s v="China"/>
    <x v="2"/>
    <x v="4"/>
    <n v="16.385556521345279"/>
    <n v="324.99259163177339"/>
  </r>
  <r>
    <x v="1"/>
    <x v="4"/>
    <s v="Egypt"/>
    <x v="1"/>
    <x v="5"/>
    <n v="10.407261141699564"/>
    <n v="3911.7658265675418"/>
  </r>
  <r>
    <x v="1"/>
    <x v="4"/>
    <s v="Morocco"/>
    <x v="0"/>
    <x v="0"/>
    <n v="161.63448348961538"/>
    <n v="1519.3135068477714"/>
  </r>
  <r>
    <x v="1"/>
    <x v="4"/>
    <s v="Other Africa"/>
    <x v="1"/>
    <x v="1"/>
    <n v="160.5133495926566"/>
    <n v="560.30176909524016"/>
  </r>
  <r>
    <x v="1"/>
    <x v="0"/>
    <s v="United Kingdom"/>
    <x v="0"/>
    <x v="2"/>
    <n v="85.506315118982457"/>
    <n v="3181.3290505603072"/>
  </r>
  <r>
    <x v="2"/>
    <x v="1"/>
    <s v="Chile"/>
    <x v="0"/>
    <x v="0"/>
    <n v="17.909219060311443"/>
    <n v="324.3458512545003"/>
  </r>
  <r>
    <x v="0"/>
    <x v="0"/>
    <s v="United Kingdom"/>
    <x v="1"/>
    <x v="1"/>
    <n v="175.47144523377938"/>
    <n v="2974.1571447339084"/>
  </r>
  <r>
    <x v="1"/>
    <x v="3"/>
    <s v="China"/>
    <x v="0"/>
    <x v="2"/>
    <n v="98.948879174713511"/>
    <n v="3274.8908175739052"/>
  </r>
  <r>
    <x v="1"/>
    <x v="0"/>
    <s v="Germany"/>
    <x v="2"/>
    <x v="3"/>
    <n v="144.36268867830222"/>
    <n v="5379.4136721613904"/>
  </r>
  <r>
    <x v="3"/>
    <x v="3"/>
    <s v="Australia"/>
    <x v="2"/>
    <x v="4"/>
    <n v="569.65948234810639"/>
    <n v="1987.6884816994561"/>
  </r>
  <r>
    <x v="3"/>
    <x v="1"/>
    <s v="Caribbean"/>
    <x v="1"/>
    <x v="5"/>
    <n v="489.64711525659368"/>
    <n v="653.48299294946628"/>
  </r>
  <r>
    <x v="3"/>
    <x v="3"/>
    <s v="China"/>
    <x v="0"/>
    <x v="0"/>
    <n v="547.55811458071548"/>
    <n v="4331.6644132840111"/>
  </r>
  <r>
    <x v="3"/>
    <x v="1"/>
    <s v="Peru"/>
    <x v="1"/>
    <x v="1"/>
    <n v="144.07335955911549"/>
    <n v="91.31486813535048"/>
  </r>
  <r>
    <x v="2"/>
    <x v="3"/>
    <s v="China"/>
    <x v="0"/>
    <x v="2"/>
    <n v="125.55430983684346"/>
    <n v="174.53130626536222"/>
  </r>
  <r>
    <x v="2"/>
    <x v="4"/>
    <s v="Egypt"/>
    <x v="2"/>
    <x v="3"/>
    <n v="158.04075014639238"/>
    <n v="3854.8066506071336"/>
  </r>
  <r>
    <x v="2"/>
    <x v="4"/>
    <s v="Morocco"/>
    <x v="2"/>
    <x v="4"/>
    <n v="58.288107290900371"/>
    <n v="494.52645185519941"/>
  </r>
  <r>
    <x v="2"/>
    <x v="4"/>
    <s v="Other Africa"/>
    <x v="1"/>
    <x v="5"/>
    <n v="18.994104407465784"/>
    <n v="3719.731661156311"/>
  </r>
  <r>
    <x v="2"/>
    <x v="0"/>
    <s v="United Kingdom"/>
    <x v="0"/>
    <x v="0"/>
    <n v="91.481108477273665"/>
    <n v="4797.6555432689565"/>
  </r>
  <r>
    <x v="3"/>
    <x v="1"/>
    <s v="Chile"/>
    <x v="1"/>
    <x v="1"/>
    <n v="105.80412955332577"/>
    <n v="2532.2512229384301"/>
  </r>
  <r>
    <x v="1"/>
    <x v="0"/>
    <s v="United Kingdom"/>
    <x v="0"/>
    <x v="2"/>
    <n v="67.692426580833853"/>
    <n v="1664.9061267556681"/>
  </r>
  <r>
    <x v="2"/>
    <x v="3"/>
    <s v="China"/>
    <x v="0"/>
    <x v="0"/>
    <n v="1.3853987096808851"/>
    <n v="1091.1372185365108"/>
  </r>
  <r>
    <x v="2"/>
    <x v="0"/>
    <s v="Germany"/>
    <x v="1"/>
    <x v="1"/>
    <n v="80.310659035694698"/>
    <n v="2751.4862581665684"/>
  </r>
  <r>
    <x v="3"/>
    <x v="3"/>
    <s v="China"/>
    <x v="0"/>
    <x v="2"/>
    <n v="182.30470456655894"/>
    <n v="2710.7309537590172"/>
  </r>
  <r>
    <x v="3"/>
    <x v="4"/>
    <s v="Egypt"/>
    <x v="2"/>
    <x v="3"/>
    <n v="79.369330741974409"/>
    <n v="4064.2047453172081"/>
  </r>
  <r>
    <x v="3"/>
    <x v="4"/>
    <s v="Morocco"/>
    <x v="0"/>
    <x v="0"/>
    <n v="199.75063634938124"/>
    <n v="4178.742218573494"/>
  </r>
  <r>
    <x v="3"/>
    <x v="4"/>
    <s v="Other Africa"/>
    <x v="1"/>
    <x v="1"/>
    <n v="40.015598339959979"/>
    <n v="3919.9669964039576"/>
  </r>
  <r>
    <x v="3"/>
    <x v="0"/>
    <s v="United Kingdom"/>
    <x v="0"/>
    <x v="2"/>
    <n v="65.547475813036726"/>
    <n v="3299.7179955248957"/>
  </r>
  <r>
    <x v="0"/>
    <x v="4"/>
    <s v="Egypt"/>
    <x v="2"/>
    <x v="3"/>
    <n v="381.10596077531227"/>
    <n v="3823.5852885569329"/>
  </r>
  <r>
    <x v="0"/>
    <x v="3"/>
    <s v="India"/>
    <x v="2"/>
    <x v="4"/>
    <n v="153.38415836049535"/>
    <n v="4399.8094654642045"/>
  </r>
  <r>
    <x v="0"/>
    <x v="4"/>
    <s v="Kenya"/>
    <x v="0"/>
    <x v="0"/>
    <n v="107.26460968289757"/>
    <n v="68.317034853748737"/>
  </r>
  <r>
    <x v="0"/>
    <x v="4"/>
    <s v="South Africa"/>
    <x v="1"/>
    <x v="1"/>
    <n v="327.51172955322545"/>
    <n v="4042.1328009513672"/>
  </r>
  <r>
    <x v="2"/>
    <x v="0"/>
    <s v="United Kingdom"/>
    <x v="0"/>
    <x v="2"/>
    <n v="197.62226805141836"/>
    <n v="193.13098200880177"/>
  </r>
  <r>
    <x v="0"/>
    <x v="1"/>
    <s v="Argentina"/>
    <x v="2"/>
    <x v="3"/>
    <n v="198.08382992960105"/>
    <n v="3792.8789334666362"/>
  </r>
  <r>
    <x v="0"/>
    <x v="1"/>
    <s v="Caribbean"/>
    <x v="2"/>
    <x v="4"/>
    <n v="181.14255113996478"/>
    <n v="3909.5998948147098"/>
  </r>
  <r>
    <x v="0"/>
    <x v="3"/>
    <s v="China"/>
    <x v="0"/>
    <x v="0"/>
    <n v="74.066707945166854"/>
    <n v="2151.4803947429755"/>
  </r>
  <r>
    <x v="0"/>
    <x v="1"/>
    <s v="Peru"/>
    <x v="1"/>
    <x v="1"/>
    <n v="139.79465393640567"/>
    <n v="587.25731128015468"/>
  </r>
  <r>
    <x v="0"/>
    <x v="4"/>
    <s v="South Africa"/>
    <x v="0"/>
    <x v="2"/>
    <n v="11.62682834892621"/>
    <n v="241.52222319025896"/>
  </r>
  <r>
    <x v="3"/>
    <x v="3"/>
    <s v="China"/>
    <x v="2"/>
    <x v="3"/>
    <n v="281.57877136237346"/>
    <n v="1148.5087220964954"/>
  </r>
  <r>
    <x v="3"/>
    <x v="0"/>
    <s v="Germany"/>
    <x v="2"/>
    <x v="4"/>
    <n v="218.42501332648681"/>
    <n v="3852.1283513986655"/>
  </r>
  <r>
    <x v="1"/>
    <x v="4"/>
    <s v="Egypt"/>
    <x v="1"/>
    <x v="5"/>
    <n v="391.10290614007681"/>
    <n v="1257.717101347167"/>
  </r>
  <r>
    <x v="1"/>
    <x v="3"/>
    <s v="India"/>
    <x v="0"/>
    <x v="0"/>
    <n v="343.14743313661893"/>
    <n v="3537.3353216522955"/>
  </r>
  <r>
    <x v="1"/>
    <x v="4"/>
    <s v="Kenya"/>
    <x v="1"/>
    <x v="1"/>
    <n v="256.78706632934336"/>
    <n v="1937.7522074301814"/>
  </r>
  <r>
    <x v="1"/>
    <x v="4"/>
    <s v="South Africa"/>
    <x v="0"/>
    <x v="2"/>
    <n v="11.927181411010679"/>
    <n v="351.69791667160462"/>
  </r>
  <r>
    <x v="3"/>
    <x v="0"/>
    <s v="United Kingdom"/>
    <x v="0"/>
    <x v="0"/>
    <n v="316.91378602372424"/>
    <n v="3897.4221867662527"/>
  </r>
  <r>
    <x v="0"/>
    <x v="1"/>
    <s v="Argentina"/>
    <x v="1"/>
    <x v="1"/>
    <n v="160.82312644302874"/>
    <n v="2186.6529721897678"/>
  </r>
  <r>
    <x v="0"/>
    <x v="1"/>
    <s v="Mexico"/>
    <x v="0"/>
    <x v="2"/>
    <n v="84.353078870026366"/>
    <n v="334.03542708383611"/>
  </r>
  <r>
    <x v="1"/>
    <x v="1"/>
    <s v="Argentina"/>
    <x v="2"/>
    <x v="3"/>
    <n v="45.339926588349044"/>
    <n v="3882.7645839566139"/>
  </r>
  <r>
    <x v="1"/>
    <x v="1"/>
    <s v="Caribbean"/>
    <x v="2"/>
    <x v="4"/>
    <n v="94.750781788570748"/>
    <n v="1543.623904431226"/>
  </r>
  <r>
    <x v="1"/>
    <x v="3"/>
    <s v="China"/>
    <x v="1"/>
    <x v="5"/>
    <n v="135.35562945107813"/>
    <n v="2806.3396071302213"/>
  </r>
  <r>
    <x v="1"/>
    <x v="1"/>
    <s v="Peru"/>
    <x v="0"/>
    <x v="0"/>
    <n v="197.50426788523328"/>
    <n v="2372.4329404883665"/>
  </r>
  <r>
    <x v="1"/>
    <x v="4"/>
    <s v="South Africa"/>
    <x v="1"/>
    <x v="1"/>
    <n v="186.51111428407603"/>
    <n v="747.83122007335987"/>
  </r>
  <r>
    <x v="0"/>
    <x v="1"/>
    <s v="Argentina"/>
    <x v="0"/>
    <x v="2"/>
    <n v="110.87488580506033"/>
    <n v="2218.7137224900653"/>
  </r>
  <r>
    <x v="0"/>
    <x v="1"/>
    <s v="Brazil"/>
    <x v="2"/>
    <x v="3"/>
    <n v="7.9958116253692424"/>
    <n v="2893.8428448054765"/>
  </r>
  <r>
    <x v="0"/>
    <x v="1"/>
    <s v="Caribbean"/>
    <x v="2"/>
    <x v="4"/>
    <n v="108.80920726212935"/>
    <n v="2249.8910445574438"/>
  </r>
  <r>
    <x v="0"/>
    <x v="4"/>
    <s v="Kenya"/>
    <x v="1"/>
    <x v="5"/>
    <n v="139.58056144037982"/>
    <n v="2400.4042011765705"/>
  </r>
  <r>
    <x v="0"/>
    <x v="1"/>
    <s v="Mexico"/>
    <x v="0"/>
    <x v="0"/>
    <n v="154.80457994199242"/>
    <n v="955.82949506206205"/>
  </r>
  <r>
    <x v="0"/>
    <x v="1"/>
    <s v="Other NorthAm"/>
    <x v="1"/>
    <x v="1"/>
    <n v="32.125723102763004"/>
    <n v="2411.6234459252155"/>
  </r>
  <r>
    <x v="0"/>
    <x v="1"/>
    <s v="Peru"/>
    <x v="0"/>
    <x v="2"/>
    <n v="109.78988623683108"/>
    <n v="3618.5590357054025"/>
  </r>
  <r>
    <x v="2"/>
    <x v="4"/>
    <s v="Egypt"/>
    <x v="0"/>
    <x v="0"/>
    <n v="325.4103430062969"/>
    <n v="2669.804699686847"/>
  </r>
  <r>
    <x v="2"/>
    <x v="3"/>
    <s v="India"/>
    <x v="1"/>
    <x v="1"/>
    <n v="88.268043142306851"/>
    <n v="2686.1050699322959"/>
  </r>
  <r>
    <x v="2"/>
    <x v="4"/>
    <s v="Kenya"/>
    <x v="0"/>
    <x v="2"/>
    <n v="103.07365946246136"/>
    <n v="1048.9750397392072"/>
  </r>
  <r>
    <x v="2"/>
    <x v="4"/>
    <s v="South Africa"/>
    <x v="2"/>
    <x v="3"/>
    <n v="9.8423297618865035"/>
    <n v="1197.500660252058"/>
  </r>
  <r>
    <x v="1"/>
    <x v="1"/>
    <s v="Argentina"/>
    <x v="0"/>
    <x v="0"/>
    <n v="41.410792265378404"/>
    <n v="3071.3852429375838"/>
  </r>
  <r>
    <x v="1"/>
    <x v="1"/>
    <s v="Mexico"/>
    <x v="1"/>
    <x v="1"/>
    <n v="85.082663056618912"/>
    <n v="1980.8808325402151"/>
  </r>
  <r>
    <x v="2"/>
    <x v="1"/>
    <s v="Argentina"/>
    <x v="0"/>
    <x v="2"/>
    <n v="128.84334018635855"/>
    <n v="2374.5133031118621"/>
  </r>
  <r>
    <x v="2"/>
    <x v="1"/>
    <s v="Caribbean"/>
    <x v="2"/>
    <x v="3"/>
    <n v="85.400357814251038"/>
    <n v="219.56494401860709"/>
  </r>
  <r>
    <x v="2"/>
    <x v="3"/>
    <s v="China"/>
    <x v="2"/>
    <x v="4"/>
    <n v="162.97805008725845"/>
    <n v="2584.4899549482616"/>
  </r>
  <r>
    <x v="2"/>
    <x v="1"/>
    <s v="Peru"/>
    <x v="0"/>
    <x v="0"/>
    <n v="115.26111955299712"/>
    <n v="1587.2964520165406"/>
  </r>
  <r>
    <x v="2"/>
    <x v="4"/>
    <s v="South Africa"/>
    <x v="1"/>
    <x v="1"/>
    <n v="80.069734048083774"/>
    <n v="2675.611827170188"/>
  </r>
  <r>
    <x v="1"/>
    <x v="1"/>
    <s v="Argentina"/>
    <x v="0"/>
    <x v="2"/>
    <n v="68.562618921168905"/>
    <n v="926.21062611571688"/>
  </r>
  <r>
    <x v="1"/>
    <x v="1"/>
    <s v="Brazil"/>
    <x v="2"/>
    <x v="3"/>
    <n v="156.46995209244778"/>
    <n v="2654.0056116829146"/>
  </r>
  <r>
    <x v="1"/>
    <x v="1"/>
    <s v="Caribbean"/>
    <x v="2"/>
    <x v="4"/>
    <n v="124.41934929720446"/>
    <n v="2939.0588308921724"/>
  </r>
  <r>
    <x v="1"/>
    <x v="4"/>
    <s v="Kenya"/>
    <x v="0"/>
    <x v="0"/>
    <n v="66.601993822405348"/>
    <n v="3183.5452373654698"/>
  </r>
  <r>
    <x v="1"/>
    <x v="1"/>
    <s v="Mexico"/>
    <x v="1"/>
    <x v="1"/>
    <n v="164.60216778941685"/>
    <n v="41.793992675120535"/>
  </r>
  <r>
    <x v="1"/>
    <x v="1"/>
    <s v="Other NorthAm"/>
    <x v="0"/>
    <x v="2"/>
    <n v="124.61975981332216"/>
    <n v="2105.1191856108926"/>
  </r>
  <r>
    <x v="1"/>
    <x v="1"/>
    <s v="Peru"/>
    <x v="2"/>
    <x v="3"/>
    <n v="110.40678319441213"/>
    <n v="2968.6673153377706"/>
  </r>
  <r>
    <x v="3"/>
    <x v="4"/>
    <s v="Egypt"/>
    <x v="2"/>
    <x v="4"/>
    <n v="308.65619893775147"/>
    <n v="2155.3516063451789"/>
  </r>
  <r>
    <x v="3"/>
    <x v="3"/>
    <s v="India"/>
    <x v="1"/>
    <x v="5"/>
    <n v="229.29897956055356"/>
    <n v="1077.8042096537092"/>
  </r>
  <r>
    <x v="3"/>
    <x v="4"/>
    <s v="Kenya"/>
    <x v="0"/>
    <x v="0"/>
    <n v="136.87056951421255"/>
    <n v="2410.9151939336061"/>
  </r>
  <r>
    <x v="3"/>
    <x v="4"/>
    <s v="South Africa"/>
    <x v="1"/>
    <x v="1"/>
    <n v="399.41978748174733"/>
    <n v="1762.3874272902913"/>
  </r>
  <r>
    <x v="2"/>
    <x v="1"/>
    <s v="Argentina"/>
    <x v="0"/>
    <x v="2"/>
    <n v="209.55170796542006"/>
    <n v="1964.06746039266"/>
  </r>
  <r>
    <x v="2"/>
    <x v="1"/>
    <s v="Mexico"/>
    <x v="0"/>
    <x v="0"/>
    <n v="3.0469892182736658"/>
    <n v="842.28779012581981"/>
  </r>
  <r>
    <x v="3"/>
    <x v="1"/>
    <s v="Argentina"/>
    <x v="1"/>
    <x v="1"/>
    <n v="140.32540253010666"/>
    <n v="327.5020246097738"/>
  </r>
  <r>
    <x v="3"/>
    <x v="1"/>
    <s v="Caribbean"/>
    <x v="0"/>
    <x v="2"/>
    <n v="57.40992086539336"/>
    <n v="2591.7409788056557"/>
  </r>
  <r>
    <x v="3"/>
    <x v="3"/>
    <s v="China"/>
    <x v="2"/>
    <x v="3"/>
    <n v="80.742429605197685"/>
    <n v="238.73463781385362"/>
  </r>
  <r>
    <x v="3"/>
    <x v="1"/>
    <s v="Peru"/>
    <x v="2"/>
    <x v="4"/>
    <n v="176.25414167196141"/>
    <n v="1586.2386469818648"/>
  </r>
  <r>
    <x v="3"/>
    <x v="4"/>
    <s v="South Africa"/>
    <x v="1"/>
    <x v="5"/>
    <n v="43.56859155359416"/>
    <n v="1342.007858019595"/>
  </r>
  <r>
    <x v="2"/>
    <x v="1"/>
    <s v="Argentina"/>
    <x v="0"/>
    <x v="0"/>
    <n v="42.368506480124779"/>
    <n v="2452.7215717105282"/>
  </r>
  <r>
    <x v="2"/>
    <x v="1"/>
    <s v="Brazil"/>
    <x v="1"/>
    <x v="1"/>
    <n v="122.76421236219903"/>
    <n v="3104.1295555526158"/>
  </r>
  <r>
    <x v="2"/>
    <x v="1"/>
    <s v="Caribbean"/>
    <x v="0"/>
    <x v="2"/>
    <n v="183.13085086010688"/>
    <n v="1029.7327577402611"/>
  </r>
  <r>
    <x v="2"/>
    <x v="4"/>
    <s v="Kenya"/>
    <x v="2"/>
    <x v="3"/>
    <n v="138.60417117921315"/>
    <n v="878.94434543742682"/>
  </r>
  <r>
    <x v="2"/>
    <x v="1"/>
    <s v="Mexico"/>
    <x v="2"/>
    <x v="4"/>
    <n v="35.683179045008728"/>
    <n v="2828.3265348135938"/>
  </r>
  <r>
    <x v="2"/>
    <x v="1"/>
    <s v="Other NorthAm"/>
    <x v="1"/>
    <x v="5"/>
    <n v="2.0555408264044672E-2"/>
    <n v="2756.568299192164"/>
  </r>
  <r>
    <x v="2"/>
    <x v="1"/>
    <s v="Peru"/>
    <x v="0"/>
    <x v="0"/>
    <n v="48.758178794196283"/>
    <n v="947.25877471425338"/>
  </r>
  <r>
    <x v="0"/>
    <x v="0"/>
    <s v="Germany"/>
    <x v="1"/>
    <x v="1"/>
    <n v="87.016623604176857"/>
    <n v="530.65479530196171"/>
  </r>
  <r>
    <x v="0"/>
    <x v="3"/>
    <s v="India"/>
    <x v="0"/>
    <x v="2"/>
    <n v="69.352992108636613"/>
    <n v="2256.9916137028486"/>
  </r>
  <r>
    <x v="0"/>
    <x v="0"/>
    <s v="Italy"/>
    <x v="0"/>
    <x v="0"/>
    <n v="94.384948752122"/>
    <n v="259.98447878228035"/>
  </r>
  <r>
    <x v="0"/>
    <x v="4"/>
    <s v="Kenya"/>
    <x v="1"/>
    <x v="1"/>
    <n v="99.468429526586988"/>
    <n v="2011.4079461724032"/>
  </r>
  <r>
    <x v="0"/>
    <x v="0"/>
    <s v="Other Europe"/>
    <x v="0"/>
    <x v="2"/>
    <n v="42.494168012672162"/>
    <n v="557.42342622543219"/>
  </r>
  <r>
    <x v="0"/>
    <x v="4"/>
    <s v="South Africa"/>
    <x v="2"/>
    <x v="3"/>
    <n v="6.9982578736016876"/>
    <n v="793.99494199315086"/>
  </r>
  <r>
    <x v="3"/>
    <x v="1"/>
    <s v="Argentina"/>
    <x v="0"/>
    <x v="0"/>
    <n v="15.963490293324867"/>
    <n v="2788.0401460172243"/>
  </r>
  <r>
    <x v="3"/>
    <x v="1"/>
    <s v="Mexico"/>
    <x v="1"/>
    <x v="1"/>
    <n v="166.81453886767486"/>
    <n v="1538.4986034447411"/>
  </r>
  <r>
    <x v="3"/>
    <x v="1"/>
    <s v="Argentina"/>
    <x v="0"/>
    <x v="2"/>
    <n v="173.463543564867"/>
    <n v="2242.8070288629588"/>
  </r>
  <r>
    <x v="3"/>
    <x v="1"/>
    <s v="Brazil"/>
    <x v="2"/>
    <x v="3"/>
    <n v="83.797686284924566"/>
    <n v="2444.4567092619982"/>
  </r>
  <r>
    <x v="3"/>
    <x v="1"/>
    <s v="Caribbean"/>
    <x v="2"/>
    <x v="4"/>
    <n v="112.34154069243232"/>
    <n v="1186.2838281946333"/>
  </r>
  <r>
    <x v="3"/>
    <x v="4"/>
    <s v="Kenya"/>
    <x v="0"/>
    <x v="0"/>
    <n v="179.86523042982299"/>
    <n v="1047.265364145318"/>
  </r>
  <r>
    <x v="3"/>
    <x v="1"/>
    <s v="Mexico"/>
    <x v="1"/>
    <x v="1"/>
    <n v="128.73092592380999"/>
    <n v="971.9303480361832"/>
  </r>
  <r>
    <x v="3"/>
    <x v="1"/>
    <s v="Other NorthAm"/>
    <x v="0"/>
    <x v="2"/>
    <n v="10.84172213995771"/>
    <n v="2467.156979962987"/>
  </r>
  <r>
    <x v="3"/>
    <x v="1"/>
    <s v="Peru"/>
    <x v="2"/>
    <x v="3"/>
    <n v="6.2403948355495231"/>
    <n v="639.44280400758726"/>
  </r>
  <r>
    <x v="1"/>
    <x v="0"/>
    <s v="Germany"/>
    <x v="2"/>
    <x v="4"/>
    <n v="0.28333769923847285"/>
    <n v="800.15981467164238"/>
  </r>
  <r>
    <x v="1"/>
    <x v="3"/>
    <s v="India"/>
    <x v="0"/>
    <x v="0"/>
    <n v="37.4793485058035"/>
    <n v="600.90925166237867"/>
  </r>
  <r>
    <x v="1"/>
    <x v="0"/>
    <s v="Italy"/>
    <x v="1"/>
    <x v="1"/>
    <n v="70.7295899984274"/>
    <n v="1804.87724891791"/>
  </r>
  <r>
    <x v="1"/>
    <x v="4"/>
    <s v="Kenya"/>
    <x v="0"/>
    <x v="2"/>
    <n v="53.606110538930807"/>
    <n v="2205.4904942734865"/>
  </r>
  <r>
    <x v="1"/>
    <x v="0"/>
    <s v="Other Europe"/>
    <x v="2"/>
    <x v="3"/>
    <n v="11.440953940655163"/>
    <n v="551.01703123646439"/>
  </r>
  <r>
    <x v="1"/>
    <x v="4"/>
    <s v="South Africa"/>
    <x v="2"/>
    <x v="4"/>
    <n v="66.783523308276926"/>
    <n v="1349.9167217582581"/>
  </r>
  <r>
    <x v="0"/>
    <x v="3"/>
    <s v="Australia"/>
    <x v="1"/>
    <x v="5"/>
    <n v="196.37741358092171"/>
    <n v="2711.8237034006597"/>
  </r>
  <r>
    <x v="0"/>
    <x v="4"/>
    <s v="Morocco"/>
    <x v="0"/>
    <x v="0"/>
    <n v="69.692692496573727"/>
    <n v="796.94551399734337"/>
  </r>
  <r>
    <x v="0"/>
    <x v="4"/>
    <s v="Other Africa"/>
    <x v="1"/>
    <x v="1"/>
    <n v="82.28971970929706"/>
    <n v="2262.6060940780008"/>
  </r>
  <r>
    <x v="0"/>
    <x v="4"/>
    <s v="South Africa"/>
    <x v="0"/>
    <x v="2"/>
    <n v="58.304449021306937"/>
    <n v="1665.1100180803041"/>
  </r>
  <r>
    <x v="2"/>
    <x v="0"/>
    <s v="Germany"/>
    <x v="0"/>
    <x v="0"/>
    <n v="1.207060998876841"/>
    <n v="1814.9317077674368"/>
  </r>
  <r>
    <x v="2"/>
    <x v="3"/>
    <s v="India"/>
    <x v="0"/>
    <x v="0"/>
    <n v="88.208117806425435"/>
    <n v="2193.0237756771021"/>
  </r>
  <r>
    <x v="2"/>
    <x v="0"/>
    <s v="Italy"/>
    <x v="1"/>
    <x v="1"/>
    <n v="28.514286145855294"/>
    <n v="2372.1395208134254"/>
  </r>
  <r>
    <x v="2"/>
    <x v="4"/>
    <s v="Kenya"/>
    <x v="0"/>
    <x v="2"/>
    <n v="29.749599854221742"/>
    <n v="1620.2674133112851"/>
  </r>
  <r>
    <x v="2"/>
    <x v="0"/>
    <s v="Other Europe"/>
    <x v="2"/>
    <x v="3"/>
    <n v="45.710553734625137"/>
    <n v="1787.1524322991263"/>
  </r>
  <r>
    <x v="2"/>
    <x v="4"/>
    <s v="South Africa"/>
    <x v="2"/>
    <x v="4"/>
    <n v="33.098675775545416"/>
    <n v="2037.0953853911487"/>
  </r>
  <r>
    <x v="1"/>
    <x v="3"/>
    <s v="Australia"/>
    <x v="1"/>
    <x v="5"/>
    <n v="83.537877111484704"/>
    <n v="51.472202083994489"/>
  </r>
  <r>
    <x v="1"/>
    <x v="4"/>
    <s v="Morocco"/>
    <x v="0"/>
    <x v="0"/>
    <n v="43.731155168279656"/>
    <n v="1090.0628827176479"/>
  </r>
  <r>
    <x v="1"/>
    <x v="4"/>
    <s v="Other Africa"/>
    <x v="1"/>
    <x v="1"/>
    <n v="59.160537298339477"/>
    <n v="260.13368676335449"/>
  </r>
  <r>
    <x v="1"/>
    <x v="4"/>
    <s v="South Africa"/>
    <x v="0"/>
    <x v="2"/>
    <n v="159.66151985267061"/>
    <n v="701.63119155653112"/>
  </r>
  <r>
    <x v="3"/>
    <x v="0"/>
    <s v="Germany"/>
    <x v="0"/>
    <x v="0"/>
    <n v="10.884318764055934"/>
    <n v="1339.2901490277618"/>
  </r>
  <r>
    <x v="3"/>
    <x v="3"/>
    <s v="India"/>
    <x v="1"/>
    <x v="1"/>
    <n v="35.951779397873906"/>
    <n v="1692.3875823414783"/>
  </r>
  <r>
    <x v="3"/>
    <x v="0"/>
    <s v="Italy"/>
    <x v="0"/>
    <x v="2"/>
    <n v="33.87053777360336"/>
    <n v="141.26761171892213"/>
  </r>
  <r>
    <x v="3"/>
    <x v="4"/>
    <s v="Kenya"/>
    <x v="2"/>
    <x v="3"/>
    <n v="48.688224098168575"/>
    <n v="934.84262779154233"/>
  </r>
  <r>
    <x v="3"/>
    <x v="0"/>
    <s v="Other Europe"/>
    <x v="0"/>
    <x v="0"/>
    <n v="39.674217430365388"/>
    <n v="874.8788159990545"/>
  </r>
  <r>
    <x v="3"/>
    <x v="4"/>
    <s v="South Africa"/>
    <x v="1"/>
    <x v="1"/>
    <n v="4.3133620761182101"/>
    <n v="1253.8952644302844"/>
  </r>
  <r>
    <x v="0"/>
    <x v="0"/>
    <s v="Italy"/>
    <x v="0"/>
    <x v="2"/>
    <n v="18.661016170153744"/>
    <n v="1955.9201079588092"/>
  </r>
  <r>
    <x v="0"/>
    <x v="4"/>
    <s v="Other Africa"/>
    <x v="2"/>
    <x v="3"/>
    <n v="113.99482929136866"/>
    <n v="1273.2185935863527"/>
  </r>
  <r>
    <x v="2"/>
    <x v="3"/>
    <s v="Australia"/>
    <x v="2"/>
    <x v="4"/>
    <n v="158.62511160522104"/>
    <n v="589.26054201038005"/>
  </r>
  <r>
    <x v="2"/>
    <x v="4"/>
    <s v="Morocco"/>
    <x v="0"/>
    <x v="0"/>
    <n v="15.856938247088692"/>
    <n v="1240.5866051428839"/>
  </r>
  <r>
    <x v="2"/>
    <x v="4"/>
    <s v="Other Africa"/>
    <x v="1"/>
    <x v="1"/>
    <n v="115.29297061370016"/>
    <n v="683.79592738747124"/>
  </r>
  <r>
    <x v="2"/>
    <x v="4"/>
    <s v="South Africa"/>
    <x v="0"/>
    <x v="2"/>
    <n v="63.292984080908354"/>
    <n v="2034.7002092993671"/>
  </r>
  <r>
    <x v="0"/>
    <x v="4"/>
    <s v="Egypt"/>
    <x v="2"/>
    <x v="3"/>
    <n v="39.622472886912874"/>
    <n v="1105.2946798739868"/>
  </r>
  <r>
    <x v="0"/>
    <x v="3"/>
    <s v="India"/>
    <x v="2"/>
    <x v="4"/>
    <n v="35.828044642312307"/>
    <n v="641.2572489579361"/>
  </r>
  <r>
    <x v="0"/>
    <x v="4"/>
    <s v="Kenya"/>
    <x v="0"/>
    <x v="0"/>
    <n v="28.140779022032802"/>
    <n v="96.43267206793098"/>
  </r>
  <r>
    <x v="0"/>
    <x v="4"/>
    <s v="Morocco"/>
    <x v="1"/>
    <x v="1"/>
    <n v="89.910305070316099"/>
    <n v="89.581324028313247"/>
  </r>
  <r>
    <x v="0"/>
    <x v="4"/>
    <s v="Other Africa"/>
    <x v="0"/>
    <x v="2"/>
    <n v="23.652521093026735"/>
    <n v="2207.208325251122"/>
  </r>
  <r>
    <x v="0"/>
    <x v="1"/>
    <s v="Other NorthAm"/>
    <x v="2"/>
    <x v="3"/>
    <n v="93.91121430990097"/>
    <n v="415.82814862822488"/>
  </r>
  <r>
    <x v="1"/>
    <x v="0"/>
    <s v="Italy"/>
    <x v="2"/>
    <x v="4"/>
    <n v="24.557183740034816"/>
    <n v="1844.7686758806958"/>
  </r>
  <r>
    <x v="1"/>
    <x v="4"/>
    <s v="Other Africa"/>
    <x v="1"/>
    <x v="5"/>
    <n v="95.622755951808358"/>
    <n v="2133.0363696280765"/>
  </r>
  <r>
    <x v="3"/>
    <x v="3"/>
    <s v="Australia"/>
    <x v="0"/>
    <x v="0"/>
    <n v="155.88799492179533"/>
    <n v="2020.0158629809084"/>
  </r>
  <r>
    <x v="3"/>
    <x v="4"/>
    <s v="Morocco"/>
    <x v="1"/>
    <x v="1"/>
    <n v="32.111450230695482"/>
    <n v="957.59685474670732"/>
  </r>
  <r>
    <x v="3"/>
    <x v="4"/>
    <s v="Other Africa"/>
    <x v="0"/>
    <x v="2"/>
    <n v="51.113953062667861"/>
    <n v="120.9135447040353"/>
  </r>
  <r>
    <x v="3"/>
    <x v="4"/>
    <s v="South Africa"/>
    <x v="0"/>
    <x v="0"/>
    <n v="166.22890426824597"/>
    <n v="1074.8513429455761"/>
  </r>
  <r>
    <x v="1"/>
    <x v="4"/>
    <s v="Egypt"/>
    <x v="0"/>
    <x v="0"/>
    <n v="44.063117236510152"/>
    <n v="2069.2972232238462"/>
  </r>
  <r>
    <x v="1"/>
    <x v="3"/>
    <s v="India"/>
    <x v="1"/>
    <x v="1"/>
    <n v="14.986009524272959"/>
    <n v="1757.1663033524956"/>
  </r>
  <r>
    <x v="1"/>
    <x v="4"/>
    <s v="Kenya"/>
    <x v="0"/>
    <x v="2"/>
    <n v="83.39648134442541"/>
    <n v="1415.8384040143228"/>
  </r>
  <r>
    <x v="1"/>
    <x v="4"/>
    <s v="Morocco"/>
    <x v="2"/>
    <x v="3"/>
    <n v="60.232472425377637"/>
    <n v="1082.3431871408011"/>
  </r>
  <r>
    <x v="1"/>
    <x v="4"/>
    <s v="Other Africa"/>
    <x v="2"/>
    <x v="4"/>
    <n v="18.671398546666751"/>
    <n v="63.564294387372684"/>
  </r>
  <r>
    <x v="1"/>
    <x v="1"/>
    <s v="Other NorthAm"/>
    <x v="1"/>
    <x v="5"/>
    <n v="48.857429746567504"/>
    <n v="1454.4282099334305"/>
  </r>
  <r>
    <x v="0"/>
    <x v="3"/>
    <s v="Australia"/>
    <x v="0"/>
    <x v="0"/>
    <n v="16.370310399634036"/>
    <n v="1375.6443332731578"/>
  </r>
  <r>
    <x v="0"/>
    <x v="4"/>
    <s v="Egypt"/>
    <x v="1"/>
    <x v="1"/>
    <n v="9.9415966573360492"/>
    <n v="1507.2778008798196"/>
  </r>
  <r>
    <x v="0"/>
    <x v="4"/>
    <s v="Morocco"/>
    <x v="0"/>
    <x v="2"/>
    <n v="13.84327679670605"/>
    <n v="1389.3695843235037"/>
  </r>
  <r>
    <x v="0"/>
    <x v="4"/>
    <s v="Other Africa"/>
    <x v="0"/>
    <x v="0"/>
    <n v="76.069339581226814"/>
    <n v="621.78908127680188"/>
  </r>
  <r>
    <x v="0"/>
    <x v="4"/>
    <s v="South Africa"/>
    <x v="1"/>
    <x v="1"/>
    <n v="91.165281887515448"/>
    <n v="1682.510927608746"/>
  </r>
  <r>
    <x v="0"/>
    <x v="0"/>
    <s v="United Kingdom"/>
    <x v="0"/>
    <x v="2"/>
    <n v="79.090488484052912"/>
    <n v="14.156183937302558"/>
  </r>
  <r>
    <x v="2"/>
    <x v="0"/>
    <s v="Italy"/>
    <x v="2"/>
    <x v="3"/>
    <n v="70.496250921132741"/>
    <n v="301.62224934479127"/>
  </r>
  <r>
    <x v="2"/>
    <x v="4"/>
    <s v="Other Africa"/>
    <x v="0"/>
    <x v="0"/>
    <n v="141.83055839075678"/>
    <n v="1302.2603903446061"/>
  </r>
  <r>
    <x v="2"/>
    <x v="4"/>
    <s v="Egypt"/>
    <x v="1"/>
    <x v="1"/>
    <n v="33.443631172667665"/>
    <n v="909.14996987170525"/>
  </r>
  <r>
    <x v="2"/>
    <x v="3"/>
    <s v="India"/>
    <x v="0"/>
    <x v="2"/>
    <n v="30.26707662802437"/>
    <n v="292.87740997585843"/>
  </r>
  <r>
    <x v="2"/>
    <x v="4"/>
    <s v="Kenya"/>
    <x v="2"/>
    <x v="3"/>
    <n v="95.933411904843524"/>
    <n v="925.58306830730544"/>
  </r>
  <r>
    <x v="2"/>
    <x v="4"/>
    <s v="Morocco"/>
    <x v="2"/>
    <x v="4"/>
    <n v="65.684354957465985"/>
    <n v="998.08060534267952"/>
  </r>
  <r>
    <x v="2"/>
    <x v="4"/>
    <s v="Other Africa"/>
    <x v="0"/>
    <x v="0"/>
    <n v="59.237422627666092"/>
    <n v="1723.8735832796374"/>
  </r>
  <r>
    <x v="2"/>
    <x v="1"/>
    <s v="Other NorthAm"/>
    <x v="1"/>
    <x v="1"/>
    <n v="31.865312833360804"/>
    <n v="316.21496901623686"/>
  </r>
  <r>
    <x v="1"/>
    <x v="3"/>
    <s v="Australia"/>
    <x v="0"/>
    <x v="2"/>
    <n v="39.151269293597579"/>
    <n v="234.26425771753202"/>
  </r>
  <r>
    <x v="1"/>
    <x v="4"/>
    <s v="Egypt"/>
    <x v="2"/>
    <x v="3"/>
    <n v="96.723794768331572"/>
    <n v="500.58603854577086"/>
  </r>
  <r>
    <x v="1"/>
    <x v="4"/>
    <s v="Morocco"/>
    <x v="2"/>
    <x v="4"/>
    <n v="84.51051212641687"/>
    <n v="974.10831303253872"/>
  </r>
  <r>
    <x v="1"/>
    <x v="4"/>
    <s v="Other Africa"/>
    <x v="0"/>
    <x v="0"/>
    <n v="29.577432581027097"/>
    <n v="859.6183201855456"/>
  </r>
  <r>
    <x v="1"/>
    <x v="4"/>
    <s v="South Africa"/>
    <x v="1"/>
    <x v="1"/>
    <n v="15.953764097230305"/>
    <n v="646.30398201181379"/>
  </r>
  <r>
    <x v="1"/>
    <x v="0"/>
    <s v="United Kingdom"/>
    <x v="0"/>
    <x v="2"/>
    <n v="33.27297347750573"/>
    <n v="1016.8706902699523"/>
  </r>
  <r>
    <x v="3"/>
    <x v="0"/>
    <s v="Italy"/>
    <x v="2"/>
    <x v="3"/>
    <n v="37.325081157723616"/>
    <n v="1765.8782926356362"/>
  </r>
  <r>
    <x v="3"/>
    <x v="4"/>
    <s v="Other Africa"/>
    <x v="2"/>
    <x v="4"/>
    <n v="33.105098735177307"/>
    <n v="1440.7240502420027"/>
  </r>
  <r>
    <x v="3"/>
    <x v="4"/>
    <s v="Egypt"/>
    <x v="1"/>
    <x v="5"/>
    <n v="95.79814975231784"/>
    <n v="1549.1924045073974"/>
  </r>
  <r>
    <x v="3"/>
    <x v="3"/>
    <s v="India"/>
    <x v="0"/>
    <x v="0"/>
    <n v="0.12280691953492351"/>
    <n v="1510.8045030853173"/>
  </r>
  <r>
    <x v="3"/>
    <x v="4"/>
    <s v="Kenya"/>
    <x v="1"/>
    <x v="1"/>
    <n v="45.529467185679096"/>
    <n v="1565.761987287764"/>
  </r>
  <r>
    <x v="3"/>
    <x v="4"/>
    <s v="Morocco"/>
    <x v="0"/>
    <x v="2"/>
    <n v="2.5520686731397291"/>
    <n v="62.60645892782486"/>
  </r>
  <r>
    <x v="3"/>
    <x v="4"/>
    <s v="Other Africa"/>
    <x v="0"/>
    <x v="0"/>
    <n v="52.970404221287026"/>
    <n v="887.04551847313269"/>
  </r>
  <r>
    <x v="3"/>
    <x v="1"/>
    <s v="Other NorthAm"/>
    <x v="1"/>
    <x v="1"/>
    <n v="39.857964707698557"/>
    <n v="668.05570994862683"/>
  </r>
  <r>
    <x v="2"/>
    <x v="3"/>
    <s v="Australia"/>
    <x v="0"/>
    <x v="2"/>
    <n v="76.464890854458645"/>
    <n v="1019.0141298418312"/>
  </r>
  <r>
    <x v="2"/>
    <x v="4"/>
    <s v="Egypt"/>
    <x v="2"/>
    <x v="3"/>
    <n v="17.547764117625775"/>
    <n v="1480.3411344573178"/>
  </r>
  <r>
    <x v="2"/>
    <x v="4"/>
    <s v="Morocco"/>
    <x v="2"/>
    <x v="4"/>
    <n v="71.244757218937593"/>
    <n v="775.47237073379802"/>
  </r>
  <r>
    <x v="2"/>
    <x v="4"/>
    <s v="Other Africa"/>
    <x v="1"/>
    <x v="5"/>
    <n v="79.451389235509851"/>
    <n v="790.57808028852014"/>
  </r>
  <r>
    <x v="2"/>
    <x v="4"/>
    <s v="South Africa"/>
    <x v="0"/>
    <x v="0"/>
    <n v="0.97799701297844877"/>
    <n v="1081.9222706620203"/>
  </r>
  <r>
    <x v="2"/>
    <x v="0"/>
    <s v="United Kingdom"/>
    <x v="1"/>
    <x v="1"/>
    <n v="62.829624536607298"/>
    <n v="1320.7063877724795"/>
  </r>
  <r>
    <x v="3"/>
    <x v="3"/>
    <s v="Australia"/>
    <x v="0"/>
    <x v="2"/>
    <n v="47.397226470548048"/>
    <n v="792.47760263482996"/>
  </r>
  <r>
    <x v="3"/>
    <x v="4"/>
    <s v="Egypt"/>
    <x v="2"/>
    <x v="3"/>
    <n v="30.892517790744023"/>
    <n v="71.297017684247294"/>
  </r>
  <r>
    <x v="3"/>
    <x v="4"/>
    <s v="Morocco"/>
    <x v="2"/>
    <x v="4"/>
    <n v="13.899430142282654"/>
    <n v="88.636677909935315"/>
  </r>
  <r>
    <x v="3"/>
    <x v="4"/>
    <s v="Other Africa"/>
    <x v="1"/>
    <x v="5"/>
    <n v="41.937183433037717"/>
    <n v="137.44027950425789"/>
  </r>
  <r>
    <x v="3"/>
    <x v="4"/>
    <s v="South Africa"/>
    <x v="0"/>
    <x v="0"/>
    <n v="93.733632839848724"/>
    <n v="631.4308937281312"/>
  </r>
  <r>
    <x v="3"/>
    <x v="0"/>
    <s v="United Kingdom"/>
    <x v="1"/>
    <x v="1"/>
    <n v="15.816830643780122"/>
    <n v="1242.3179600612893"/>
  </r>
  <r>
    <x v="0"/>
    <x v="1"/>
    <s v="Brazil"/>
    <x v="0"/>
    <x v="2"/>
    <n v="68.078370189050474"/>
    <n v="987.41608167201775"/>
  </r>
  <r>
    <x v="0"/>
    <x v="1"/>
    <s v="Chile"/>
    <x v="0"/>
    <x v="0"/>
    <n v="17.883281685135444"/>
    <n v="731.54624825438077"/>
  </r>
  <r>
    <x v="0"/>
    <x v="3"/>
    <s v="China"/>
    <x v="1"/>
    <x v="1"/>
    <n v="46.066686459289485"/>
    <n v="512.15281168097135"/>
  </r>
  <r>
    <x v="0"/>
    <x v="4"/>
    <s v="Egypt"/>
    <x v="0"/>
    <x v="2"/>
    <n v="99.662378175526101"/>
    <n v="164.35360121977283"/>
  </r>
  <r>
    <x v="0"/>
    <x v="0"/>
    <s v="France"/>
    <x v="2"/>
    <x v="3"/>
    <n v="34.935866758496559"/>
    <n v="956.45543076334434"/>
  </r>
  <r>
    <x v="0"/>
    <x v="0"/>
    <s v="Germany"/>
    <x v="0"/>
    <x v="0"/>
    <n v="98.086902777595242"/>
    <n v="8.437576100914157"/>
  </r>
  <r>
    <x v="0"/>
    <x v="0"/>
    <s v="Italy"/>
    <x v="1"/>
    <x v="1"/>
    <n v="1.7259981428651372"/>
    <n v="1165.320155045265"/>
  </r>
  <r>
    <x v="0"/>
    <x v="4"/>
    <s v="Kenya"/>
    <x v="0"/>
    <x v="2"/>
    <n v="90.809070597515529"/>
    <n v="178.34636465395306"/>
  </r>
  <r>
    <x v="0"/>
    <x v="3"/>
    <s v="Other Asia"/>
    <x v="2"/>
    <x v="3"/>
    <n v="16.230366297349974"/>
    <n v="979.22249286057195"/>
  </r>
  <r>
    <x v="0"/>
    <x v="0"/>
    <s v="Other Europe"/>
    <x v="2"/>
    <x v="4"/>
    <n v="17.62682664066233"/>
    <n v="344.75385729110712"/>
  </r>
  <r>
    <x v="0"/>
    <x v="1"/>
    <s v="Peru"/>
    <x v="0"/>
    <x v="0"/>
    <n v="80.117506997066812"/>
    <n v="200.52075077219342"/>
  </r>
  <r>
    <x v="1"/>
    <x v="1"/>
    <s v="Brazil"/>
    <x v="1"/>
    <x v="1"/>
    <n v="41.690820012084373"/>
    <n v="494.67635773187976"/>
  </r>
  <r>
    <x v="1"/>
    <x v="1"/>
    <s v="Chile"/>
    <x v="0"/>
    <x v="2"/>
    <n v="66.449217675290129"/>
    <n v="691.08268875414421"/>
  </r>
  <r>
    <x v="1"/>
    <x v="3"/>
    <s v="China"/>
    <x v="2"/>
    <x v="3"/>
    <n v="76.95657500780726"/>
    <n v="727.97721493213612"/>
  </r>
  <r>
    <x v="1"/>
    <x v="4"/>
    <s v="Egypt"/>
    <x v="2"/>
    <x v="4"/>
    <n v="54.231157375397743"/>
    <n v="970.58824790137987"/>
  </r>
  <r>
    <x v="1"/>
    <x v="0"/>
    <s v="France"/>
    <x v="0"/>
    <x v="0"/>
    <n v="46.390990324198356"/>
    <n v="1161.6870207778593"/>
  </r>
  <r>
    <x v="1"/>
    <x v="0"/>
    <s v="Germany"/>
    <x v="1"/>
    <x v="1"/>
    <n v="66.484668577140837"/>
    <n v="1026.8134137497218"/>
  </r>
  <r>
    <x v="1"/>
    <x v="0"/>
    <s v="Italy"/>
    <x v="0"/>
    <x v="2"/>
    <n v="54.045606597446749"/>
    <n v="1240.0427043054751"/>
  </r>
  <r>
    <x v="1"/>
    <x v="4"/>
    <s v="Kenya"/>
    <x v="2"/>
    <x v="3"/>
    <n v="97.416753747529583"/>
    <n v="602.10688997058605"/>
  </r>
  <r>
    <x v="1"/>
    <x v="3"/>
    <s v="Other Asia"/>
    <x v="2"/>
    <x v="4"/>
    <n v="11.028466697734984"/>
    <n v="853.61815960440254"/>
  </r>
  <r>
    <x v="1"/>
    <x v="0"/>
    <s v="Other Europe"/>
    <x v="1"/>
    <x v="5"/>
    <n v="73.332427678178647"/>
    <n v="367.43574804203308"/>
  </r>
  <r>
    <x v="1"/>
    <x v="1"/>
    <s v="Peru"/>
    <x v="0"/>
    <x v="0"/>
    <n v="62.567463536743162"/>
    <n v="506.18843043093693"/>
  </r>
  <r>
    <x v="0"/>
    <x v="4"/>
    <s v="Morocco"/>
    <x v="1"/>
    <x v="1"/>
    <n v="16.544398359656043"/>
    <n v="220.53457052243175"/>
  </r>
  <r>
    <x v="0"/>
    <x v="3"/>
    <s v="Other Asia"/>
    <x v="0"/>
    <x v="2"/>
    <n v="89.85486187530114"/>
    <n v="444.07965508871712"/>
  </r>
  <r>
    <x v="0"/>
    <x v="1"/>
    <s v="Other NorthAm"/>
    <x v="0"/>
    <x v="0"/>
    <n v="47.781509461492533"/>
    <n v="85.874904468471414"/>
  </r>
  <r>
    <x v="2"/>
    <x v="1"/>
    <s v="Brazil"/>
    <x v="1"/>
    <x v="1"/>
    <n v="90.438748012456927"/>
    <n v="69.764929403531823"/>
  </r>
  <r>
    <x v="2"/>
    <x v="1"/>
    <s v="Chile"/>
    <x v="0"/>
    <x v="2"/>
    <n v="44.095630760421045"/>
    <n v="952.13390024756154"/>
  </r>
  <r>
    <x v="2"/>
    <x v="3"/>
    <s v="China"/>
    <x v="2"/>
    <x v="3"/>
    <n v="0.34219709659737418"/>
    <n v="436.5491925896431"/>
  </r>
  <r>
    <x v="2"/>
    <x v="4"/>
    <s v="Egypt"/>
    <x v="2"/>
    <x v="4"/>
    <n v="28.886795061043813"/>
    <n v="132.33023527428486"/>
  </r>
  <r>
    <x v="2"/>
    <x v="0"/>
    <s v="France"/>
    <x v="1"/>
    <x v="5"/>
    <n v="88.99591504732598"/>
    <n v="510.12656328477715"/>
  </r>
  <r>
    <x v="2"/>
    <x v="0"/>
    <s v="Germany"/>
    <x v="0"/>
    <x v="0"/>
    <n v="46.120390463875083"/>
    <n v="182.8041930427089"/>
  </r>
  <r>
    <x v="2"/>
    <x v="0"/>
    <s v="Italy"/>
    <x v="1"/>
    <x v="1"/>
    <n v="32.756923799843207"/>
    <n v="723.26939145653523"/>
  </r>
  <r>
    <x v="2"/>
    <x v="4"/>
    <s v="Kenya"/>
    <x v="0"/>
    <x v="2"/>
    <n v="0.70188750978559256"/>
    <n v="490.45819242308153"/>
  </r>
  <r>
    <x v="2"/>
    <x v="3"/>
    <s v="Other Asia"/>
    <x v="2"/>
    <x v="3"/>
    <n v="98.897944687905692"/>
    <n v="260.55801010084724"/>
  </r>
  <r>
    <x v="2"/>
    <x v="0"/>
    <s v="Other Europe"/>
    <x v="2"/>
    <x v="4"/>
    <n v="81.521970396897814"/>
    <n v="647.20361086019602"/>
  </r>
  <r>
    <x v="2"/>
    <x v="1"/>
    <s v="Peru"/>
    <x v="1"/>
    <x v="5"/>
    <n v="12.560129717621749"/>
    <n v="343.27418102452066"/>
  </r>
  <r>
    <x v="1"/>
    <x v="4"/>
    <s v="Morocco"/>
    <x v="0"/>
    <x v="0"/>
    <n v="0.66611805268621538"/>
    <n v="1046.5468983700957"/>
  </r>
  <r>
    <x v="1"/>
    <x v="3"/>
    <s v="Other Asia"/>
    <x v="1"/>
    <x v="1"/>
    <n v="85.298099036208441"/>
    <n v="602.0299642437385"/>
  </r>
  <r>
    <x v="1"/>
    <x v="1"/>
    <s v="Other NorthAm"/>
    <x v="0"/>
    <x v="2"/>
    <n v="72.971484513072937"/>
    <n v="818.69689235977785"/>
  </r>
  <r>
    <x v="3"/>
    <x v="1"/>
    <s v="Brazil"/>
    <x v="0"/>
    <x v="0"/>
    <n v="40.329351538912306"/>
    <n v="438.24016965378178"/>
  </r>
  <r>
    <x v="3"/>
    <x v="1"/>
    <s v="Chile"/>
    <x v="1"/>
    <x v="1"/>
    <n v="80.122587300866144"/>
    <n v="73.650424534405801"/>
  </r>
  <r>
    <x v="3"/>
    <x v="3"/>
    <s v="China"/>
    <x v="0"/>
    <x v="2"/>
    <n v="37.589796095107886"/>
    <n v="668.25576554825147"/>
  </r>
  <r>
    <x v="3"/>
    <x v="4"/>
    <s v="Egypt"/>
    <x v="2"/>
    <x v="3"/>
    <n v="38.443536151498847"/>
    <n v="265.67192601964052"/>
  </r>
  <r>
    <x v="3"/>
    <x v="0"/>
    <s v="France"/>
    <x v="0"/>
    <x v="0"/>
    <n v="72.020172493466816"/>
    <n v="477.38951308409469"/>
  </r>
  <r>
    <x v="3"/>
    <x v="0"/>
    <s v="Germany"/>
    <x v="1"/>
    <x v="1"/>
    <n v="97.466684218034061"/>
    <n v="521.88292805031779"/>
  </r>
  <r>
    <x v="3"/>
    <x v="0"/>
    <s v="Italy"/>
    <x v="0"/>
    <x v="2"/>
    <n v="43.60665539643378"/>
    <n v="761.93278639213077"/>
  </r>
  <r>
    <x v="3"/>
    <x v="4"/>
    <s v="Kenya"/>
    <x v="2"/>
    <x v="3"/>
    <n v="60.96184803855067"/>
    <n v="436.93991949168776"/>
  </r>
  <r>
    <x v="3"/>
    <x v="3"/>
    <s v="Other Asia"/>
    <x v="2"/>
    <x v="4"/>
    <n v="73.390654917056963"/>
    <n v="447.54488037202918"/>
  </r>
  <r>
    <x v="3"/>
    <x v="0"/>
    <s v="Other Europe"/>
    <x v="0"/>
    <x v="0"/>
    <n v="88.280439690970525"/>
    <n v="841.3782687456569"/>
  </r>
  <r>
    <x v="3"/>
    <x v="1"/>
    <s v="Peru"/>
    <x v="1"/>
    <x v="1"/>
    <n v="11.287118972632015"/>
    <n v="26.392834044359006"/>
  </r>
  <r>
    <x v="2"/>
    <x v="4"/>
    <s v="Morocco"/>
    <x v="0"/>
    <x v="2"/>
    <n v="18.194227049389156"/>
    <n v="559.53956308639317"/>
  </r>
  <r>
    <x v="2"/>
    <x v="3"/>
    <s v="Other Asia"/>
    <x v="2"/>
    <x v="3"/>
    <n v="80.307100251502561"/>
    <n v="339.43461898588248"/>
  </r>
  <r>
    <x v="2"/>
    <x v="1"/>
    <s v="Other NorthAm"/>
    <x v="2"/>
    <x v="4"/>
    <n v="86.052564703459211"/>
    <n v="356.44870285402067"/>
  </r>
  <r>
    <x v="3"/>
    <x v="4"/>
    <s v="Morocco"/>
    <x v="0"/>
    <x v="0"/>
    <n v="13.91753750767748"/>
    <n v="325.4804428286343"/>
  </r>
  <r>
    <x v="3"/>
    <x v="3"/>
    <s v="Other Asia"/>
    <x v="1"/>
    <x v="1"/>
    <n v="41.819321679577115"/>
    <n v="143.83771918399361"/>
  </r>
  <r>
    <x v="3"/>
    <x v="1"/>
    <s v="Other NorthAm"/>
    <x v="0"/>
    <x v="2"/>
    <n v="79.004936237470247"/>
    <n v="393.36312886814994"/>
  </r>
  <r>
    <x v="0"/>
    <x v="1"/>
    <s v="Chile"/>
    <x v="2"/>
    <x v="3"/>
    <n v="86.052564703459211"/>
    <n v="150"/>
  </r>
  <r>
    <x v="1"/>
    <x v="1"/>
    <s v="Chile"/>
    <x v="2"/>
    <x v="4"/>
    <n v="13.91753750767748"/>
    <n v="900"/>
  </r>
  <r>
    <x v="2"/>
    <x v="1"/>
    <s v="Chile"/>
    <x v="1"/>
    <x v="5"/>
    <n v="41.819321679577115"/>
    <n v="42"/>
  </r>
  <r>
    <x v="3"/>
    <x v="1"/>
    <s v="Chile"/>
    <x v="0"/>
    <x v="0"/>
    <n v="79.004936237470247"/>
    <n v="8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5">
  <r>
    <x v="0"/>
    <x v="0"/>
    <s v="Germany"/>
    <s v="Visual"/>
    <s v="uLight Flashlight"/>
    <n v="1388.481941894679"/>
    <n v="2694540.9328971165"/>
  </r>
  <r>
    <x v="1"/>
    <x v="0"/>
    <s v="Germany"/>
    <s v="Adhesive"/>
    <s v="Indigo Strong Tape"/>
    <n v="796.63742255861507"/>
    <n v="1224742.5485414988"/>
  </r>
  <r>
    <x v="2"/>
    <x v="0"/>
    <s v="Germany"/>
    <s v="Visual"/>
    <s v="Sun Danron Sunglasses"/>
    <n v="1687.1257263423104"/>
    <n v="6609701.0790499365"/>
  </r>
  <r>
    <x v="3"/>
    <x v="0"/>
    <s v="Germany"/>
    <s v="Foods"/>
    <s v="Key Kix Kandy"/>
    <n v="1626.7063714746957"/>
    <n v="2592600.4098612806"/>
  </r>
  <r>
    <x v="0"/>
    <x v="1"/>
    <s v="Canada"/>
    <s v="Foods"/>
    <s v="HotNamHold Spicy Candy"/>
    <n v="540.58685252966825"/>
    <n v="3498113.8460516375"/>
  </r>
  <r>
    <x v="1"/>
    <x v="1"/>
    <s v="Canada"/>
    <s v="Adhesive"/>
    <s v="Gravetom Glue"/>
    <n v="133.09912498261838"/>
    <n v="329043.89482235274"/>
  </r>
  <r>
    <x v="2"/>
    <x v="1"/>
    <s v="Canada"/>
    <s v="Visual"/>
    <s v="uLight Flashlight"/>
    <n v="700.83415030821925"/>
    <n v="959716.80407376168"/>
  </r>
  <r>
    <x v="3"/>
    <x v="1"/>
    <s v="Canada"/>
    <s v="Adhesive"/>
    <s v="Indigo Strong Tape"/>
    <n v="901.82309649826493"/>
    <n v="1277235.4687311356"/>
  </r>
  <r>
    <x v="0"/>
    <x v="1"/>
    <s v="United States"/>
    <s v="Visual"/>
    <s v="Sun Danron Sunglasses"/>
    <n v="1169.7676889061768"/>
    <n v="2994441.4399509695"/>
  </r>
  <r>
    <x v="0"/>
    <x v="2"/>
    <s v="Japan"/>
    <s v="Visual"/>
    <s v="uLight Flashlight"/>
    <n v="482.58699472153239"/>
    <n v="3144472.0132891233"/>
  </r>
  <r>
    <x v="1"/>
    <x v="1"/>
    <s v="United States"/>
    <s v="Adhesive"/>
    <s v="Indigo Strong Tape"/>
    <n v="1585.8404178636192"/>
    <n v="2919523.0418894682"/>
  </r>
  <r>
    <x v="0"/>
    <x v="0"/>
    <s v="France"/>
    <s v="Visual"/>
    <s v="Sun Danron Sunglasses"/>
    <n v="143.24518973880913"/>
    <n v="2293163.6124412762"/>
  </r>
  <r>
    <x v="0"/>
    <x v="2"/>
    <s v="Japan"/>
    <s v="Foods"/>
    <s v="Key Kix Kandy"/>
    <n v="502.56209981089341"/>
    <n v="2954994.6760780588"/>
  </r>
  <r>
    <x v="1"/>
    <x v="2"/>
    <s v="Japan"/>
    <s v="Visual"/>
    <s v="uLight Flashlight"/>
    <n v="661.02890958991338"/>
    <n v="1463997.8460987622"/>
  </r>
  <r>
    <x v="2"/>
    <x v="1"/>
    <s v="United States"/>
    <s v="Adhesive"/>
    <s v="Indigo Strong Tape"/>
    <n v="43.409367737149296"/>
    <n v="1624290.5304258117"/>
  </r>
  <r>
    <x v="1"/>
    <x v="0"/>
    <s v="France"/>
    <s v="Visual"/>
    <s v="Sun Danron Sunglasses"/>
    <n v="156.4717210480012"/>
    <n v="3462704.9756270209"/>
  </r>
  <r>
    <x v="1"/>
    <x v="2"/>
    <s v="Japan"/>
    <s v="Foods"/>
    <s v="Key Kix Kandy"/>
    <n v="431.16415670592687"/>
    <n v="1336321.4169638376"/>
  </r>
  <r>
    <x v="0"/>
    <x v="0"/>
    <s v="Germany"/>
    <s v="Foods"/>
    <s v="HotNamHold Spicy Candy"/>
    <n v="833.71382049408567"/>
    <n v="1595693.1107215495"/>
  </r>
  <r>
    <x v="0"/>
    <x v="0"/>
    <s v="United Kingdom"/>
    <s v="Visual"/>
    <s v="uLight Flashlight"/>
    <n v="321.44814604862404"/>
    <n v="97298.31977529102"/>
  </r>
  <r>
    <x v="0"/>
    <x v="1"/>
    <s v="United States"/>
    <s v="Adhesive"/>
    <s v="Indigo Strong Tape"/>
    <n v="255.89267174473207"/>
    <n v="1771804.1016473763"/>
  </r>
  <r>
    <x v="2"/>
    <x v="2"/>
    <s v="Japan"/>
    <s v="Visual"/>
    <s v="Sun Danron Sunglasses"/>
    <n v="1803.5758704837463"/>
    <n v="1946019.4772090607"/>
  </r>
  <r>
    <x v="0"/>
    <x v="0"/>
    <s v="France"/>
    <s v="Foods"/>
    <s v="Key Kix Kandy"/>
    <n v="809.28954641403834"/>
    <n v="2733571.3871923871"/>
  </r>
  <r>
    <x v="3"/>
    <x v="1"/>
    <s v="United States"/>
    <s v="Foods"/>
    <s v="HotNamHold Spicy Candy"/>
    <n v="990.87795684226876"/>
    <n v="2785011.3915208825"/>
  </r>
  <r>
    <x v="2"/>
    <x v="0"/>
    <s v="France"/>
    <s v="Visual"/>
    <s v="uLight Flashlight"/>
    <n v="543.6423659499269"/>
    <n v="277536.86710602196"/>
  </r>
  <r>
    <x v="2"/>
    <x v="2"/>
    <s v="Japan"/>
    <s v="Adhesive"/>
    <s v="Indigo Strong Tape"/>
    <n v="644.65000973650604"/>
    <n v="2961090.0068195374"/>
  </r>
  <r>
    <x v="1"/>
    <x v="0"/>
    <s v="Germany"/>
    <s v="Visual"/>
    <s v="Sun Danron Sunglasses"/>
    <n v="570.67072717509291"/>
    <n v="3253993.5253579607"/>
  </r>
  <r>
    <x v="1"/>
    <x v="0"/>
    <s v="United Kingdom"/>
    <s v="Foods"/>
    <s v="Key Kix Kandy"/>
    <n v="438.95673491597336"/>
    <n v="776786.56815970957"/>
  </r>
  <r>
    <x v="1"/>
    <x v="1"/>
    <s v="United States"/>
    <s v="Foods"/>
    <s v="HotNamHold Spicy Candy"/>
    <n v="433.05807716133131"/>
    <n v="2279197.6614709985"/>
  </r>
  <r>
    <x v="3"/>
    <x v="2"/>
    <s v="Japan"/>
    <s v="Adhesive"/>
    <s v="Gravetom Glue"/>
    <n v="1625.7114291099242"/>
    <n v="1725444.0238804487"/>
  </r>
  <r>
    <x v="1"/>
    <x v="0"/>
    <s v="France"/>
    <s v="Visual"/>
    <s v="uLight Flashlight"/>
    <n v="64.771333339012926"/>
    <n v="2729384.4333960861"/>
  </r>
  <r>
    <x v="3"/>
    <x v="0"/>
    <s v="France"/>
    <s v="Adhesive"/>
    <s v="Indigo Strong Tape"/>
    <n v="535.89516859137802"/>
    <n v="1116631.8901956801"/>
  </r>
  <r>
    <x v="3"/>
    <x v="2"/>
    <s v="Japan"/>
    <s v="Visual"/>
    <s v="Sun Danron Sunglasses"/>
    <n v="324.2546850713552"/>
    <n v="2373041.6752210646"/>
  </r>
  <r>
    <x v="2"/>
    <x v="0"/>
    <s v="Germany"/>
    <s v="Visual"/>
    <s v="uLight Flashlight"/>
    <n v="321.51804864788573"/>
    <n v="495166.29849524173"/>
  </r>
  <r>
    <x v="2"/>
    <x v="0"/>
    <s v="United Kingdom"/>
    <s v="Adhesive"/>
    <s v="Indigo Strong Tape"/>
    <n v="256.55022322353034"/>
    <n v="2608573.6760563506"/>
  </r>
  <r>
    <x v="2"/>
    <x v="1"/>
    <s v="United States"/>
    <s v="Visual"/>
    <s v="Sun Danron Sunglasses"/>
    <n v="544.71690417349237"/>
    <n v="1940885.3876633777"/>
  </r>
  <r>
    <x v="2"/>
    <x v="0"/>
    <s v="France"/>
    <s v="Foods"/>
    <s v="Key Kix Kandy"/>
    <n v="1293.3996422789278"/>
    <n v="2445365.6171331094"/>
  </r>
  <r>
    <x v="3"/>
    <x v="0"/>
    <s v="Germany"/>
    <s v="Foods"/>
    <s v="HotNamHold Spicy Candy"/>
    <n v="1290.1935696967485"/>
    <n v="1577032.7919579723"/>
  </r>
  <r>
    <x v="3"/>
    <x v="0"/>
    <s v="United Kingdom"/>
    <s v="Adhesive"/>
    <s v="Gravetom Glue"/>
    <n v="244.81511633202899"/>
    <n v="266132.1992881425"/>
  </r>
  <r>
    <x v="3"/>
    <x v="1"/>
    <s v="United States"/>
    <s v="Visual"/>
    <s v="uLight Flashlight"/>
    <n v="693.7313703111613"/>
    <n v="1628460.1785076689"/>
  </r>
  <r>
    <x v="3"/>
    <x v="0"/>
    <s v="France"/>
    <s v="Adhesive"/>
    <s v="Indigo Strong Tape"/>
    <n v="96.20660948803561"/>
    <n v="1337527.6842166325"/>
  </r>
  <r>
    <x v="0"/>
    <x v="0"/>
    <s v="United Kingdom"/>
    <s v="Visual"/>
    <s v="Sun Danron Sunglasses"/>
    <n v="782.84039052632579"/>
    <n v="417241.19905993575"/>
  </r>
  <r>
    <x v="1"/>
    <x v="0"/>
    <s v="United Kingdom"/>
    <s v="Foods"/>
    <s v="Key Kix Kandy"/>
    <n v="954.19918728730408"/>
    <n v="1871054.0807609286"/>
  </r>
  <r>
    <x v="0"/>
    <x v="1"/>
    <s v="Canada"/>
    <s v="Foods"/>
    <s v="HotNamHold Spicy Candy"/>
    <n v="717.19784501237882"/>
    <n v="454615.51565676928"/>
  </r>
  <r>
    <x v="2"/>
    <x v="0"/>
    <s v="United Kingdom"/>
    <s v="Adhesive"/>
    <s v="Gravetom Glue"/>
    <n v="298.51259471615776"/>
    <n v="47491.66691907456"/>
  </r>
  <r>
    <x v="1"/>
    <x v="1"/>
    <s v="Canada"/>
    <s v="Visual"/>
    <s v="uLight Flashlight"/>
    <n v="531.89043383736134"/>
    <n v="391295.43405837467"/>
  </r>
  <r>
    <x v="3"/>
    <x v="0"/>
    <s v="United Kingdom"/>
    <s v="Adhesive"/>
    <s v="Indigo Strong Tape"/>
    <n v="3.9607090111530852"/>
    <n v="900458.03661811398"/>
  </r>
  <r>
    <x v="0"/>
    <x v="2"/>
    <s v="Japan"/>
    <s v="Visual"/>
    <s v="Sun Danron Sunglasses"/>
    <n v="413.526065755741"/>
    <n v="1371741.5477135547"/>
  </r>
  <r>
    <x v="2"/>
    <x v="1"/>
    <s v="Canada"/>
    <s v="Visual"/>
    <s v="uLight Flashlight"/>
    <n v="723.99416673943051"/>
    <n v="651542.93649375904"/>
  </r>
  <r>
    <x v="1"/>
    <x v="2"/>
    <s v="Japan"/>
    <s v="Adhesive"/>
    <s v="Indigo Strong Tape"/>
    <n v="208.42043810471296"/>
    <n v="1161848.8380291683"/>
  </r>
  <r>
    <x v="3"/>
    <x v="1"/>
    <s v="Canada"/>
    <s v="Visual"/>
    <s v="Sun Danron Sunglasses"/>
    <n v="685.7010054809507"/>
    <n v="47399.604896327743"/>
  </r>
  <r>
    <x v="0"/>
    <x v="1"/>
    <s v="Peru"/>
    <s v="Foods"/>
    <s v="Key Kix Kandy"/>
    <n v="226.20921949646799"/>
    <n v="1443134.2999009758"/>
  </r>
  <r>
    <x v="2"/>
    <x v="2"/>
    <s v="Japan"/>
    <s v="Visual"/>
    <s v="uLight Flashlight"/>
    <n v="125.13045695613982"/>
    <n v="1365302.9005884556"/>
  </r>
  <r>
    <x v="1"/>
    <x v="1"/>
    <s v="Peru"/>
    <s v="Adhesive"/>
    <s v="Indigo Strong Tape"/>
    <n v="56.071262800742261"/>
    <n v="1012508.554698029"/>
  </r>
  <r>
    <x v="3"/>
    <x v="2"/>
    <s v="Japan"/>
    <s v="Visual"/>
    <s v="Sun Danron Sunglasses"/>
    <n v="734.35834157608042"/>
    <n v="217573.89674266177"/>
  </r>
  <r>
    <x v="2"/>
    <x v="1"/>
    <s v="Peru"/>
    <s v="Foods"/>
    <s v="Key Kix Kandy"/>
    <n v="174.77272548176188"/>
    <n v="1058712.1916132127"/>
  </r>
  <r>
    <x v="0"/>
    <x v="1"/>
    <s v="United States"/>
    <s v="Foods"/>
    <s v="HotNamHold Spicy Candy"/>
    <n v="877.99507163945236"/>
    <n v="437971.61654983938"/>
  </r>
  <r>
    <x v="3"/>
    <x v="1"/>
    <s v="Peru"/>
    <s v="Visual"/>
    <s v="uLight Flashlight"/>
    <n v="57.927031081453606"/>
    <n v="888600.64695231325"/>
  </r>
  <r>
    <x v="1"/>
    <x v="1"/>
    <s v="United States"/>
    <s v="Adhesive"/>
    <s v="Indigo Strong Tape"/>
    <n v="722.36762485081272"/>
    <n v="750854.50539537484"/>
  </r>
  <r>
    <x v="0"/>
    <x v="1"/>
    <s v="Mexico"/>
    <s v="Visual"/>
    <s v="Sun Danron Sunglasses"/>
    <n v="26.863821343431482"/>
    <n v="918931.85635126429"/>
  </r>
  <r>
    <x v="0"/>
    <x v="1"/>
    <s v="Brazil"/>
    <s v="Foods"/>
    <s v="Key Kix Kandy"/>
    <n v="413.26076275755952"/>
    <n v="282020.48174989613"/>
  </r>
  <r>
    <x v="0"/>
    <x v="0"/>
    <s v="United Kingdom"/>
    <s v="Foods"/>
    <s v="HotNamHold Spicy Candy"/>
    <n v="982.49628278517775"/>
    <n v="28005.135742205312"/>
  </r>
  <r>
    <x v="2"/>
    <x v="1"/>
    <s v="United States"/>
    <s v="Visual"/>
    <s v="uLight Flashlight"/>
    <n v="163.86612210189924"/>
    <n v="680038.4320743219"/>
  </r>
  <r>
    <x v="1"/>
    <x v="1"/>
    <s v="Mexico"/>
    <s v="Adhesive"/>
    <s v="Indigo Strong Tape"/>
    <n v="105.45613227350259"/>
    <n v="453315.50244478422"/>
  </r>
  <r>
    <x v="1"/>
    <x v="1"/>
    <s v="Brazil"/>
    <s v="Visual"/>
    <s v="Sun Danron Sunglasses"/>
    <n v="81.489139670338773"/>
    <n v="816478.51804683346"/>
  </r>
  <r>
    <x v="1"/>
    <x v="0"/>
    <s v="United Kingdom"/>
    <s v="Foods"/>
    <s v="Key Kix Kandy"/>
    <n v="907.90291976463777"/>
    <n v="133805.00036430021"/>
  </r>
  <r>
    <x v="3"/>
    <x v="1"/>
    <s v="United States"/>
    <s v="Foods"/>
    <s v="HotNamHold Spicy Candy"/>
    <n v="805.5702462719637"/>
    <n v="837253.18574601447"/>
  </r>
  <r>
    <x v="2"/>
    <x v="1"/>
    <s v="Mexico"/>
    <s v="Adhesive"/>
    <s v="Gravetom Glue"/>
    <n v="189.87100121285039"/>
    <n v="469875.08220069157"/>
  </r>
  <r>
    <x v="2"/>
    <x v="1"/>
    <s v="Brazil"/>
    <s v="Visual"/>
    <s v="uLight Flashlight"/>
    <n v="290.38165211295563"/>
    <n v="201961.13536192762"/>
  </r>
  <r>
    <x v="2"/>
    <x v="0"/>
    <s v="United Kingdom"/>
    <s v="Adhesive"/>
    <s v="Indigo Strong Tape"/>
    <n v="800.82439582565712"/>
    <n v="206998.4692279115"/>
  </r>
  <r>
    <x v="0"/>
    <x v="1"/>
    <s v="Argentina"/>
    <s v="Visual"/>
    <s v="Sun Danron Sunglasses"/>
    <n v="177.61530702991877"/>
    <n v="525771.774048917"/>
  </r>
  <r>
    <x v="0"/>
    <x v="0"/>
    <s v="Italy"/>
    <s v="Visual"/>
    <s v="uLight Flashlight"/>
    <n v="101.97998066832952"/>
    <n v="519357.31389385182"/>
  </r>
  <r>
    <x v="0"/>
    <x v="1"/>
    <s v="Mexico"/>
    <s v="Adhesive"/>
    <s v="Indigo Strong Tape"/>
    <n v="12.725981163384859"/>
    <n v="296079.49989731424"/>
  </r>
  <r>
    <x v="0"/>
    <x v="1"/>
    <s v="Canada"/>
    <s v="Visual"/>
    <s v="Sun Danron Sunglasses"/>
    <n v="336.35993757561664"/>
    <n v="705391.98307888"/>
  </r>
  <r>
    <x v="3"/>
    <x v="1"/>
    <s v="Mexico"/>
    <s v="Foods"/>
    <s v="Key Kix Kandy"/>
    <n v="28.624011157080531"/>
    <n v="132810.85623667584"/>
  </r>
  <r>
    <x v="3"/>
    <x v="1"/>
    <s v="Brazil"/>
    <s v="Foods"/>
    <s v="HotNamHold Spicy Candy"/>
    <n v="147.39272240103674"/>
    <n v="247494.40000819773"/>
  </r>
  <r>
    <x v="3"/>
    <x v="0"/>
    <s v="United Kingdom"/>
    <s v="Adhesive"/>
    <s v="Gravetom Glue"/>
    <n v="116.54718001409492"/>
    <n v="702400.71915494872"/>
  </r>
  <r>
    <x v="1"/>
    <x v="1"/>
    <s v="Argentina"/>
    <s v="Visual"/>
    <s v="uLight Flashlight"/>
    <n v="30.35667945696332"/>
    <n v="125464.03721292882"/>
  </r>
  <r>
    <x v="1"/>
    <x v="0"/>
    <s v="Italy"/>
    <s v="Adhesive"/>
    <s v="Indigo Strong Tape"/>
    <n v="392.46177007589722"/>
    <n v="703338.9723693399"/>
  </r>
  <r>
    <x v="1"/>
    <x v="1"/>
    <s v="Mexico"/>
    <s v="Visual"/>
    <s v="Sun Danron Sunglasses"/>
    <n v="23.213633309569559"/>
    <n v="373179.64487495919"/>
  </r>
  <r>
    <x v="1"/>
    <x v="1"/>
    <s v="Canada"/>
    <s v="Foods"/>
    <s v="Key Kix Kandy"/>
    <n v="329.25612837861991"/>
    <n v="677345.4455898609"/>
  </r>
  <r>
    <x v="2"/>
    <x v="1"/>
    <s v="Argentina"/>
    <s v="Foods"/>
    <s v="HotNamHold Spicy Candy"/>
    <n v="220.98991156417469"/>
    <n v="626069.29195154307"/>
  </r>
  <r>
    <x v="2"/>
    <x v="0"/>
    <s v="Italy"/>
    <s v="Adhesive"/>
    <s v="Gravetom Glue"/>
    <n v="283.09740287077148"/>
    <n v="139318.37171424486"/>
  </r>
  <r>
    <x v="2"/>
    <x v="1"/>
    <s v="Mexico"/>
    <s v="Visual"/>
    <s v="uLight Flashlight"/>
    <n v="171.39973201956309"/>
    <n v="533723.18945506681"/>
  </r>
  <r>
    <x v="2"/>
    <x v="1"/>
    <s v="Canada"/>
    <s v="Adhesive"/>
    <s v="Indigo Strong Tape"/>
    <n v="652.97896883130306"/>
    <n v="598850.37870244146"/>
  </r>
  <r>
    <x v="3"/>
    <x v="1"/>
    <s v="Argentina"/>
    <s v="Visual"/>
    <s v="Sun Danron Sunglasses"/>
    <n v="330.6354447373451"/>
    <n v="529730.66035374894"/>
  </r>
  <r>
    <x v="3"/>
    <x v="0"/>
    <s v="Italy"/>
    <s v="Visual"/>
    <s v="uLight Flashlight"/>
    <n v="379.67275728442473"/>
    <n v="323088.24763647118"/>
  </r>
  <r>
    <x v="3"/>
    <x v="1"/>
    <s v="Mexico"/>
    <s v="Adhesive"/>
    <s v="Indigo Strong Tape"/>
    <n v="254.23312321036065"/>
    <n v="417130.49446437543"/>
  </r>
  <r>
    <x v="3"/>
    <x v="1"/>
    <s v="Canada"/>
    <s v="Visual"/>
    <s v="Sun Danron Sunglasses"/>
    <n v="576.94293489184929"/>
    <n v="253986.55842813425"/>
  </r>
  <r>
    <x v="0"/>
    <x v="3"/>
    <s v="Australia"/>
    <s v="Foods"/>
    <s v="Key Kix Kandy"/>
    <n v="46.523496955433075"/>
    <n v="383484.32372185925"/>
  </r>
  <r>
    <x v="0"/>
    <x v="3"/>
    <s v="India"/>
    <s v="Visual"/>
    <s v="uLight Flashlight"/>
    <n v="76.276275342388544"/>
    <n v="488211.82220444828"/>
  </r>
  <r>
    <x v="0"/>
    <x v="1"/>
    <s v="Mexico"/>
    <s v="Adhesive"/>
    <s v="Indigo Strong Tape"/>
    <n v="217.39321656923494"/>
    <n v="421413.45178879419"/>
  </r>
  <r>
    <x v="0"/>
    <x v="1"/>
    <s v="Other LatAm"/>
    <s v="Visual"/>
    <s v="Sun Danron Sunglasses"/>
    <n v="330.345462153673"/>
    <n v="323706.49020276684"/>
  </r>
  <r>
    <x v="1"/>
    <x v="3"/>
    <s v="Australia"/>
    <s v="Foods"/>
    <s v="Key Kix Kandy"/>
    <n v="29.941865511227661"/>
    <n v="430988.68933393533"/>
  </r>
  <r>
    <x v="1"/>
    <x v="3"/>
    <s v="India"/>
    <s v="Foods"/>
    <s v="HotNamHold Spicy Candy"/>
    <n v="16.201826536052977"/>
    <n v="256153.60577383853"/>
  </r>
  <r>
    <x v="1"/>
    <x v="1"/>
    <s v="Mexico"/>
    <s v="Visual"/>
    <s v="uLight Flashlight"/>
    <n v="263.44117662256394"/>
    <n v="411122.26199477847"/>
  </r>
  <r>
    <x v="1"/>
    <x v="1"/>
    <s v="Other LatAm"/>
    <s v="Adhesive"/>
    <s v="Indigo Strong Tape"/>
    <n v="307.470057545288"/>
    <n v="173719.82981899235"/>
  </r>
  <r>
    <x v="0"/>
    <x v="0"/>
    <s v="Other Europe"/>
    <s v="Visual"/>
    <s v="Sun Danron Sunglasses"/>
    <n v="122.98515754328037"/>
    <n v="40077.763234194208"/>
  </r>
  <r>
    <x v="2"/>
    <x v="3"/>
    <s v="Australia"/>
    <s v="Foods"/>
    <s v="Key Kix Kandy"/>
    <n v="54.988825889631698"/>
    <n v="359522.80259248184"/>
  </r>
  <r>
    <x v="2"/>
    <x v="3"/>
    <s v="India"/>
    <s v="Foods"/>
    <s v="HotNamHold Spicy Candy"/>
    <n v="61.048989469963999"/>
    <n v="324152.98962565605"/>
  </r>
  <r>
    <x v="2"/>
    <x v="1"/>
    <s v="Mexico"/>
    <s v="Visual"/>
    <s v="uLight Flashlight"/>
    <n v="422.21277151156755"/>
    <n v="82345.258794730631"/>
  </r>
  <r>
    <x v="2"/>
    <x v="1"/>
    <s v="Other LatAm"/>
    <s v="Adhesive"/>
    <s v="Indigo Strong Tape"/>
    <n v="94.500556653656531"/>
    <n v="229183.2825934538"/>
  </r>
  <r>
    <x v="1"/>
    <x v="0"/>
    <s v="Other Europe"/>
    <s v="Visual"/>
    <s v="Sun Danron Sunglasses"/>
    <n v="212.4193831968114"/>
    <n v="40809.71344934596"/>
  </r>
  <r>
    <x v="0"/>
    <x v="1"/>
    <s v="Caribbean"/>
    <s v="Foods"/>
    <s v="Key Kix Kandy"/>
    <n v="575.91750187129946"/>
    <n v="276356.50192896719"/>
  </r>
  <r>
    <x v="0"/>
    <x v="4"/>
    <s v="Kenya"/>
    <s v="Foods"/>
    <s v="HotNamHold Spicy Candy"/>
    <n v="177.01783755419456"/>
    <n v="329175.22353563982"/>
  </r>
  <r>
    <x v="0"/>
    <x v="0"/>
    <s v="Other Europe"/>
    <s v="Adhesive"/>
    <s v="Gravetom Glue"/>
    <n v="139.53285026727826"/>
    <n v="217209.40443628933"/>
  </r>
  <r>
    <x v="0"/>
    <x v="4"/>
    <s v="South Africa"/>
    <s v="Visual"/>
    <s v="uLight Flashlight"/>
    <n v="106.12959060945286"/>
    <n v="222929.19116844132"/>
  </r>
  <r>
    <x v="3"/>
    <x v="3"/>
    <s v="Australia"/>
    <s v="Adhesive"/>
    <s v="Indigo Strong Tape"/>
    <n v="73.665218295172963"/>
    <n v="1171135.2772554001"/>
  </r>
  <r>
    <x v="3"/>
    <x v="3"/>
    <s v="India"/>
    <s v="Visual"/>
    <s v="Sun Danron Sunglasses"/>
    <n v="59.529240711071907"/>
    <n v="210217.97371528574"/>
  </r>
  <r>
    <x v="3"/>
    <x v="1"/>
    <s v="Mexico"/>
    <s v="Visual"/>
    <s v="uLight Flashlight"/>
    <n v="476.73021499576862"/>
    <n v="41029.977634194998"/>
  </r>
  <r>
    <x v="3"/>
    <x v="1"/>
    <s v="Other LatAm"/>
    <s v="Adhesive"/>
    <s v="Indigo Strong Tape"/>
    <n v="232.6374459348699"/>
    <n v="174394.95804058734"/>
  </r>
  <r>
    <x v="2"/>
    <x v="0"/>
    <s v="Other Europe"/>
    <s v="Visual"/>
    <s v="Sun Danron Sunglasses"/>
    <n v="329.16570545075956"/>
    <n v="368511.07151175069"/>
  </r>
  <r>
    <x v="1"/>
    <x v="1"/>
    <s v="Caribbean"/>
    <s v="Foods"/>
    <s v="Key Kix Kandy"/>
    <n v="342.68699305685004"/>
    <n v="166721.64488449198"/>
  </r>
  <r>
    <x v="1"/>
    <x v="4"/>
    <s v="Kenya"/>
    <s v="Foods"/>
    <s v="HotNamHold Spicy Candy"/>
    <n v="94.222921329674136"/>
    <n v="88244.665501879354"/>
  </r>
  <r>
    <x v="1"/>
    <x v="0"/>
    <s v="Other Europe"/>
    <s v="Adhesive"/>
    <s v="Gravetom Glue"/>
    <n v="125.92247391439741"/>
    <n v="123950.0421754019"/>
  </r>
  <r>
    <x v="1"/>
    <x v="4"/>
    <s v="South Africa"/>
    <s v="Visual"/>
    <s v="uLight Flashlight"/>
    <n v="136.24125781261682"/>
    <n v="155766.4570059278"/>
  </r>
  <r>
    <x v="0"/>
    <x v="1"/>
    <s v="Other NorthAm"/>
    <s v="Adhesive"/>
    <s v="Indigo Strong Tape"/>
    <n v="301.83115659147006"/>
    <n v="112875.65516417999"/>
  </r>
  <r>
    <x v="3"/>
    <x v="0"/>
    <s v="Other Europe"/>
    <s v="Visual"/>
    <s v="Sun Danron Sunglasses"/>
    <n v="645.75350534769314"/>
    <n v="110760.7366881549"/>
  </r>
  <r>
    <x v="2"/>
    <x v="1"/>
    <s v="Caribbean"/>
    <s v="Foods"/>
    <s v="Key Kix Kandy"/>
    <n v="318.61223345331382"/>
    <n v="292160.71669190994"/>
  </r>
  <r>
    <x v="2"/>
    <x v="4"/>
    <s v="Kenya"/>
    <s v="Foods"/>
    <s v="HotNamHold Spicy Candy"/>
    <n v="6.3361699605593458"/>
    <n v="159533.85958096085"/>
  </r>
  <r>
    <x v="2"/>
    <x v="0"/>
    <s v="Other Europe"/>
    <s v="Adhesive"/>
    <s v="Gravetom Glue"/>
    <n v="88.011990782069915"/>
    <n v="238314.90321742426"/>
  </r>
  <r>
    <x v="2"/>
    <x v="4"/>
    <s v="South Africa"/>
    <s v="Visual"/>
    <s v="uLight Flashlight"/>
    <n v="111.00448630350002"/>
    <n v="59769.39210562261"/>
  </r>
  <r>
    <x v="1"/>
    <x v="1"/>
    <s v="Other NorthAm"/>
    <s v="Adhesive"/>
    <s v="Indigo Strong Tape"/>
    <n v="373.30983226156604"/>
    <n v="8734.1203136988952"/>
  </r>
  <r>
    <x v="3"/>
    <x v="1"/>
    <s v="Caribbean"/>
    <s v="Visual"/>
    <s v="Sun Danron Sunglasses"/>
    <n v="721.55269688519184"/>
    <n v="272936.36747182265"/>
  </r>
  <r>
    <x v="3"/>
    <x v="4"/>
    <s v="Kenya"/>
    <s v="Visual"/>
    <s v="uLight Flashlight"/>
    <n v="138.10836525062768"/>
    <n v="234544.54926819686"/>
  </r>
  <r>
    <x v="3"/>
    <x v="0"/>
    <s v="Other Europe"/>
    <s v="Adhesive"/>
    <s v="Indigo Strong Tape"/>
    <n v="40.397509818649269"/>
    <n v="299383.13318417175"/>
  </r>
  <r>
    <x v="3"/>
    <x v="4"/>
    <s v="South Africa"/>
    <s v="Visual"/>
    <s v="Sun Danron Sunglasses"/>
    <n v="49.510194843065847"/>
    <n v="249084.65395819934"/>
  </r>
  <r>
    <x v="0"/>
    <x v="1"/>
    <s v="Caribbean"/>
    <s v="Foods"/>
    <s v="Key Kix Kandy"/>
    <n v="233.0976753001778"/>
    <n v="141597.40907289233"/>
  </r>
  <r>
    <x v="2"/>
    <x v="1"/>
    <s v="Other NorthAm"/>
    <s v="Visual"/>
    <s v="uLight Flashlight"/>
    <n v="434.50227272824122"/>
    <n v="49834.617686217636"/>
  </r>
  <r>
    <x v="1"/>
    <x v="1"/>
    <s v="Caribbean"/>
    <s v="Adhesive"/>
    <s v="Indigo Strong Tape"/>
    <n v="33.61191315261749"/>
    <n v="139326.05389891978"/>
  </r>
  <r>
    <x v="0"/>
    <x v="1"/>
    <s v="Other NorthAm"/>
    <s v="Visual"/>
    <s v="Sun Danron Sunglasses"/>
    <n v="6536.1558683784097"/>
    <n v="46055.275568633806"/>
  </r>
  <r>
    <x v="3"/>
    <x v="1"/>
    <s v="Other NorthAm"/>
    <s v="Foods"/>
    <s v="Key Kix Kandy"/>
    <n v="593.21186745592058"/>
    <n v="51944.967108127006"/>
  </r>
  <r>
    <x v="0"/>
    <x v="0"/>
    <s v="Italy"/>
    <s v="Foods"/>
    <s v="HotNamHold Spicy Candy"/>
    <n v="80.276109179067134"/>
    <n v="70016.65212305852"/>
  </r>
  <r>
    <x v="2"/>
    <x v="1"/>
    <s v="Caribbean"/>
    <s v="Visual"/>
    <s v="uLight Flashlight"/>
    <n v="212.01097023904367"/>
    <n v="215696.98900835868"/>
  </r>
  <r>
    <x v="1"/>
    <x v="1"/>
    <s v="Other NorthAm"/>
    <s v="Adhesive"/>
    <s v="Indigo Strong Tape"/>
    <n v="3470.3413392591756"/>
    <n v="104874.22223761969"/>
  </r>
  <r>
    <x v="1"/>
    <x v="0"/>
    <s v="Italy"/>
    <s v="Visual"/>
    <s v="Sun Danron Sunglasses"/>
    <n v="92.870366346232913"/>
    <n v="226291.6166081095"/>
  </r>
  <r>
    <x v="3"/>
    <x v="1"/>
    <s v="Caribbean"/>
    <s v="Foods"/>
    <s v="Key Kix Kandy"/>
    <n v="229.94443393818074"/>
    <n v="121087.96701279371"/>
  </r>
  <r>
    <x v="2"/>
    <x v="1"/>
    <s v="Other NorthAm"/>
    <s v="Foods"/>
    <s v="HotNamHold Spicy Candy"/>
    <n v="2407.4644430340413"/>
    <n v="54536.111987493459"/>
  </r>
  <r>
    <x v="0"/>
    <x v="1"/>
    <s v="United States"/>
    <s v="Visual"/>
    <s v="uLight Flashlight"/>
    <n v="2321.4144497116649"/>
    <n v="138942.49225655221"/>
  </r>
  <r>
    <x v="2"/>
    <x v="0"/>
    <s v="Italy"/>
    <s v="Adhesive"/>
    <s v="Indigo Strong Tape"/>
    <n v="273.66477907662556"/>
    <n v="45733.572266074567"/>
  </r>
  <r>
    <x v="3"/>
    <x v="1"/>
    <s v="Other NorthAm"/>
    <s v="Visual"/>
    <s v="Sun Danron Sunglasses"/>
    <n v="7492.0631670182047"/>
    <n v="87013.923096211511"/>
  </r>
  <r>
    <x v="0"/>
    <x v="1"/>
    <s v="Brazil"/>
    <s v="Foods"/>
    <s v="Key Kix Kandy"/>
    <n v="215.07967668330821"/>
    <n v="157994.1711797801"/>
  </r>
  <r>
    <x v="0"/>
    <x v="3"/>
    <s v="Australia"/>
    <s v="Foods"/>
    <s v="HotNamHold Spicy Candy"/>
    <n v="95.839788292505546"/>
    <n v="72704.673209227622"/>
  </r>
  <r>
    <x v="0"/>
    <x v="1"/>
    <s v="Caribbean"/>
    <s v="Adhesive"/>
    <s v="Gravetom Glue"/>
    <n v="30.59694540233977"/>
    <n v="170901.8412633668"/>
  </r>
  <r>
    <x v="0"/>
    <x v="1"/>
    <s v="Chile"/>
    <s v="Visual"/>
    <s v="uLight Flashlight"/>
    <n v="84.588821839315642"/>
    <n v="32844.559434306575"/>
  </r>
  <r>
    <x v="0"/>
    <x v="3"/>
    <s v="China"/>
    <s v="Adhesive"/>
    <s v="Indigo Strong Tape"/>
    <n v="29.760599841938529"/>
    <n v="486604.75846075499"/>
  </r>
  <r>
    <x v="0"/>
    <x v="4"/>
    <s v="Egypt"/>
    <s v="Visual"/>
    <s v="Sun Danron Sunglasses"/>
    <n v="88.581581788548647"/>
    <n v="193043.88905638916"/>
  </r>
  <r>
    <x v="0"/>
    <x v="3"/>
    <s v="India"/>
    <s v="Visual"/>
    <s v="uLight Flashlight"/>
    <n v="86.147847977554193"/>
    <n v="188700.77179926739"/>
  </r>
  <r>
    <x v="0"/>
    <x v="4"/>
    <s v="Morocco"/>
    <s v="Adhesive"/>
    <s v="Indigo Strong Tape"/>
    <n v="4.0817946249262604"/>
    <n v="81260.596001271784"/>
  </r>
  <r>
    <x v="0"/>
    <x v="4"/>
    <s v="Other Africa"/>
    <s v="Visual"/>
    <s v="Sun Danron Sunglasses"/>
    <n v="37.498581809813913"/>
    <n v="19829.409413614485"/>
  </r>
  <r>
    <x v="0"/>
    <x v="3"/>
    <s v="Other Asia"/>
    <s v="Foods"/>
    <s v="Key Kix Kandy"/>
    <n v="18.414767969534296"/>
    <n v="29234.385324161849"/>
  </r>
  <r>
    <x v="0"/>
    <x v="1"/>
    <s v="Other LatAm"/>
    <s v="Foods"/>
    <s v="HotNamHold Spicy Candy"/>
    <n v="3.2470392030518269"/>
    <n v="4528.9010611668346"/>
  </r>
  <r>
    <x v="0"/>
    <x v="1"/>
    <s v="Other NorthAm"/>
    <s v="Adhesive"/>
    <s v="Gravetom Glue"/>
    <n v="90.666613324628997"/>
    <n v="89216.799287532922"/>
  </r>
  <r>
    <x v="0"/>
    <x v="1"/>
    <s v="Peru"/>
    <s v="Visual"/>
    <s v="uLight Flashlight"/>
    <n v="12.504947402885591"/>
    <n v="112361.71530817955"/>
  </r>
  <r>
    <x v="0"/>
    <x v="1"/>
    <s v="Argentina"/>
    <s v="Adhesive"/>
    <s v="Indigo Strong Tape"/>
    <n v="184.16089280544838"/>
    <n v="148108.2354355749"/>
  </r>
  <r>
    <x v="0"/>
    <x v="3"/>
    <s v="Australia"/>
    <s v="Visual"/>
    <s v="Sun Danron Sunglasses"/>
    <n v="9.8933260185731342"/>
    <n v="29093.164603727928"/>
  </r>
  <r>
    <x v="0"/>
    <x v="3"/>
    <s v="China"/>
    <s v="Foods"/>
    <s v="Key Kix Kandy"/>
    <n v="50.729607582798053"/>
    <n v="63005.700846406398"/>
  </r>
  <r>
    <x v="0"/>
    <x v="0"/>
    <s v="France"/>
    <s v="Foods"/>
    <s v="HotNamHold Spicy Candy"/>
    <n v="122.26380857318873"/>
    <n v="47271.033018478192"/>
  </r>
  <r>
    <x v="0"/>
    <x v="0"/>
    <s v="Germany"/>
    <s v="Adhesive"/>
    <s v="Gravetom Glue"/>
    <n v="194.77567054182146"/>
    <n v="121697.34769613569"/>
  </r>
  <r>
    <x v="0"/>
    <x v="3"/>
    <s v="Other Asia"/>
    <s v="Visual"/>
    <s v="uLight Flashlight"/>
    <n v="67.895228899578797"/>
    <n v="149070.7027453027"/>
  </r>
  <r>
    <x v="0"/>
    <x v="1"/>
    <s v="Other NorthAm"/>
    <s v="Adhesive"/>
    <s v="Indigo Strong Tape"/>
    <n v="135.19661017180624"/>
    <n v="22457.823775221186"/>
  </r>
  <r>
    <x v="0"/>
    <x v="4"/>
    <s v="South Africa"/>
    <s v="Visual"/>
    <s v="Sun Danron Sunglasses"/>
    <n v="100.8945012519689"/>
    <n v="173582.82254208461"/>
  </r>
  <r>
    <x v="1"/>
    <x v="1"/>
    <s v="United States"/>
    <s v="Visual"/>
    <s v="uLight Flashlight"/>
    <n v="478.18209542483601"/>
    <n v="35798.546245115504"/>
  </r>
  <r>
    <x v="3"/>
    <x v="0"/>
    <s v="Italy"/>
    <s v="Adhesive"/>
    <s v="Indigo Strong Tape"/>
    <n v="74.752099015313433"/>
    <n v="171870.44801842811"/>
  </r>
  <r>
    <x v="1"/>
    <x v="1"/>
    <s v="Brazil"/>
    <s v="Visual"/>
    <s v="Sun Danron Sunglasses"/>
    <n v="142.93988778190396"/>
    <n v="50483.671149828297"/>
  </r>
  <r>
    <x v="1"/>
    <x v="3"/>
    <s v="Australia"/>
    <s v="Foods"/>
    <s v="Key Kix Kandy"/>
    <n v="72.86217678374669"/>
    <n v="133044.55877189501"/>
  </r>
  <r>
    <x v="1"/>
    <x v="1"/>
    <s v="Caribbean"/>
    <s v="Visual"/>
    <s v="uLight Flashlight"/>
    <n v="84.550102130015148"/>
    <n v="159455.83013544456"/>
  </r>
  <r>
    <x v="1"/>
    <x v="1"/>
    <s v="Chile"/>
    <s v="Adhesive"/>
    <s v="Indigo Strong Tape"/>
    <n v="77.33013306524299"/>
    <n v="128534.62540110013"/>
  </r>
  <r>
    <x v="1"/>
    <x v="3"/>
    <s v="China"/>
    <s v="Visual"/>
    <s v="Sun Danron Sunglasses"/>
    <n v="59.792013642618258"/>
    <n v="181541.44271204132"/>
  </r>
  <r>
    <x v="1"/>
    <x v="4"/>
    <s v="Egypt"/>
    <s v="Foods"/>
    <s v="Key Kix Kandy"/>
    <n v="56.768013462442468"/>
    <n v="5482.1719617393683"/>
  </r>
  <r>
    <x v="1"/>
    <x v="3"/>
    <s v="India"/>
    <s v="Foods"/>
    <s v="HotNamHold Spicy Candy"/>
    <n v="68.888474121561671"/>
    <n v="18677.269127563704"/>
  </r>
  <r>
    <x v="1"/>
    <x v="4"/>
    <s v="Morocco"/>
    <s v="Visual"/>
    <s v="uLight Flashlight"/>
    <n v="6.0766468466681545"/>
    <n v="44488.435113325977"/>
  </r>
  <r>
    <x v="1"/>
    <x v="4"/>
    <s v="Other Africa"/>
    <s v="Adhesive"/>
    <s v="Indigo Strong Tape"/>
    <n v="2.1897319294112094"/>
    <n v="73833.416600309647"/>
  </r>
  <r>
    <x v="1"/>
    <x v="3"/>
    <s v="Other Asia"/>
    <s v="Visual"/>
    <s v="Sun Danron Sunglasses"/>
    <n v="18.02016468536749"/>
    <n v="91967.838307857164"/>
  </r>
  <r>
    <x v="1"/>
    <x v="1"/>
    <s v="Other LatAm"/>
    <s v="Foods"/>
    <s v="Key Kix Kandy"/>
    <n v="44.229068572076358"/>
    <n v="5784.4813127176167"/>
  </r>
  <r>
    <x v="1"/>
    <x v="1"/>
    <s v="Other NorthAm"/>
    <s v="Foods"/>
    <s v="HotNamHold Spicy Candy"/>
    <n v="15.011089479048678"/>
    <n v="85238.181776378042"/>
  </r>
  <r>
    <x v="1"/>
    <x v="1"/>
    <s v="Peru"/>
    <s v="Visual"/>
    <s v="uLight Flashlight"/>
    <n v="73.423612777060043"/>
    <n v="3586.9227072671492"/>
  </r>
  <r>
    <x v="1"/>
    <x v="1"/>
    <s v="Argentina"/>
    <s v="Adhesive"/>
    <s v="Indigo Strong Tape"/>
    <n v="79.299450348480605"/>
    <n v="9551.1286279433989"/>
  </r>
  <r>
    <x v="1"/>
    <x v="3"/>
    <s v="Australia"/>
    <s v="Visual"/>
    <s v="Sun Danron Sunglasses"/>
    <n v="44.574775556247914"/>
    <n v="133180.2251182762"/>
  </r>
  <r>
    <x v="1"/>
    <x v="3"/>
    <s v="China"/>
    <s v="Foods"/>
    <s v="Key Kix Kandy"/>
    <n v="68.321859308161947"/>
    <n v="164707.13892151616"/>
  </r>
  <r>
    <x v="1"/>
    <x v="0"/>
    <s v="France"/>
    <s v="Foods"/>
    <s v="HotNamHold Spicy Candy"/>
    <n v="173.14299812678655"/>
    <n v="166970.69145674142"/>
  </r>
  <r>
    <x v="1"/>
    <x v="0"/>
    <s v="Germany"/>
    <s v="Adhesive"/>
    <s v="Gravetom Glue"/>
    <n v="28.455895638217044"/>
    <n v="18957.304854237009"/>
  </r>
  <r>
    <x v="1"/>
    <x v="3"/>
    <s v="Other Asia"/>
    <s v="Visual"/>
    <s v="uLight Flashlight"/>
    <n v="97.850706799363252"/>
    <n v="147236.89467201073"/>
  </r>
  <r>
    <x v="1"/>
    <x v="1"/>
    <s v="Other NorthAm"/>
    <s v="Adhesive"/>
    <s v="Indigo Strong Tape"/>
    <n v="27.45441044025938"/>
    <n v="65135.191691144428"/>
  </r>
  <r>
    <x v="1"/>
    <x v="4"/>
    <s v="South Africa"/>
    <s v="Visual"/>
    <s v="Sun Danron Sunglasses"/>
    <n v="157.52374342100666"/>
    <n v="30739.678320445819"/>
  </r>
  <r>
    <x v="2"/>
    <x v="1"/>
    <s v="United States"/>
    <s v="Visual"/>
    <s v="uLight Flashlight"/>
    <n v="2333.4316492795551"/>
    <n v="137979.49478317588"/>
  </r>
  <r>
    <x v="2"/>
    <x v="1"/>
    <s v="Brazil"/>
    <s v="Adhesive"/>
    <s v="Indigo Strong Tape"/>
    <n v="98.790030461168499"/>
    <n v="19569.901798271349"/>
  </r>
  <r>
    <x v="2"/>
    <x v="3"/>
    <s v="Australia"/>
    <s v="Visual"/>
    <s v="Sun Danron Sunglasses"/>
    <n v="91.180738227558322"/>
    <n v="41041.04246892262"/>
  </r>
  <r>
    <x v="2"/>
    <x v="1"/>
    <s v="Caribbean"/>
    <s v="Foods"/>
    <s v="Key Kix Kandy"/>
    <n v="11.635541552368522"/>
    <n v="18487.274500251322"/>
  </r>
  <r>
    <x v="2"/>
    <x v="1"/>
    <s v="Chile"/>
    <s v="Foods"/>
    <s v="HotNamHold Spicy Candy"/>
    <n v="86.277966194938926"/>
    <n v="149675.32490719517"/>
  </r>
  <r>
    <x v="2"/>
    <x v="3"/>
    <s v="China"/>
    <s v="Adhesive"/>
    <s v="Gravetom Glue"/>
    <n v="56.82844511084113"/>
    <n v="10301221.144948799"/>
  </r>
  <r>
    <x v="2"/>
    <x v="4"/>
    <s v="Egypt"/>
    <s v="Visual"/>
    <s v="uLight Flashlight"/>
    <n v="2.0585308085173892"/>
    <n v="137518.36905989988"/>
  </r>
  <r>
    <x v="2"/>
    <x v="3"/>
    <s v="India"/>
    <s v="Adhesive"/>
    <s v="Indigo Strong Tape"/>
    <n v="36.739425480482168"/>
    <n v="10016589.047652399"/>
  </r>
  <r>
    <x v="2"/>
    <x v="4"/>
    <s v="Morocco"/>
    <s v="Visual"/>
    <s v="Sun Danron Sunglasses"/>
    <n v="29.231560751486541"/>
    <n v="65566.221331515189"/>
  </r>
  <r>
    <x v="2"/>
    <x v="4"/>
    <s v="Other Africa"/>
    <s v="Foods"/>
    <s v="Key Kix Kandy"/>
    <n v="88.209054193612246"/>
    <n v="23503.132661958207"/>
  </r>
  <r>
    <x v="2"/>
    <x v="3"/>
    <s v="Other Asia"/>
    <s v="Foods"/>
    <s v="HotNamHold Spicy Candy"/>
    <n v="7.9982091284364287"/>
    <n v="85030.592841186706"/>
  </r>
  <r>
    <x v="2"/>
    <x v="1"/>
    <s v="Other LatAm"/>
    <s v="Adhesive"/>
    <s v="Gravetom Glue"/>
    <n v="77.542273715152987"/>
    <n v="118167.6630519319"/>
  </r>
  <r>
    <x v="2"/>
    <x v="1"/>
    <s v="Other NorthAm"/>
    <s v="Visual"/>
    <s v="uLight Flashlight"/>
    <n v="48.534101558379916"/>
    <n v="149888.18583594591"/>
  </r>
  <r>
    <x v="2"/>
    <x v="1"/>
    <s v="Peru"/>
    <s v="Adhesive"/>
    <s v="Indigo Strong Tape"/>
    <n v="23.227678154762543"/>
    <n v="128073.30943964457"/>
  </r>
  <r>
    <x v="2"/>
    <x v="1"/>
    <s v="Argentina"/>
    <s v="Visual"/>
    <s v="Sun Danron Sunglasses"/>
    <n v="79.829595792580221"/>
    <n v="34479.269556094405"/>
  </r>
  <r>
    <x v="2"/>
    <x v="3"/>
    <s v="Australia"/>
    <s v="Visual"/>
    <s v="uLight Flashlight"/>
    <n v="129.31567669875221"/>
    <n v="20138.304888058719"/>
  </r>
  <r>
    <x v="2"/>
    <x v="3"/>
    <s v="China"/>
    <s v="Adhesive"/>
    <s v="Indigo Strong Tape"/>
    <n v="90.917668842848798"/>
    <n v="117978.44446345836"/>
  </r>
  <r>
    <x v="2"/>
    <x v="0"/>
    <s v="France"/>
    <s v="Visual"/>
    <s v="Sun Danron Sunglasses"/>
    <n v="159.87182260760164"/>
    <n v="142652.80755261309"/>
  </r>
  <r>
    <x v="2"/>
    <x v="0"/>
    <s v="Germany"/>
    <s v="Foods"/>
    <s v="Key Kix Kandy"/>
    <n v="114.34540719437791"/>
    <n v="53269.776771653182"/>
  </r>
  <r>
    <x v="2"/>
    <x v="3"/>
    <s v="Other Asia"/>
    <s v="Visual"/>
    <s v="uLight Flashlight"/>
    <n v="170.75892102075159"/>
    <n v="102403.6382146845"/>
  </r>
  <r>
    <x v="2"/>
    <x v="1"/>
    <s v="Other NorthAm"/>
    <s v="Adhesive"/>
    <s v="Indigo Strong Tape"/>
    <n v="57.671999465492263"/>
    <n v="76597.144664831809"/>
  </r>
  <r>
    <x v="2"/>
    <x v="4"/>
    <s v="South Africa"/>
    <s v="Visual"/>
    <s v="Sun Danron Sunglasses"/>
    <n v="76.211410080941278"/>
    <n v="20727.083025568354"/>
  </r>
  <r>
    <x v="3"/>
    <x v="1"/>
    <s v="United States"/>
    <s v="Foods"/>
    <s v="Key Kix Kandy"/>
    <n v="2544.1716859825647"/>
    <n v="83168.705459137345"/>
  </r>
  <r>
    <x v="0"/>
    <x v="2"/>
    <s v="Japan"/>
    <s v="Foods"/>
    <s v="HotNamHold Spicy Candy"/>
    <n v="1430.6906962548965"/>
    <n v="96274.683758339961"/>
  </r>
  <r>
    <x v="3"/>
    <x v="1"/>
    <s v="Brazil"/>
    <s v="Visual"/>
    <s v="uLight Flashlight"/>
    <n v="104.81890139162715"/>
    <n v="30441.826777604532"/>
  </r>
  <r>
    <x v="3"/>
    <x v="3"/>
    <s v="Australia"/>
    <s v="Adhesive"/>
    <s v="Indigo Strong Tape"/>
    <n v="3.7588093380691134"/>
    <n v="66919.163440208373"/>
  </r>
  <r>
    <x v="3"/>
    <x v="1"/>
    <s v="Caribbean"/>
    <s v="Visual"/>
    <s v="Sun Danron Sunglasses"/>
    <n v="70.493378936043882"/>
    <n v="131895.81182504748"/>
  </r>
  <r>
    <x v="3"/>
    <x v="1"/>
    <s v="Chile"/>
    <s v="Foods"/>
    <s v="Key Kix Kandy"/>
    <n v="69.806847105974157"/>
    <n v="11893.755327105935"/>
  </r>
  <r>
    <x v="3"/>
    <x v="3"/>
    <s v="China"/>
    <s v="Foods"/>
    <s v="HotNamHold Spicy Candy"/>
    <n v="46.097588068823825"/>
    <n v="27878.252076083005"/>
  </r>
  <r>
    <x v="3"/>
    <x v="4"/>
    <s v="Egypt"/>
    <s v="Visual"/>
    <s v="uLight Flashlight"/>
    <n v="7.3352087576495251"/>
    <n v="9312.7887013592645"/>
  </r>
  <r>
    <x v="3"/>
    <x v="3"/>
    <s v="India"/>
    <s v="Adhesive"/>
    <s v="Indigo Strong Tape"/>
    <n v="91.308931367530022"/>
    <n v="63502.987228581769"/>
  </r>
  <r>
    <x v="3"/>
    <x v="4"/>
    <s v="Morocco"/>
    <s v="Visual"/>
    <s v="Sun Danron Sunglasses"/>
    <n v="70.923858184232813"/>
    <n v="78048.996624635198"/>
  </r>
  <r>
    <x v="3"/>
    <x v="4"/>
    <s v="Other Africa"/>
    <s v="Foods"/>
    <s v="Key Kix Kandy"/>
    <n v="52.448562827521528"/>
    <n v="38424.910646561824"/>
  </r>
  <r>
    <x v="3"/>
    <x v="3"/>
    <s v="Other Asia"/>
    <s v="Foods"/>
    <s v="HotNamHold Spicy Candy"/>
    <n v="95.882749173779303"/>
    <n v="17807.700731712343"/>
  </r>
  <r>
    <x v="3"/>
    <x v="1"/>
    <s v="Other LatAm"/>
    <s v="Adhesive"/>
    <s v="Gravetom Glue"/>
    <n v="39.082021919966792"/>
    <n v="63140.549607370063"/>
  </r>
  <r>
    <x v="3"/>
    <x v="1"/>
    <s v="Other NorthAm"/>
    <s v="Visual"/>
    <s v="uLight Flashlight"/>
    <n v="51.97028741304166"/>
    <n v="74952.290975842974"/>
  </r>
  <r>
    <x v="3"/>
    <x v="1"/>
    <s v="Peru"/>
    <s v="Adhesive"/>
    <s v="Indigo Strong Tape"/>
    <n v="77.816050646470103"/>
    <n v="47904.650654221521"/>
  </r>
  <r>
    <x v="3"/>
    <x v="1"/>
    <s v="Argentina"/>
    <s v="Visual"/>
    <s v="Sun Danron Sunglasses"/>
    <n v="142.85691082932317"/>
    <n v="4352.0178622453986"/>
  </r>
  <r>
    <x v="3"/>
    <x v="3"/>
    <s v="Australia"/>
    <s v="Visual"/>
    <s v="uLight Flashlight"/>
    <n v="177.24591162259458"/>
    <n v="39960.46312485425"/>
  </r>
  <r>
    <x v="3"/>
    <x v="3"/>
    <s v="China"/>
    <s v="Adhesive"/>
    <s v="Indigo Strong Tape"/>
    <n v="68.847142915728909"/>
    <n v="62047.58615154861"/>
  </r>
  <r>
    <x v="3"/>
    <x v="0"/>
    <s v="France"/>
    <s v="Visual"/>
    <s v="Sun Danron Sunglasses"/>
    <n v="25.82977717720496"/>
    <n v="125785.57041968373"/>
  </r>
  <r>
    <x v="3"/>
    <x v="0"/>
    <s v="Germany"/>
    <s v="Foods"/>
    <s v="Key Kix Kandy"/>
    <n v="32.727483889357245"/>
    <n v="20091.09208874459"/>
  </r>
  <r>
    <x v="3"/>
    <x v="3"/>
    <s v="Other Asia"/>
    <s v="Foods"/>
    <s v="HotNamHold Spicy Candy"/>
    <n v="77.112421479978366"/>
    <n v="89004.702443052636"/>
  </r>
  <r>
    <x v="3"/>
    <x v="1"/>
    <s v="Other NorthAm"/>
    <s v="Adhesive"/>
    <s v="Gravetom Glue"/>
    <n v="41.599974720156752"/>
    <n v="21953.440107556191"/>
  </r>
  <r>
    <x v="3"/>
    <x v="4"/>
    <s v="South Africa"/>
    <s v="Visual"/>
    <s v="uLight Flashlight"/>
    <n v="57.621394828856864"/>
    <n v="64665.179948679805"/>
  </r>
  <r>
    <x v="0"/>
    <x v="1"/>
    <s v="Chile"/>
    <s v="Adhesive"/>
    <s v="Indigo Strong Tape"/>
    <n v="139.07118519691721"/>
    <n v="91884.662075472079"/>
  </r>
  <r>
    <x v="0"/>
    <x v="3"/>
    <s v="Other Asia"/>
    <s v="Visual"/>
    <s v="Sun Danron Sunglasses"/>
    <n v="35.724372473396215"/>
    <n v="101561.83467561277"/>
  </r>
  <r>
    <x v="0"/>
    <x v="1"/>
    <s v="Canada"/>
    <s v="Foods"/>
    <s v="Key Kix Kandy"/>
    <n v="1523.6360473943932"/>
    <n v="121096.66224758257"/>
  </r>
  <r>
    <x v="1"/>
    <x v="2"/>
    <s v="Japan"/>
    <s v="Foods"/>
    <s v="HotNamHold Spicy Candy"/>
    <n v="1487.0756693509065"/>
    <n v="98158.070149783525"/>
  </r>
  <r>
    <x v="1"/>
    <x v="1"/>
    <s v="Chile"/>
    <s v="Adhesive"/>
    <s v="Gravetom Glue"/>
    <n v="97.265879490623774"/>
    <n v="119218.70976539321"/>
  </r>
  <r>
    <x v="1"/>
    <x v="3"/>
    <s v="Other Asia"/>
    <s v="Visual"/>
    <s v="uLight Flashlight"/>
    <n v="295.88341969456451"/>
    <n v="39121.672173190294"/>
  </r>
  <r>
    <x v="1"/>
    <x v="1"/>
    <s v="Canada"/>
    <s v="Adhesive"/>
    <s v="Indigo Strong Tape"/>
    <n v="1190.1104121803655"/>
    <n v="25271.656386233226"/>
  </r>
  <r>
    <x v="2"/>
    <x v="2"/>
    <s v="Japan"/>
    <s v="Visual"/>
    <s v="Sun Danron Sunglasses"/>
    <n v="289.90618482357604"/>
    <n v="117823.61095852473"/>
  </r>
  <r>
    <x v="2"/>
    <x v="1"/>
    <s v="Chile"/>
    <s v="Visual"/>
    <s v="uLight Flashlight"/>
    <n v="216.84468483927049"/>
    <n v="71186.548634381761"/>
  </r>
  <r>
    <x v="2"/>
    <x v="3"/>
    <s v="Other Asia"/>
    <s v="Adhesive"/>
    <s v="Indigo Strong Tape"/>
    <n v="233.83280678308438"/>
    <n v="10884.545605998141"/>
  </r>
  <r>
    <x v="2"/>
    <x v="1"/>
    <s v="Canada"/>
    <s v="Visual"/>
    <s v="Sun Danron Sunglasses"/>
    <n v="1219.1759434463165"/>
    <n v="100367.54962929995"/>
  </r>
  <r>
    <x v="3"/>
    <x v="2"/>
    <s v="Japan"/>
    <s v="Foods"/>
    <s v="Key Kix Kandy"/>
    <n v="590.89274732077683"/>
    <n v="16325.029754747196"/>
  </r>
  <r>
    <x v="3"/>
    <x v="1"/>
    <s v="Chile"/>
    <s v="Visual"/>
    <s v="uLight Flashlight"/>
    <n v="249.20043496840663"/>
    <n v="42353.147475490041"/>
  </r>
  <r>
    <x v="3"/>
    <x v="3"/>
    <s v="Other Asia"/>
    <s v="Adhesive"/>
    <s v="Indigo Strong Tape"/>
    <n v="157.32537067697194"/>
    <n v="106140.36080459868"/>
  </r>
  <r>
    <x v="3"/>
    <x v="1"/>
    <s v="Canada"/>
    <s v="Visual"/>
    <s v="Sun Danron Sunglasses"/>
    <n v="1596.0895742406137"/>
    <n v="10361.648145177049"/>
  </r>
  <r>
    <x v="0"/>
    <x v="3"/>
    <s v="China"/>
    <s v="Foods"/>
    <s v="Key Kix Kandy"/>
    <n v="177.11702985743614"/>
    <n v="24483.560599855991"/>
  </r>
  <r>
    <x v="0"/>
    <x v="4"/>
    <s v="Morocco"/>
    <s v="Foods"/>
    <s v="HotNamHold Spicy Candy"/>
    <n v="100.84326285177667"/>
    <n v="94866.370366798947"/>
  </r>
  <r>
    <x v="0"/>
    <x v="1"/>
    <s v="Other LatAm"/>
    <s v="Visual"/>
    <s v="uLight Flashlight"/>
    <n v="68.730995708938281"/>
    <n v="53743.10278084522"/>
  </r>
  <r>
    <x v="0"/>
    <x v="1"/>
    <s v="Brazil"/>
    <s v="Adhesive"/>
    <s v="Indigo Strong Tape"/>
    <n v="44.43848845003231"/>
    <n v="25473.372056330845"/>
  </r>
  <r>
    <x v="0"/>
    <x v="1"/>
    <s v="Chile"/>
    <s v="Visual"/>
    <s v="Sun Danron Sunglasses"/>
    <n v="78.523784269691532"/>
    <n v="80473.743041238777"/>
  </r>
  <r>
    <x v="0"/>
    <x v="4"/>
    <s v="Egypt"/>
    <s v="Foods"/>
    <s v="Key Kix Kandy"/>
    <n v="79.765051195863634"/>
    <n v="12288.849106334965"/>
  </r>
  <r>
    <x v="0"/>
    <x v="3"/>
    <s v="India"/>
    <s v="Foods"/>
    <s v="HotNamHold Spicy Candy"/>
    <n v="52.928616834378772"/>
    <n v="42677.091335553996"/>
  </r>
  <r>
    <x v="0"/>
    <x v="0"/>
    <s v="Italy"/>
    <s v="Visual"/>
    <s v="uLight Flashlight"/>
    <n v="47.370416719968489"/>
    <n v="33772.254575706029"/>
  </r>
  <r>
    <x v="0"/>
    <x v="4"/>
    <s v="Kenya"/>
    <s v="Adhesive"/>
    <s v="Indigo Strong Tape"/>
    <n v="86.636169096618687"/>
    <n v="86589.845120124664"/>
  </r>
  <r>
    <x v="0"/>
    <x v="4"/>
    <s v="Morocco"/>
    <s v="Visual"/>
    <s v="Sun Danron Sunglasses"/>
    <n v="52.337769419318647"/>
    <n v="18103.476507531013"/>
  </r>
  <r>
    <x v="0"/>
    <x v="4"/>
    <s v="Other Africa"/>
    <s v="Foods"/>
    <s v="Key Kix Kandy"/>
    <n v="75.952052772390743"/>
    <n v="16792.309690481488"/>
  </r>
  <r>
    <x v="0"/>
    <x v="0"/>
    <s v="Other Europe"/>
    <s v="Foods"/>
    <s v="HotNamHold Spicy Candy"/>
    <n v="66.876001650052785"/>
    <n v="91721.955745924788"/>
  </r>
  <r>
    <x v="0"/>
    <x v="1"/>
    <s v="Peru"/>
    <s v="Adhesive"/>
    <s v="Gravetom Glue"/>
    <n v="65.139539092433552"/>
    <n v="50709.931596520619"/>
  </r>
  <r>
    <x v="1"/>
    <x v="3"/>
    <s v="China"/>
    <s v="Visual"/>
    <s v="uLight Flashlight"/>
    <n v="90.236329509934876"/>
    <n v="60559.109595542395"/>
  </r>
  <r>
    <x v="1"/>
    <x v="4"/>
    <s v="Morocco"/>
    <s v="Adhesive"/>
    <s v="Indigo Strong Tape"/>
    <n v="167.42006514305103"/>
    <n v="3437.0049675026166"/>
  </r>
  <r>
    <x v="1"/>
    <x v="1"/>
    <s v="Other LatAm"/>
    <s v="Visual"/>
    <s v="uLight Flashlight"/>
    <n v="108.52241612192302"/>
    <n v="89682.104408357191"/>
  </r>
  <r>
    <x v="1"/>
    <x v="1"/>
    <s v="Brazil"/>
    <s v="Adhesive"/>
    <s v="Indigo Strong Tape"/>
    <n v="63.180439281586587"/>
    <n v="61824.471550763519"/>
  </r>
  <r>
    <x v="1"/>
    <x v="1"/>
    <s v="Chile"/>
    <s v="Visual"/>
    <s v="Sun Danron Sunglasses"/>
    <n v="70.993900038229185"/>
    <n v="90068.468763121928"/>
  </r>
  <r>
    <x v="1"/>
    <x v="4"/>
    <s v="Egypt"/>
    <s v="Foods"/>
    <s v="Key Kix Kandy"/>
    <n v="22.332521897533297"/>
    <n v="10142.62534307727"/>
  </r>
  <r>
    <x v="1"/>
    <x v="3"/>
    <s v="India"/>
    <s v="Foods"/>
    <s v="HotNamHold Spicy Candy"/>
    <n v="95.750880049854459"/>
    <n v="12127.441508555421"/>
  </r>
  <r>
    <x v="1"/>
    <x v="0"/>
    <s v="Italy"/>
    <s v="Adhesive"/>
    <s v="Gravetom Glue"/>
    <n v="7.902047799234424"/>
    <n v="65530.657488090583"/>
  </r>
  <r>
    <x v="1"/>
    <x v="4"/>
    <s v="Kenya"/>
    <s v="Visual"/>
    <s v="uLight Flashlight"/>
    <n v="71.213930101657752"/>
    <n v="18199.840963791758"/>
  </r>
  <r>
    <x v="1"/>
    <x v="4"/>
    <s v="Morocco"/>
    <s v="Adhesive"/>
    <s v="Indigo Strong Tape"/>
    <n v="74.220430841069174"/>
    <n v="24179.711141572625"/>
  </r>
  <r>
    <x v="1"/>
    <x v="4"/>
    <s v="Other Africa"/>
    <s v="Visual"/>
    <s v="Sun Danron Sunglasses"/>
    <n v="78.189038582240755"/>
    <n v="75056.743545451347"/>
  </r>
  <r>
    <x v="1"/>
    <x v="0"/>
    <s v="Other Europe"/>
    <s v="Visual"/>
    <s v="uLight Flashlight"/>
    <n v="40.235253261016624"/>
    <n v="38248.089273572987"/>
  </r>
  <r>
    <x v="1"/>
    <x v="1"/>
    <s v="Peru"/>
    <s v="Adhesive"/>
    <s v="Indigo Strong Tape"/>
    <n v="17.764374356374901"/>
    <n v="620.47062100918993"/>
  </r>
  <r>
    <x v="2"/>
    <x v="3"/>
    <s v="China"/>
    <s v="Visual"/>
    <s v="Sun Danron Sunglasses"/>
    <n v="177.21095838005567"/>
    <n v="27154.256182984082"/>
  </r>
  <r>
    <x v="2"/>
    <x v="4"/>
    <s v="Morocco"/>
    <s v="Foods"/>
    <s v="Key Kix Kandy"/>
    <n v="60.641928185214056"/>
    <n v="37395.719325168327"/>
  </r>
  <r>
    <x v="2"/>
    <x v="1"/>
    <s v="Other LatAm"/>
    <s v="Visual"/>
    <s v="uLight Flashlight"/>
    <n v="130.01888773560495"/>
    <n v="29653.413290444805"/>
  </r>
  <r>
    <x v="2"/>
    <x v="1"/>
    <s v="Brazil"/>
    <s v="Adhesive"/>
    <s v="Indigo Strong Tape"/>
    <n v="63.592021378826757"/>
    <n v="70180.570763741009"/>
  </r>
  <r>
    <x v="2"/>
    <x v="1"/>
    <s v="Chile"/>
    <s v="Visual"/>
    <s v="Sun Danron Sunglasses"/>
    <n v="28.529063117550191"/>
    <n v="15108.237345059188"/>
  </r>
  <r>
    <x v="2"/>
    <x v="4"/>
    <s v="Egypt"/>
    <s v="Foods"/>
    <s v="Key Kix Kandy"/>
    <n v="18.901004097097029"/>
    <n v="38357.83036820362"/>
  </r>
  <r>
    <x v="2"/>
    <x v="3"/>
    <s v="India"/>
    <s v="Foods"/>
    <s v="HotNamHold Spicy Candy"/>
    <n v="10.654585721295007"/>
    <n v="77980.10922802522"/>
  </r>
  <r>
    <x v="2"/>
    <x v="0"/>
    <s v="Italy"/>
    <s v="Visual"/>
    <s v="uLight Flashlight"/>
    <n v="3.7152283679477982"/>
    <n v="65643.584440239851"/>
  </r>
  <r>
    <x v="2"/>
    <x v="4"/>
    <s v="Kenya"/>
    <s v="Adhesive"/>
    <s v="Indigo Strong Tape"/>
    <n v="14.069706675400084"/>
    <n v="66318.88660660485"/>
  </r>
  <r>
    <x v="2"/>
    <x v="4"/>
    <s v="Morocco"/>
    <s v="Visual"/>
    <s v="Sun Danron Sunglasses"/>
    <n v="20.182515551823599"/>
    <n v="43230.904369086427"/>
  </r>
  <r>
    <x v="2"/>
    <x v="4"/>
    <s v="Other Africa"/>
    <s v="Foods"/>
    <s v="Key Kix Kandy"/>
    <n v="87.689541155214101"/>
    <n v="58328.553334850003"/>
  </r>
  <r>
    <x v="2"/>
    <x v="0"/>
    <s v="Other Europe"/>
    <s v="Foods"/>
    <s v="HotNamHold Spicy Candy"/>
    <n v="1.9482250383589417"/>
    <n v="58620.849540628005"/>
  </r>
  <r>
    <x v="2"/>
    <x v="1"/>
    <s v="Peru"/>
    <s v="Visual"/>
    <s v="uLight Flashlight"/>
    <n v="85.508677666439326"/>
    <n v="73878.415099880935"/>
  </r>
  <r>
    <x v="3"/>
    <x v="3"/>
    <s v="China"/>
    <s v="Adhesive"/>
    <s v="Indigo Strong Tape"/>
    <n v="143.82138313794712"/>
    <n v="43942.100098472962"/>
  </r>
  <r>
    <x v="3"/>
    <x v="4"/>
    <s v="Morocco"/>
    <s v="Visual"/>
    <s v="Sun Danron Sunglasses"/>
    <n v="85.436618502353667"/>
    <n v="51756.404736562305"/>
  </r>
  <r>
    <x v="3"/>
    <x v="1"/>
    <s v="Other LatAm"/>
    <s v="Foods"/>
    <s v="Key Kix Kandy"/>
    <n v="161.71719179419597"/>
    <n v="11411.904013939364"/>
  </r>
  <r>
    <x v="3"/>
    <x v="1"/>
    <s v="Brazil"/>
    <s v="Foods"/>
    <s v="HotNamHold Spicy Candy"/>
    <n v="9.9283061405003536"/>
    <n v="34303.200940980227"/>
  </r>
  <r>
    <x v="3"/>
    <x v="1"/>
    <s v="Chile"/>
    <s v="Adhesive"/>
    <s v="Gravetom Glue"/>
    <n v="76.798394215711596"/>
    <n v="35464.992214699436"/>
  </r>
  <r>
    <x v="3"/>
    <x v="4"/>
    <s v="Egypt"/>
    <s v="Visual"/>
    <s v="uLight Flashlight"/>
    <n v="97.385058962572657"/>
    <n v="6959.927095020942"/>
  </r>
  <r>
    <x v="3"/>
    <x v="3"/>
    <s v="India"/>
    <s v="Visual"/>
    <s v="uLight Flashlight"/>
    <n v="2.6591125320010178"/>
    <n v="11591.486860909563"/>
  </r>
  <r>
    <x v="3"/>
    <x v="0"/>
    <s v="Italy"/>
    <s v="Adhesive"/>
    <s v="Indigo Strong Tape"/>
    <n v="51.15981683593418"/>
    <n v="30163.845372557469"/>
  </r>
  <r>
    <x v="3"/>
    <x v="4"/>
    <s v="Kenya"/>
    <s v="Visual"/>
    <s v="Sun Danron Sunglasses"/>
    <n v="37.248194237963617"/>
    <n v="60943.495028967016"/>
  </r>
  <r>
    <x v="3"/>
    <x v="4"/>
    <s v="Morocco"/>
    <s v="Foods"/>
    <s v="Key Kix Kandy"/>
    <n v="51.712065301217081"/>
    <n v="68604.47688201748"/>
  </r>
  <r>
    <x v="3"/>
    <x v="4"/>
    <s v="Other Africa"/>
    <s v="Foods"/>
    <s v="HotNamHold Spicy Candy"/>
    <n v="85.4875101403195"/>
    <n v="916.84033214210103"/>
  </r>
  <r>
    <x v="3"/>
    <x v="0"/>
    <s v="Other Europe"/>
    <s v="Adhesive"/>
    <s v="Gravetom Glue"/>
    <n v="60.427970557066146"/>
    <n v="56553.691261678767"/>
  </r>
  <r>
    <x v="3"/>
    <x v="1"/>
    <s v="Peru"/>
    <s v="Visual"/>
    <s v="uLight Flashlight"/>
    <n v="43.711287169207935"/>
    <n v="65480.063221693359"/>
  </r>
  <r>
    <x v="0"/>
    <x v="1"/>
    <s v="Canada"/>
    <s v="Adhesive"/>
    <s v="Indigo Strong Tape"/>
    <n v="1010.4547427408761"/>
    <n v="13776.29415144329"/>
  </r>
  <r>
    <x v="1"/>
    <x v="1"/>
    <s v="Canada"/>
    <s v="Visual"/>
    <s v="Sun Danron Sunglasses"/>
    <n v="1911.5653735090746"/>
    <n v="42875.635799501557"/>
  </r>
  <r>
    <x v="2"/>
    <x v="1"/>
    <s v="Canada"/>
    <s v="Visual"/>
    <s v="uLight Flashlight"/>
    <n v="116.36232526816457"/>
    <n v="19221.35044877819"/>
  </r>
  <r>
    <x v="3"/>
    <x v="1"/>
    <s v="Canada"/>
    <s v="Adhesive"/>
    <s v="Indigo Strong Tape"/>
    <n v="804.43315641277877"/>
    <n v="9449.929069359574"/>
  </r>
  <r>
    <x v="0"/>
    <x v="2"/>
    <s v="Japan"/>
    <s v="Visual"/>
    <s v="Sun Danron Sunglasses"/>
    <n v="1330.5281368517171"/>
    <n v="41554.648790690408"/>
  </r>
  <r>
    <x v="0"/>
    <x v="1"/>
    <s v="Argentina"/>
    <s v="Foods"/>
    <s v="Key Kix Kandy"/>
    <n v="18.172000426056911"/>
    <n v="43514.037482054846"/>
  </r>
  <r>
    <x v="0"/>
    <x v="4"/>
    <s v="Egypt"/>
    <s v="Visual"/>
    <s v="uLight Flashlight"/>
    <n v="98.899655097102368"/>
    <n v="1226.2833784461691"/>
  </r>
  <r>
    <x v="0"/>
    <x v="4"/>
    <s v="Kenya"/>
    <s v="Adhesive"/>
    <s v="Indigo Strong Tape"/>
    <n v="83.901809704366315"/>
    <n v="31605.66793549151"/>
  </r>
  <r>
    <x v="0"/>
    <x v="4"/>
    <s v="Other Africa"/>
    <s v="Visual"/>
    <s v="Sun Danron Sunglasses"/>
    <n v="83.409800295430614"/>
    <n v="7380.8966081287508"/>
  </r>
  <r>
    <x v="0"/>
    <x v="4"/>
    <s v="South Africa"/>
    <s v="Foods"/>
    <s v="Key Kix Kandy"/>
    <n v="55.929060189373558"/>
    <n v="4269.4860756455455"/>
  </r>
  <r>
    <x v="1"/>
    <x v="2"/>
    <s v="Japan"/>
    <s v="Foods"/>
    <s v="HotNamHold Spicy Candy"/>
    <n v="656.18777417839738"/>
    <n v="33499.611718655113"/>
  </r>
  <r>
    <x v="0"/>
    <x v="1"/>
    <s v="Argentina"/>
    <s v="Visual"/>
    <s v="uLight Flashlight"/>
    <n v="122.30559147083113"/>
    <n v="43768.777140474413"/>
  </r>
  <r>
    <x v="0"/>
    <x v="0"/>
    <s v="Germany"/>
    <s v="Adhesive"/>
    <s v="Indigo Strong Tape"/>
    <n v="249.64012582240684"/>
    <n v="8769.3022191087948"/>
  </r>
  <r>
    <x v="0"/>
    <x v="0"/>
    <s v="Italy"/>
    <s v="Visual"/>
    <s v="Sun Danron Sunglasses"/>
    <n v="536.00102790569508"/>
    <n v="36000.438400340499"/>
  </r>
  <r>
    <x v="0"/>
    <x v="1"/>
    <s v="Mexico"/>
    <s v="Foods"/>
    <s v="Key Kix Kandy"/>
    <n v="429.30719341384247"/>
    <n v="30698.481412415276"/>
  </r>
  <r>
    <x v="0"/>
    <x v="0"/>
    <s v="United Kingdom"/>
    <s v="Foods"/>
    <s v="HotNamHold Spicy Candy"/>
    <n v="354.0052480313534"/>
    <n v="15963.081263238564"/>
  </r>
  <r>
    <x v="1"/>
    <x v="1"/>
    <s v="Argentina"/>
    <s v="Visual"/>
    <s v="uLight Flashlight"/>
    <n v="80.39567299074406"/>
    <n v="35335.27592693326"/>
  </r>
  <r>
    <x v="1"/>
    <x v="4"/>
    <s v="Egypt"/>
    <s v="Adhesive"/>
    <s v="Indigo Strong Tape"/>
    <n v="36.694105445803871"/>
    <n v="39940.518405964212"/>
  </r>
  <r>
    <x v="1"/>
    <x v="4"/>
    <s v="Kenya"/>
    <s v="Visual"/>
    <s v="Sun Danron Sunglasses"/>
    <n v="60.649137344807968"/>
    <n v="16895.911060873459"/>
  </r>
  <r>
    <x v="1"/>
    <x v="4"/>
    <s v="Other Africa"/>
    <s v="Foods"/>
    <s v="Key Kix Kandy"/>
    <n v="2.9912104938375705"/>
    <n v="29856.580073186706"/>
  </r>
  <r>
    <x v="1"/>
    <x v="4"/>
    <s v="South Africa"/>
    <s v="Foods"/>
    <s v="HotNamHold Spicy Candy"/>
    <n v="3.6371590334965731"/>
    <n v="32396.824948340509"/>
  </r>
  <r>
    <x v="2"/>
    <x v="2"/>
    <s v="Japan"/>
    <s v="Adhesive"/>
    <s v="Gravetom Glue"/>
    <n v="2013.5771431389003"/>
    <n v="1539.7945998878604"/>
  </r>
  <r>
    <x v="1"/>
    <x v="1"/>
    <s v="Argentina"/>
    <s v="Visual"/>
    <s v="uLight Flashlight"/>
    <n v="22.622758201032411"/>
    <n v="26978.39157099399"/>
  </r>
  <r>
    <x v="1"/>
    <x v="0"/>
    <s v="Germany"/>
    <s v="Adhesive"/>
    <s v="Indigo Strong Tape"/>
    <n v="495.65754695868236"/>
    <n v="42551.314941900491"/>
  </r>
  <r>
    <x v="1"/>
    <x v="0"/>
    <s v="Italy"/>
    <s v="Visual"/>
    <s v="Sun Danron Sunglasses"/>
    <n v="289.89272107082797"/>
    <n v="35001.795021727594"/>
  </r>
  <r>
    <x v="1"/>
    <x v="1"/>
    <s v="Mexico"/>
    <s v="Visual"/>
    <s v="uLight Flashlight"/>
    <n v="549.55951464107784"/>
    <n v="9996.5934672032017"/>
  </r>
  <r>
    <x v="1"/>
    <x v="0"/>
    <s v="United Kingdom"/>
    <s v="Adhesive"/>
    <s v="Indigo Strong Tape"/>
    <n v="165.77514676373539"/>
    <n v="1804.5772830901842"/>
  </r>
  <r>
    <x v="0"/>
    <x v="1"/>
    <s v="Canada"/>
    <s v="Visual"/>
    <s v="Sun Danron Sunglasses"/>
    <n v="1674.079551945033"/>
    <n v="6810.9302469794784"/>
  </r>
  <r>
    <x v="2"/>
    <x v="1"/>
    <s v="Argentina"/>
    <s v="Foods"/>
    <s v="Key Kix Kandy"/>
    <n v="99.239204380410229"/>
    <n v="28239.746595029523"/>
  </r>
  <r>
    <x v="2"/>
    <x v="4"/>
    <s v="Egypt"/>
    <s v="Foods"/>
    <s v="HotNamHold Spicy Candy"/>
    <n v="78.917590529636072"/>
    <n v="20140.767565287151"/>
  </r>
  <r>
    <x v="2"/>
    <x v="4"/>
    <s v="Kenya"/>
    <s v="Adhesive"/>
    <s v="Gravetom Glue"/>
    <n v="19.713546950242744"/>
    <n v="26068.568233030124"/>
  </r>
  <r>
    <x v="2"/>
    <x v="4"/>
    <s v="Other Africa"/>
    <s v="Visual"/>
    <s v="uLight Flashlight"/>
    <n v="73.679944347895798"/>
    <n v="25704.360369216985"/>
  </r>
  <r>
    <x v="2"/>
    <x v="4"/>
    <s v="South Africa"/>
    <s v="Adhesive"/>
    <s v="Indigo Strong Tape"/>
    <n v="46.695336906759621"/>
    <n v="38253.744836762533"/>
  </r>
  <r>
    <x v="0"/>
    <x v="1"/>
    <s v="Caribbean"/>
    <s v="Visual"/>
    <s v="Sun Danron Sunglasses"/>
    <n v="354.16483875451377"/>
    <n v="15581.96593367029"/>
  </r>
  <r>
    <x v="3"/>
    <x v="2"/>
    <s v="Japan"/>
    <s v="Foods"/>
    <s v="Key Kix Kandy"/>
    <n v="2686.0974874060048"/>
    <n v="36895.12296486093"/>
  </r>
  <r>
    <x v="2"/>
    <x v="1"/>
    <s v="Argentina"/>
    <s v="Foods"/>
    <s v="HotNamHold Spicy Candy"/>
    <n v="77.130553748793318"/>
    <n v="25031.603817545492"/>
  </r>
  <r>
    <x v="2"/>
    <x v="0"/>
    <s v="Germany"/>
    <s v="Adhesive"/>
    <s v="Gravetom Glue"/>
    <n v="440.25125808238954"/>
    <n v="15340.245051727112"/>
  </r>
  <r>
    <x v="2"/>
    <x v="0"/>
    <s v="Italy"/>
    <s v="Visual"/>
    <s v="uLight Flashlight"/>
    <n v="308.96483662581886"/>
    <n v="10006.398116881839"/>
  </r>
  <r>
    <x v="2"/>
    <x v="1"/>
    <s v="Mexico"/>
    <s v="Adhesive"/>
    <s v="Indigo Strong Tape"/>
    <n v="116.3207001032788"/>
    <n v="37905.19945789803"/>
  </r>
  <r>
    <x v="2"/>
    <x v="0"/>
    <s v="United Kingdom"/>
    <s v="Visual"/>
    <s v="Sun Danron Sunglasses"/>
    <n v="382.35063689244271"/>
    <n v="64.398321693915022"/>
  </r>
  <r>
    <x v="1"/>
    <x v="1"/>
    <s v="Canada"/>
    <s v="Visual"/>
    <s v="uLight Flashlight"/>
    <n v="689.44827088625971"/>
    <n v="6113.6130254422715"/>
  </r>
  <r>
    <x v="0"/>
    <x v="0"/>
    <s v="Germany"/>
    <s v="Adhesive"/>
    <s v="Indigo Strong Tape"/>
    <n v="1820.774084306322"/>
    <n v="482.8005523304455"/>
  </r>
  <r>
    <x v="0"/>
    <x v="1"/>
    <s v="United States"/>
    <s v="Visual"/>
    <s v="Sun Danron Sunglasses"/>
    <n v="1890.27279530128"/>
    <n v="802.76857861317694"/>
  </r>
  <r>
    <x v="0"/>
    <x v="3"/>
    <s v="Australia"/>
    <s v="Foods"/>
    <s v="Key Kix Kandy"/>
    <n v="70.354450117883971"/>
    <n v="18041.342134180013"/>
  </r>
  <r>
    <x v="3"/>
    <x v="1"/>
    <s v="Argentina"/>
    <s v="Visual"/>
    <s v="uLight Flashlight"/>
    <n v="96.355044109623122"/>
    <n v="13742.349578615054"/>
  </r>
  <r>
    <x v="3"/>
    <x v="4"/>
    <s v="Egypt"/>
    <s v="Adhesive"/>
    <s v="Indigo Strong Tape"/>
    <n v="20.104309202815784"/>
    <n v="30110.167608378833"/>
  </r>
  <r>
    <x v="3"/>
    <x v="4"/>
    <s v="Kenya"/>
    <s v="Visual"/>
    <s v="Sun Danron Sunglasses"/>
    <n v="88.995255834743148"/>
    <n v="27152.482894135221"/>
  </r>
  <r>
    <x v="3"/>
    <x v="4"/>
    <s v="Other Africa"/>
    <s v="Foods"/>
    <s v="Key Kix Kandy"/>
    <n v="52.453495829377061"/>
    <n v="10061.317928274704"/>
  </r>
  <r>
    <x v="3"/>
    <x v="4"/>
    <s v="South Africa"/>
    <s v="Foods"/>
    <s v="HotNamHold Spicy Candy"/>
    <n v="19.326456809540105"/>
    <n v="27139.073526853768"/>
  </r>
  <r>
    <x v="1"/>
    <x v="1"/>
    <s v="Caribbean"/>
    <s v="Visual"/>
    <s v="uLight Flashlight"/>
    <n v="80.201811410461232"/>
    <n v="7156.7075805243803"/>
  </r>
  <r>
    <x v="3"/>
    <x v="1"/>
    <s v="Argentina"/>
    <s v="Adhesive"/>
    <s v="Indigo Strong Tape"/>
    <n v="358.19980643354938"/>
    <n v="20143.34649067518"/>
  </r>
  <r>
    <x v="3"/>
    <x v="0"/>
    <s v="Germany"/>
    <s v="Visual"/>
    <s v="Sun Danron Sunglasses"/>
    <n v="413.26282219033601"/>
    <n v="16960.944933319042"/>
  </r>
  <r>
    <x v="3"/>
    <x v="0"/>
    <s v="Italy"/>
    <s v="Foods"/>
    <s v="Key Kix Kandy"/>
    <n v="15.048346424373449"/>
    <n v="4403.5623380154429"/>
  </r>
  <r>
    <x v="3"/>
    <x v="1"/>
    <s v="Mexico"/>
    <s v="Foods"/>
    <s v="HotNamHold Spicy Candy"/>
    <n v="558.84102144154895"/>
    <n v="23843.53158766963"/>
  </r>
  <r>
    <x v="3"/>
    <x v="0"/>
    <s v="United Kingdom"/>
    <s v="Visual"/>
    <s v="uLight Flashlight"/>
    <n v="79.757885179242294"/>
    <n v="11568.738643080542"/>
  </r>
  <r>
    <x v="2"/>
    <x v="1"/>
    <s v="Canada"/>
    <s v="Adhesive"/>
    <s v="Indigo Strong Tape"/>
    <n v="344.58932776651636"/>
    <n v="29647.379634067202"/>
  </r>
  <r>
    <x v="1"/>
    <x v="0"/>
    <s v="Germany"/>
    <s v="Visual"/>
    <s v="Sun Danron Sunglasses"/>
    <n v="1613.1950862676604"/>
    <n v="11650.82490139408"/>
  </r>
  <r>
    <x v="1"/>
    <x v="1"/>
    <s v="United States"/>
    <s v="Foods"/>
    <s v="Key Kix Kandy"/>
    <n v="2078.752363024978"/>
    <n v="24153.97039587039"/>
  </r>
  <r>
    <x v="1"/>
    <x v="3"/>
    <s v="Australia"/>
    <s v="Foods"/>
    <s v="HotNamHold Spicy Candy"/>
    <n v="877.81287063371565"/>
    <n v="6367.3914231648669"/>
  </r>
  <r>
    <x v="2"/>
    <x v="1"/>
    <s v="Caribbean"/>
    <s v="Adhesive"/>
    <s v="Gravetom Glue"/>
    <n v="229.42457973113051"/>
    <n v="8348.1864055419683"/>
  </r>
  <r>
    <x v="3"/>
    <x v="1"/>
    <s v="Canada"/>
    <s v="Visual"/>
    <s v="uLight Flashlight"/>
    <n v="1935.1185544318469"/>
    <n v="26684.787808885638"/>
  </r>
  <r>
    <x v="0"/>
    <x v="1"/>
    <s v="United States"/>
    <s v="Adhesive"/>
    <s v="Indigo Strong Tape"/>
    <n v="842.55829413996253"/>
    <n v="5935.4077023070204"/>
  </r>
  <r>
    <x v="0"/>
    <x v="3"/>
    <s v="China"/>
    <s v="Visual"/>
    <s v="Sun Danron Sunglasses"/>
    <n v="38.411349630769109"/>
    <n v="9319.0483561484143"/>
  </r>
  <r>
    <x v="0"/>
    <x v="0"/>
    <s v="France"/>
    <s v="Visual"/>
    <s v="uLight Flashlight"/>
    <n v="182.11977934151946"/>
    <n v="30877.127675776137"/>
  </r>
  <r>
    <x v="0"/>
    <x v="0"/>
    <s v="Other Europe"/>
    <s v="Adhesive"/>
    <s v="Indigo Strong Tape"/>
    <n v="302.68649500212632"/>
    <n v="17293.083354597911"/>
  </r>
  <r>
    <x v="0"/>
    <x v="1"/>
    <s v="Peru"/>
    <s v="Visual"/>
    <s v="uLight Flashlight"/>
    <n v="78.413678933793562"/>
    <n v="31735.808885510778"/>
  </r>
  <r>
    <x v="2"/>
    <x v="0"/>
    <s v="Germany"/>
    <s v="Adhesive"/>
    <s v="Indigo Strong Tape"/>
    <n v="2729.50992549886"/>
    <n v="14363.300833661719"/>
  </r>
  <r>
    <x v="2"/>
    <x v="1"/>
    <s v="United States"/>
    <s v="Visual"/>
    <s v="Sun Danron Sunglasses"/>
    <n v="803.50771762023214"/>
    <n v="15497.078099806862"/>
  </r>
  <r>
    <x v="2"/>
    <x v="3"/>
    <s v="Australia"/>
    <s v="Foods"/>
    <s v="Key Kix Kandy"/>
    <n v="680.85420195566257"/>
    <n v="15304.110691643818"/>
  </r>
  <r>
    <x v="3"/>
    <x v="1"/>
    <s v="Caribbean"/>
    <s v="Foods"/>
    <s v="HotNamHold Spicy Candy"/>
    <n v="55.737593025241949"/>
    <n v="26959.388553101788"/>
  </r>
  <r>
    <x v="1"/>
    <x v="1"/>
    <s v="United States"/>
    <s v="Adhesive"/>
    <s v="Gravetom Glue"/>
    <n v="925.66797296785808"/>
    <n v="28964.804953722374"/>
  </r>
  <r>
    <x v="1"/>
    <x v="3"/>
    <s v="China"/>
    <s v="Visual"/>
    <s v="uLight Flashlight"/>
    <n v="356.27163587814721"/>
    <n v="20045.668032186513"/>
  </r>
  <r>
    <x v="1"/>
    <x v="0"/>
    <s v="France"/>
    <s v="Adhesive"/>
    <s v="Indigo Strong Tape"/>
    <n v="249.85705183062237"/>
    <n v="5491.4576788805425"/>
  </r>
  <r>
    <x v="1"/>
    <x v="0"/>
    <s v="Other Europe"/>
    <s v="Visual"/>
    <s v="Sun Danron Sunglasses"/>
    <n v="341.9585723993805"/>
    <n v="5700.297249337018"/>
  </r>
  <r>
    <x v="1"/>
    <x v="1"/>
    <s v="Peru"/>
    <s v="Visual"/>
    <s v="uLight Flashlight"/>
    <n v="384.99951288758893"/>
    <n v="12247.707029394223"/>
  </r>
  <r>
    <x v="3"/>
    <x v="0"/>
    <s v="Germany"/>
    <s v="Adhesive"/>
    <s v="Indigo Strong Tape"/>
    <n v="1554.6132119750837"/>
    <n v="25943.081428732166"/>
  </r>
  <r>
    <x v="3"/>
    <x v="1"/>
    <s v="United States"/>
    <s v="Visual"/>
    <s v="Sun Danron Sunglasses"/>
    <n v="1775.9305415558629"/>
    <n v="18343.020225866439"/>
  </r>
  <r>
    <x v="3"/>
    <x v="3"/>
    <s v="Australia"/>
    <s v="Foods"/>
    <s v="Key Kix Kandy"/>
    <n v="98.204619733223808"/>
    <n v="132.10265519276345"/>
  </r>
  <r>
    <x v="0"/>
    <x v="1"/>
    <s v="Brazil"/>
    <s v="Visual"/>
    <s v="uLight Flashlight"/>
    <n v="378.3273145532803"/>
    <n v="17385.95978798694"/>
  </r>
  <r>
    <x v="0"/>
    <x v="1"/>
    <s v="Caribbean"/>
    <s v="Adhesive"/>
    <s v="Indigo Strong Tape"/>
    <n v="259.93694743165179"/>
    <n v="1798.7550428893883"/>
  </r>
  <r>
    <x v="0"/>
    <x v="1"/>
    <s v="Chile"/>
    <s v="Visual"/>
    <s v="Sun Danron Sunglasses"/>
    <n v="245.0935638975352"/>
    <n v="20507.570090182708"/>
  </r>
  <r>
    <x v="0"/>
    <x v="1"/>
    <s v="Canada"/>
    <s v="Foods"/>
    <s v="Key Kix Kandy"/>
    <n v="717.68885397214035"/>
    <n v="15589.061906073766"/>
  </r>
  <r>
    <x v="0"/>
    <x v="0"/>
    <s v="United Kingdom"/>
    <s v="Foods"/>
    <s v="HotNamHold Spicy Candy"/>
    <n v="219.99365843876149"/>
    <n v="20194.245956722807"/>
  </r>
  <r>
    <x v="2"/>
    <x v="1"/>
    <s v="United States"/>
    <s v="Visual"/>
    <s v="uLight Flashlight"/>
    <n v="632.03464853340847"/>
    <n v="8744.5891199586185"/>
  </r>
  <r>
    <x v="2"/>
    <x v="3"/>
    <s v="China"/>
    <s v="Adhesive"/>
    <s v="Indigo Strong Tape"/>
    <n v="139.12235493917251"/>
    <n v="1777.3054932421301"/>
  </r>
  <r>
    <x v="2"/>
    <x v="0"/>
    <s v="France"/>
    <s v="Visual"/>
    <s v="Sun Danron Sunglasses"/>
    <n v="208.6967383245792"/>
    <n v="18821.059809561557"/>
  </r>
  <r>
    <x v="2"/>
    <x v="0"/>
    <s v="Other Europe"/>
    <s v="Foods"/>
    <s v="Key Kix Kandy"/>
    <n v="153.40949839374645"/>
    <n v="20665.207686230176"/>
  </r>
  <r>
    <x v="2"/>
    <x v="1"/>
    <s v="Peru"/>
    <s v="Foods"/>
    <s v="HotNamHold Spicy Candy"/>
    <n v="347.71255478590319"/>
    <n v="14462.920134286422"/>
  </r>
  <r>
    <x v="0"/>
    <x v="0"/>
    <s v="United Kingdom"/>
    <s v="Visual"/>
    <s v="uLight Flashlight"/>
    <n v="1958.6898599911365"/>
    <n v="2790.8231655426789"/>
  </r>
  <r>
    <x v="1"/>
    <x v="1"/>
    <s v="Brazil"/>
    <s v="Adhesive"/>
    <s v="Indigo Strong Tape"/>
    <n v="266.53354133040921"/>
    <n v="13550.934018374537"/>
  </r>
  <r>
    <x v="1"/>
    <x v="1"/>
    <s v="Caribbean"/>
    <s v="Visual"/>
    <s v="Sun Danron Sunglasses"/>
    <n v="112.64997988346295"/>
    <n v="1412.1508639076783"/>
  </r>
  <r>
    <x v="1"/>
    <x v="1"/>
    <s v="Chile"/>
    <s v="Foods"/>
    <s v="Key Kix Kandy"/>
    <n v="10.380430281384179"/>
    <n v="16975.928365024505"/>
  </r>
  <r>
    <x v="1"/>
    <x v="1"/>
    <s v="Canada"/>
    <s v="Foods"/>
    <s v="HotNamHold Spicy Candy"/>
    <n v="800.04468207625905"/>
    <n v="16234.770159608615"/>
  </r>
  <r>
    <x v="1"/>
    <x v="0"/>
    <s v="United Kingdom"/>
    <s v="Adhesive"/>
    <s v="Gravetom Glue"/>
    <n v="1170.5174211751"/>
    <n v="19706.364593312079"/>
  </r>
  <r>
    <x v="3"/>
    <x v="1"/>
    <s v="United States"/>
    <s v="Visual"/>
    <s v="uLight Flashlight"/>
    <n v="235.72092043068551"/>
    <n v="15406.344605136841"/>
  </r>
  <r>
    <x v="3"/>
    <x v="3"/>
    <s v="China"/>
    <s v="Adhesive"/>
    <s v="Indigo Strong Tape"/>
    <n v="52.706794342157082"/>
    <n v="10548.76139238543"/>
  </r>
  <r>
    <x v="3"/>
    <x v="0"/>
    <s v="France"/>
    <s v="Visual"/>
    <s v="Sun Danron Sunglasses"/>
    <n v="391.46982555394061"/>
    <n v="12637.726019589825"/>
  </r>
  <r>
    <x v="3"/>
    <x v="0"/>
    <s v="Other Europe"/>
    <s v="Visual"/>
    <s v="uLight Flashlight"/>
    <n v="262.73426858933817"/>
    <n v="12447.327712846934"/>
  </r>
  <r>
    <x v="3"/>
    <x v="1"/>
    <s v="Peru"/>
    <s v="Adhesive"/>
    <s v="Indigo Strong Tape"/>
    <n v="67.461429109971505"/>
    <n v="13970.300181724107"/>
  </r>
  <r>
    <x v="1"/>
    <x v="0"/>
    <s v="United Kingdom"/>
    <s v="Visual"/>
    <s v="Sun Danron Sunglasses"/>
    <n v="2016.4927702377099"/>
    <n v="17904.858444045924"/>
  </r>
  <r>
    <x v="0"/>
    <x v="3"/>
    <s v="Australia"/>
    <s v="Foods"/>
    <s v="Key Kix Kandy"/>
    <n v="19.897292232963082"/>
    <n v="10674.569177142985"/>
  </r>
  <r>
    <x v="0"/>
    <x v="1"/>
    <s v="Other NorthAm"/>
    <s v="Foods"/>
    <s v="HotNamHold Spicy Candy"/>
    <n v="42.945316933310096"/>
    <n v="18372.990272735478"/>
  </r>
  <r>
    <x v="0"/>
    <x v="1"/>
    <s v="Canada"/>
    <s v="Adhesive"/>
    <s v="Gravetom Glue"/>
    <n v="892.25741718546487"/>
    <n v="2228.9960814887309"/>
  </r>
  <r>
    <x v="2"/>
    <x v="1"/>
    <s v="Brazil"/>
    <s v="Visual"/>
    <s v="uLight Flashlight"/>
    <n v="178.02199794195985"/>
    <n v="16965.882447576434"/>
  </r>
  <r>
    <x v="2"/>
    <x v="1"/>
    <s v="Caribbean"/>
    <s v="Adhesive"/>
    <s v="Indigo Strong Tape"/>
    <n v="0.14828462390141794"/>
    <n v="11742.192386941017"/>
  </r>
  <r>
    <x v="2"/>
    <x v="1"/>
    <s v="Chile"/>
    <s v="Visual"/>
    <s v="Sun Danron Sunglasses"/>
    <n v="786.58814032796727"/>
    <n v="17706.970307853786"/>
  </r>
  <r>
    <x v="0"/>
    <x v="1"/>
    <s v="United States"/>
    <s v="Foods"/>
    <s v="Key Kix Kandy"/>
    <n v="1488.7458934554161"/>
    <n v="23673.062096829381"/>
  </r>
  <r>
    <x v="0"/>
    <x v="2"/>
    <s v="Japan"/>
    <s v="Foods"/>
    <s v="HotNamHold Spicy Candy"/>
    <n v="38.420314353970753"/>
    <n v="12586.056826084132"/>
  </r>
  <r>
    <x v="2"/>
    <x v="1"/>
    <s v="Canada"/>
    <s v="Adhesive"/>
    <s v="Gravetom Glue"/>
    <n v="3.7168547802139074"/>
    <n v="15224.708735692897"/>
  </r>
  <r>
    <x v="2"/>
    <x v="0"/>
    <s v="United Kingdom"/>
    <s v="Visual"/>
    <s v="uLight Flashlight"/>
    <n v="943.89146839712339"/>
    <n v="11214.215256813528"/>
  </r>
  <r>
    <x v="0"/>
    <x v="3"/>
    <s v="Other Asia"/>
    <s v="Adhesive"/>
    <s v="Indigo Strong Tape"/>
    <n v="123.22222422280902"/>
    <n v="15983.366590662627"/>
  </r>
  <r>
    <x v="0"/>
    <x v="1"/>
    <s v="United States"/>
    <s v="Visual"/>
    <s v="Sun Danron Sunglasses"/>
    <n v="754.92672498430693"/>
    <n v="18367.304818688353"/>
  </r>
  <r>
    <x v="2"/>
    <x v="0"/>
    <s v="United Kingdom"/>
    <s v="Visual"/>
    <s v="uLight Flashlight"/>
    <n v="1829.316968726198"/>
    <n v="16607.755004481056"/>
  </r>
  <r>
    <x v="1"/>
    <x v="3"/>
    <s v="Australia"/>
    <s v="Adhesive"/>
    <s v="Indigo Strong Tape"/>
    <n v="84.970712433732842"/>
    <n v="12727.551646478751"/>
  </r>
  <r>
    <x v="1"/>
    <x v="1"/>
    <s v="Other NorthAm"/>
    <s v="Visual"/>
    <s v="Sun Danron Sunglasses"/>
    <n v="70.171496564034896"/>
    <n v="5103.0714610205905"/>
  </r>
  <r>
    <x v="1"/>
    <x v="1"/>
    <s v="Canada"/>
    <s v="Foods"/>
    <s v="Key Kix Kandy"/>
    <n v="78.328631019030581"/>
    <n v="18541.033960402201"/>
  </r>
  <r>
    <x v="3"/>
    <x v="1"/>
    <s v="Brazil"/>
    <s v="Visual"/>
    <s v="uLight Flashlight"/>
    <n v="387.84384065002087"/>
    <n v="11239.518767140144"/>
  </r>
  <r>
    <x v="3"/>
    <x v="1"/>
    <s v="Caribbean"/>
    <s v="Adhesive"/>
    <s v="Indigo Strong Tape"/>
    <n v="460.83821939419067"/>
    <n v="2398.7833460667434"/>
  </r>
  <r>
    <x v="3"/>
    <x v="1"/>
    <s v="Chile"/>
    <s v="Visual"/>
    <s v="Sun Danron Sunglasses"/>
    <n v="145.61000218691333"/>
    <n v="21407.76483408517"/>
  </r>
  <r>
    <x v="1"/>
    <x v="1"/>
    <s v="United States"/>
    <s v="Foods"/>
    <s v="Key Kix Kandy"/>
    <n v="1078.3300793290437"/>
    <n v="15507.809793314887"/>
  </r>
  <r>
    <x v="1"/>
    <x v="2"/>
    <s v="Japan"/>
    <s v="Foods"/>
    <s v="HotNamHold Spicy Candy"/>
    <n v="93.484868466475746"/>
    <n v="13657.855697279883"/>
  </r>
  <r>
    <x v="3"/>
    <x v="1"/>
    <s v="Canada"/>
    <s v="Visual"/>
    <s v="uLight Flashlight"/>
    <n v="780.82669360337604"/>
    <n v="8330.6252624193548"/>
  </r>
  <r>
    <x v="3"/>
    <x v="0"/>
    <s v="United Kingdom"/>
    <s v="Adhesive"/>
    <s v="Indigo Strong Tape"/>
    <n v="580.51550254531321"/>
    <n v="18924.534168082573"/>
  </r>
  <r>
    <x v="0"/>
    <x v="1"/>
    <s v="Canada"/>
    <s v="Visual"/>
    <s v="Sun Danron Sunglasses"/>
    <n v="230.40874317384805"/>
    <n v="4427.1024847468652"/>
  </r>
  <r>
    <x v="0"/>
    <x v="0"/>
    <s v="France"/>
    <s v="Foods"/>
    <s v="Key Kix Kandy"/>
    <n v="1475.0016358448192"/>
    <n v="4318.4346115576773"/>
  </r>
  <r>
    <x v="1"/>
    <x v="3"/>
    <s v="Other Asia"/>
    <s v="Foods"/>
    <s v="HotNamHold Spicy Candy"/>
    <n v="522.63944720225481"/>
    <n v="1270.3881077482365"/>
  </r>
  <r>
    <x v="1"/>
    <x v="1"/>
    <s v="United States"/>
    <s v="Visual"/>
    <s v="uLight Flashlight"/>
    <n v="420.57537652126484"/>
    <n v="9474.78788668368"/>
  </r>
  <r>
    <x v="3"/>
    <x v="0"/>
    <s v="United Kingdom"/>
    <s v="Adhesive"/>
    <s v="Indigo Strong Tape"/>
    <n v="238.34435440494417"/>
    <n v="5767.4285068915015"/>
  </r>
  <r>
    <x v="2"/>
    <x v="3"/>
    <s v="Australia"/>
    <s v="Visual"/>
    <s v="Sun Danron Sunglasses"/>
    <n v="193.87249307583261"/>
    <n v="6038.067092921332"/>
  </r>
  <r>
    <x v="2"/>
    <x v="1"/>
    <s v="Other NorthAm"/>
    <s v="Foods"/>
    <s v="Key Kix Kandy"/>
    <n v="212.81593295616403"/>
    <n v="3771.526366962913"/>
  </r>
  <r>
    <x v="2"/>
    <x v="1"/>
    <s v="Canada"/>
    <s v="Foods"/>
    <s v="HotNamHold Spicy Candy"/>
    <n v="50.345404979452724"/>
    <n v="2605.5195398644573"/>
  </r>
  <r>
    <x v="2"/>
    <x v="1"/>
    <s v="United States"/>
    <s v="Adhesive"/>
    <s v="Gravetom Glue"/>
    <n v="544.80967977815453"/>
    <n v="2317.8999957609594"/>
  </r>
  <r>
    <x v="0"/>
    <x v="0"/>
    <s v="France"/>
    <s v="Visual"/>
    <s v="uLight Flashlight"/>
    <n v="77.293843540610396"/>
    <n v="8156.6261624742765"/>
  </r>
  <r>
    <x v="0"/>
    <x v="2"/>
    <s v="Japan"/>
    <s v="Adhesive"/>
    <s v="Indigo Strong Tape"/>
    <n v="191.33175700899301"/>
    <n v="11135.77427129494"/>
  </r>
  <r>
    <x v="0"/>
    <x v="1"/>
    <s v="United States"/>
    <s v="Visual"/>
    <s v="Sun Danron Sunglasses"/>
    <n v="416.64659049420152"/>
    <n v="18058.606217539636"/>
  </r>
  <r>
    <x v="2"/>
    <x v="2"/>
    <s v="Japan"/>
    <s v="Visual"/>
    <s v="uLight Flashlight"/>
    <n v="53.089185373210057"/>
    <n v="3636.4653450776532"/>
  </r>
  <r>
    <x v="1"/>
    <x v="1"/>
    <s v="Canada"/>
    <s v="Visual"/>
    <s v="uLight Flashlight"/>
    <n v="1177.2916590483874"/>
    <n v="3392.9014135358848"/>
  </r>
  <r>
    <x v="1"/>
    <x v="0"/>
    <s v="France"/>
    <s v="Adhesive"/>
    <s v="Indigo Strong Tape"/>
    <n v="716.96441056456024"/>
    <n v="2759.3168195138351"/>
  </r>
  <r>
    <x v="2"/>
    <x v="3"/>
    <s v="Other Asia"/>
    <s v="Visual"/>
    <s v="Sun Danron Sunglasses"/>
    <n v="461.98816756186716"/>
    <n v="13627.971552255687"/>
  </r>
  <r>
    <x v="2"/>
    <x v="1"/>
    <s v="United States"/>
    <s v="Foods"/>
    <s v="Key Kix Kandy"/>
    <n v="821.15266164591958"/>
    <n v="573.10328885558556"/>
  </r>
  <r>
    <x v="3"/>
    <x v="3"/>
    <s v="Australia"/>
    <s v="Foods"/>
    <s v="HotNamHold Spicy Candy"/>
    <n v="149.9727681521108"/>
    <n v="12224.944085892817"/>
  </r>
  <r>
    <x v="3"/>
    <x v="1"/>
    <s v="Other NorthAm"/>
    <s v="Adhesive"/>
    <s v="Gravetom Glue"/>
    <n v="273.3906435298195"/>
    <n v="6684.5254998803193"/>
  </r>
  <r>
    <x v="3"/>
    <x v="1"/>
    <s v="Canada"/>
    <s v="Visual"/>
    <s v="uLight Flashlight"/>
    <n v="151.21034055446216"/>
    <n v="4341.2330861109922"/>
  </r>
  <r>
    <x v="0"/>
    <x v="3"/>
    <s v="Other Asia"/>
    <s v="Adhesive"/>
    <s v="Indigo Strong Tape"/>
    <n v="245.09503343178949"/>
    <n v="12560.519125472638"/>
  </r>
  <r>
    <x v="3"/>
    <x v="1"/>
    <s v="United States"/>
    <s v="Visual"/>
    <s v="Sun Danron Sunglasses"/>
    <n v="528.25935091887004"/>
    <n v="8135.1072697317477"/>
  </r>
  <r>
    <x v="1"/>
    <x v="0"/>
    <s v="France"/>
    <s v="Visual"/>
    <s v="uLight Flashlight"/>
    <n v="65.206568774374318"/>
    <n v="3636.1362325132359"/>
  </r>
  <r>
    <x v="1"/>
    <x v="2"/>
    <s v="Japan"/>
    <s v="Adhesive"/>
    <s v="Indigo Strong Tape"/>
    <n v="284.61872811803914"/>
    <n v="4227.733257918153"/>
  </r>
  <r>
    <x v="1"/>
    <x v="1"/>
    <s v="United States"/>
    <s v="Visual"/>
    <s v="Sun Danron Sunglasses"/>
    <n v="451.43465460132575"/>
    <n v="12371.871293101169"/>
  </r>
  <r>
    <x v="3"/>
    <x v="2"/>
    <s v="Japan"/>
    <s v="Foods"/>
    <s v="Key Kix Kandy"/>
    <n v="339.4608487824371"/>
    <n v="926.59446846051287"/>
  </r>
  <r>
    <x v="2"/>
    <x v="1"/>
    <s v="Canada"/>
    <s v="Visual"/>
    <s v="uLight Flashlight"/>
    <n v="1293.8834495089395"/>
    <n v="16800.765774303298"/>
  </r>
  <r>
    <x v="2"/>
    <x v="0"/>
    <s v="France"/>
    <s v="Adhesive"/>
    <s v="Indigo Strong Tape"/>
    <n v="85.389324304469483"/>
    <n v="10159.546255263438"/>
  </r>
  <r>
    <x v="3"/>
    <x v="3"/>
    <s v="Other Asia"/>
    <s v="Visual"/>
    <s v="Sun Danron Sunglasses"/>
    <n v="175.57383930998185"/>
    <n v="3507.0472519472241"/>
  </r>
  <r>
    <x v="3"/>
    <x v="1"/>
    <s v="United States"/>
    <s v="Foods"/>
    <s v="Key Kix Kandy"/>
    <n v="286.43407952358757"/>
    <n v="14164.855490852737"/>
  </r>
  <r>
    <x v="1"/>
    <x v="3"/>
    <s v="Other Asia"/>
    <s v="Foods"/>
    <s v="HotNamHold Spicy Candy"/>
    <n v="200.25895814251271"/>
    <n v="7986.2931380756527"/>
  </r>
  <r>
    <x v="0"/>
    <x v="0"/>
    <s v="Italy"/>
    <s v="Visual"/>
    <s v="uLight Flashlight"/>
    <n v="443.16519299582069"/>
    <n v="14365.027025231211"/>
  </r>
  <r>
    <x v="0"/>
    <x v="1"/>
    <s v="Mexico"/>
    <s v="Adhesive"/>
    <s v="Indigo Strong Tape"/>
    <n v="578.75663293361868"/>
    <n v="5796.0794884050301"/>
  </r>
  <r>
    <x v="0"/>
    <x v="1"/>
    <s v="Brazil"/>
    <s v="Visual"/>
    <s v="Sun Danron Sunglasses"/>
    <n v="147.75019269964105"/>
    <n v="10136.207210016437"/>
  </r>
  <r>
    <x v="0"/>
    <x v="4"/>
    <s v="Egypt"/>
    <s v="Foods"/>
    <s v="Key Kix Kandy"/>
    <n v="192.51223138053319"/>
    <n v="15693.247106552235"/>
  </r>
  <r>
    <x v="0"/>
    <x v="3"/>
    <s v="India"/>
    <s v="Foods"/>
    <s v="HotNamHold Spicy Candy"/>
    <n v="9.4439049424181576"/>
    <n v="9850.4347465204773"/>
  </r>
  <r>
    <x v="0"/>
    <x v="4"/>
    <s v="Kenya"/>
    <s v="Visual"/>
    <s v="uLight Flashlight"/>
    <n v="126.86532997904578"/>
    <n v="9120.0358455826063"/>
  </r>
  <r>
    <x v="0"/>
    <x v="4"/>
    <s v="Morocco"/>
    <s v="Adhesive"/>
    <s v="Indigo Strong Tape"/>
    <n v="188.77172302090912"/>
    <n v="377.2000136814313"/>
  </r>
  <r>
    <x v="0"/>
    <x v="4"/>
    <s v="Other Africa"/>
    <s v="Visual"/>
    <s v="Sun Danron Sunglasses"/>
    <n v="124.78093684167106"/>
    <n v="10918.274058436509"/>
  </r>
  <r>
    <x v="0"/>
    <x v="3"/>
    <s v="Other Asia"/>
    <s v="Foods"/>
    <s v="Key Kix Kandy"/>
    <n v="101.46391465787019"/>
    <n v="978.59865961072501"/>
  </r>
  <r>
    <x v="0"/>
    <x v="1"/>
    <s v="Other LatAm"/>
    <s v="Foods"/>
    <s v="HotNamHold Spicy Candy"/>
    <n v="160.59867908788874"/>
    <n v="10671.851191989845"/>
  </r>
  <r>
    <x v="0"/>
    <x v="3"/>
    <s v="India"/>
    <s v="Adhesive"/>
    <s v="Gravetom Glue"/>
    <n v="505.96925936406478"/>
    <n v="3822.5725097727263"/>
  </r>
  <r>
    <x v="0"/>
    <x v="0"/>
    <s v="Other Europe"/>
    <s v="Visual"/>
    <s v="uLight Flashlight"/>
    <n v="37.489937283680774"/>
    <n v="1543.4222514741123"/>
  </r>
  <r>
    <x v="0"/>
    <x v="1"/>
    <s v="Peru"/>
    <s v="Adhesive"/>
    <s v="Indigo Strong Tape"/>
    <n v="111.03494798908287"/>
    <n v="6284.4417919986881"/>
  </r>
  <r>
    <x v="2"/>
    <x v="0"/>
    <s v="France"/>
    <s v="Visual"/>
    <s v="Sun Danron Sunglasses"/>
    <n v="515.99691236806393"/>
    <n v="8935.7819656267566"/>
  </r>
  <r>
    <x v="2"/>
    <x v="2"/>
    <s v="Japan"/>
    <s v="Visual"/>
    <s v="uLight Flashlight"/>
    <n v="491.14138284548972"/>
    <n v="11292.779963018438"/>
  </r>
  <r>
    <x v="2"/>
    <x v="1"/>
    <s v="United States"/>
    <s v="Adhesive"/>
    <s v="Indigo Strong Tape"/>
    <n v="11.430305238172878"/>
    <n v="7050.3625145697697"/>
  </r>
  <r>
    <x v="3"/>
    <x v="1"/>
    <s v="Canada"/>
    <s v="Visual"/>
    <s v="Sun Danron Sunglasses"/>
    <n v="453.91239795389993"/>
    <n v="3833.4357194108379"/>
  </r>
  <r>
    <x v="3"/>
    <x v="0"/>
    <s v="France"/>
    <s v="Foods"/>
    <s v="Key Kix Kandy"/>
    <n v="1153.061186397008"/>
    <n v="8828.3733503805852"/>
  </r>
  <r>
    <x v="2"/>
    <x v="3"/>
    <s v="Other Asia"/>
    <s v="Foods"/>
    <s v="HotNamHold Spicy Candy"/>
    <n v="637.61054095866712"/>
    <n v="8130.4847458280638"/>
  </r>
  <r>
    <x v="1"/>
    <x v="0"/>
    <s v="Italy"/>
    <s v="Adhesive"/>
    <s v="Gravetom Glue"/>
    <n v="317.11194750514551"/>
    <n v="5029.4088858987498"/>
  </r>
  <r>
    <x v="1"/>
    <x v="1"/>
    <s v="Mexico"/>
    <s v="Visual"/>
    <s v="uLight Flashlight"/>
    <n v="99.820243344765913"/>
    <n v="7727.7120245026981"/>
  </r>
  <r>
    <x v="1"/>
    <x v="1"/>
    <s v="Brazil"/>
    <s v="Adhesive"/>
    <s v="Indigo Strong Tape"/>
    <n v="62.346637087830459"/>
    <n v="13842.658324342192"/>
  </r>
  <r>
    <x v="1"/>
    <x v="4"/>
    <s v="Egypt"/>
    <s v="Visual"/>
    <s v="Sun Danron Sunglasses"/>
    <n v="132.35782328520145"/>
    <n v="1055.5079461017158"/>
  </r>
  <r>
    <x v="1"/>
    <x v="3"/>
    <s v="India"/>
    <s v="Foods"/>
    <s v="Key Kix Kandy"/>
    <n v="141.05705583078816"/>
    <n v="2246.4006104426517"/>
  </r>
  <r>
    <x v="1"/>
    <x v="4"/>
    <s v="Kenya"/>
    <s v="Foods"/>
    <s v="HotNamHold Spicy Candy"/>
    <n v="9.460514280362986"/>
    <n v="13096.788890616444"/>
  </r>
  <r>
    <x v="1"/>
    <x v="4"/>
    <s v="Morocco"/>
    <s v="Adhesive"/>
    <s v="Gravetom Glue"/>
    <n v="73.410015376248339"/>
    <n v="6880.1938965938461"/>
  </r>
  <r>
    <x v="1"/>
    <x v="4"/>
    <s v="Other Africa"/>
    <s v="Visual"/>
    <s v="uLight Flashlight"/>
    <n v="74.3566823326546"/>
    <n v="1019.9734514864394"/>
  </r>
  <r>
    <x v="1"/>
    <x v="3"/>
    <s v="Other Asia"/>
    <s v="Adhesive"/>
    <s v="Indigo Strong Tape"/>
    <n v="146.75435734188795"/>
    <n v="2568.1991479739372"/>
  </r>
  <r>
    <x v="1"/>
    <x v="1"/>
    <s v="Other LatAm"/>
    <s v="Visual"/>
    <s v="Sun Danron Sunglasses"/>
    <n v="107.47524414691725"/>
    <n v="13636.672184788913"/>
  </r>
  <r>
    <x v="1"/>
    <x v="3"/>
    <s v="India"/>
    <s v="Visual"/>
    <s v="uLight Flashlight"/>
    <n v="682.24829661703552"/>
    <n v="9844.0367218542087"/>
  </r>
  <r>
    <x v="1"/>
    <x v="0"/>
    <s v="Other Europe"/>
    <s v="Adhesive"/>
    <s v="Indigo Strong Tape"/>
    <n v="132.98986813606462"/>
    <n v="5200.6277437857352"/>
  </r>
  <r>
    <x v="1"/>
    <x v="1"/>
    <s v="Peru"/>
    <s v="Visual"/>
    <s v="Sun Danron Sunglasses"/>
    <n v="475.08168933245543"/>
    <n v="8934.8651527801121"/>
  </r>
  <r>
    <x v="3"/>
    <x v="0"/>
    <s v="France"/>
    <s v="Foods"/>
    <s v="Key Kix Kandy"/>
    <n v="295.07025817438262"/>
    <n v="13222.638112529556"/>
  </r>
  <r>
    <x v="3"/>
    <x v="2"/>
    <s v="Japan"/>
    <s v="Visual"/>
    <s v="uLight Flashlight"/>
    <n v="473.3741750505942"/>
    <n v="2937.7659739259971"/>
  </r>
  <r>
    <x v="3"/>
    <x v="1"/>
    <s v="United States"/>
    <s v="Adhesive"/>
    <s v="Indigo Strong Tape"/>
    <n v="53.257538027173723"/>
    <n v="13818.003022831395"/>
  </r>
  <r>
    <x v="0"/>
    <x v="1"/>
    <s v="Brazil"/>
    <s v="Visual"/>
    <s v="Sun Danron Sunglasses"/>
    <n v="1083.24936816025"/>
    <n v="9455.4543217993341"/>
  </r>
  <r>
    <x v="0"/>
    <x v="1"/>
    <s v="Mexico"/>
    <s v="Foods"/>
    <s v="Key Kix Kandy"/>
    <n v="401.41279189410852"/>
    <n v="416.8954830893199"/>
  </r>
  <r>
    <x v="0"/>
    <x v="0"/>
    <s v="Italy"/>
    <s v="Foods"/>
    <s v="HotNamHold Spicy Candy"/>
    <n v="123.5128624052777"/>
    <n v="13212.901392656931"/>
  </r>
  <r>
    <x v="0"/>
    <x v="1"/>
    <s v="Brazil"/>
    <s v="Visual"/>
    <s v="uLight Flashlight"/>
    <n v="14.557729236912564"/>
    <n v="9610.3287041596559"/>
  </r>
  <r>
    <x v="0"/>
    <x v="0"/>
    <s v="France"/>
    <s v="Adhesive"/>
    <s v="Indigo Strong Tape"/>
    <n v="551.1025343736037"/>
    <n v="289.89684699554346"/>
  </r>
  <r>
    <x v="0"/>
    <x v="3"/>
    <s v="Other Asia"/>
    <s v="Visual"/>
    <s v="Sun Danron Sunglasses"/>
    <n v="344.40711775096133"/>
    <n v="13218.805248018725"/>
  </r>
  <r>
    <x v="3"/>
    <x v="3"/>
    <s v="Other Asia"/>
    <s v="Foods"/>
    <s v="Key Kix Kandy"/>
    <n v="465.41211916146494"/>
    <n v="4791.7778195712381"/>
  </r>
  <r>
    <x v="2"/>
    <x v="0"/>
    <s v="Italy"/>
    <s v="Foods"/>
    <s v="HotNamHold Spicy Candy"/>
    <n v="228.38632134862564"/>
    <n v="10153.047683764267"/>
  </r>
  <r>
    <x v="2"/>
    <x v="1"/>
    <s v="Mexico"/>
    <s v="Visual"/>
    <s v="uLight Flashlight"/>
    <n v="476.71286866998344"/>
    <n v="25.940970282652415"/>
  </r>
  <r>
    <x v="2"/>
    <x v="1"/>
    <s v="Brazil"/>
    <s v="Adhesive"/>
    <s v="Indigo Strong Tape"/>
    <n v="60.006885987968417"/>
    <n v="13007.457296160055"/>
  </r>
  <r>
    <x v="2"/>
    <x v="4"/>
    <s v="Egypt"/>
    <s v="Visual"/>
    <s v="Sun Danron Sunglasses"/>
    <n v="177.07468394510215"/>
    <n v="1894.6607705152019"/>
  </r>
  <r>
    <x v="2"/>
    <x v="3"/>
    <s v="India"/>
    <s v="Foods"/>
    <s v="Key Kix Kandy"/>
    <n v="41.404743835119007"/>
    <n v="5489.0492617616928"/>
  </r>
  <r>
    <x v="2"/>
    <x v="4"/>
    <s v="Kenya"/>
    <s v="Foods"/>
    <s v="HotNamHold Spicy Candy"/>
    <n v="135.36520636735077"/>
    <n v="2816.897318928568"/>
  </r>
  <r>
    <x v="2"/>
    <x v="4"/>
    <s v="Morocco"/>
    <s v="Adhesive"/>
    <s v="Gravetom Glue"/>
    <n v="109.54999611950029"/>
    <n v="9670.0107742224191"/>
  </r>
  <r>
    <x v="2"/>
    <x v="4"/>
    <s v="Other Africa"/>
    <s v="Visual"/>
    <s v="uLight Flashlight"/>
    <n v="153.28026822226093"/>
    <n v="6601.5227288861879"/>
  </r>
  <r>
    <x v="2"/>
    <x v="3"/>
    <s v="Other Asia"/>
    <s v="Adhesive"/>
    <s v="Indigo Strong Tape"/>
    <n v="190.3396446883562"/>
    <n v="13048.442732589137"/>
  </r>
  <r>
    <x v="2"/>
    <x v="1"/>
    <s v="Other LatAm"/>
    <s v="Visual"/>
    <s v="Sun Danron Sunglasses"/>
    <n v="140.94887146402471"/>
    <n v="6079.1183975343301"/>
  </r>
  <r>
    <x v="2"/>
    <x v="3"/>
    <s v="India"/>
    <s v="Visual"/>
    <s v="uLight Flashlight"/>
    <n v="307.74413751496468"/>
    <n v="12726.092698070488"/>
  </r>
  <r>
    <x v="2"/>
    <x v="0"/>
    <s v="Other Europe"/>
    <s v="Adhesive"/>
    <s v="Indigo Strong Tape"/>
    <n v="430.24284022903885"/>
    <n v="2260.7915389861901"/>
  </r>
  <r>
    <x v="2"/>
    <x v="1"/>
    <s v="Peru"/>
    <s v="Visual"/>
    <s v="Sun Danron Sunglasses"/>
    <n v="305.15181540158665"/>
    <n v="12762.332873619329"/>
  </r>
  <r>
    <x v="1"/>
    <x v="1"/>
    <s v="Brazil"/>
    <s v="Foods"/>
    <s v="Key Kix Kandy"/>
    <n v="914.85485953089665"/>
    <n v="12296.899145573239"/>
  </r>
  <r>
    <x v="1"/>
    <x v="1"/>
    <s v="Mexico"/>
    <s v="Foods"/>
    <s v="HotNamHold Spicy Candy"/>
    <n v="112.42690640465298"/>
    <n v="12790.696796864257"/>
  </r>
  <r>
    <x v="0"/>
    <x v="1"/>
    <s v="Argentina"/>
    <s v="Adhesive"/>
    <s v="Gravetom Glue"/>
    <n v="328.35768574295798"/>
    <n v="404.72836964763701"/>
  </r>
  <r>
    <x v="0"/>
    <x v="1"/>
    <s v="Other LatAm"/>
    <s v="Visual"/>
    <s v="uLight Flashlight"/>
    <n v="257.2764392796671"/>
    <n v="5193.6245576362126"/>
  </r>
  <r>
    <x v="1"/>
    <x v="0"/>
    <s v="Italy"/>
    <s v="Adhesive"/>
    <s v="Indigo Strong Tape"/>
    <n v="406.56409160264957"/>
    <n v="10753.261399383591"/>
  </r>
  <r>
    <x v="1"/>
    <x v="1"/>
    <s v="Brazil"/>
    <s v="Visual"/>
    <s v="Sun Danron Sunglasses"/>
    <n v="470.95103233987174"/>
    <n v="8344.738160696199"/>
  </r>
  <r>
    <x v="1"/>
    <x v="0"/>
    <s v="France"/>
    <s v="Foods"/>
    <s v="Key Kix Kandy"/>
    <n v="599.11574259294866"/>
    <n v="6826.4499990117765"/>
  </r>
  <r>
    <x v="1"/>
    <x v="3"/>
    <s v="Other Asia"/>
    <s v="Foods"/>
    <s v="HotNamHold Spicy Candy"/>
    <n v="477.10309231551946"/>
    <n v="2926.0358495147029"/>
  </r>
  <r>
    <x v="3"/>
    <x v="0"/>
    <s v="Italy"/>
    <s v="Adhesive"/>
    <s v="Gravetom Glue"/>
    <n v="596.56449921394596"/>
    <n v="90.452416889260348"/>
  </r>
  <r>
    <x v="3"/>
    <x v="1"/>
    <s v="Mexico"/>
    <s v="Visual"/>
    <s v="uLight Flashlight"/>
    <n v="39.7695593384924"/>
    <n v="575.24161341823128"/>
  </r>
  <r>
    <x v="3"/>
    <x v="1"/>
    <s v="Brazil"/>
    <s v="Adhesive"/>
    <s v="Indigo Strong Tape"/>
    <n v="175.41701556219778"/>
    <n v="7705.1415138238444"/>
  </r>
  <r>
    <x v="3"/>
    <x v="4"/>
    <s v="Egypt"/>
    <s v="Visual"/>
    <s v="Sun Danron Sunglasses"/>
    <n v="19.63395264428982"/>
    <n v="3404.5752981760943"/>
  </r>
  <r>
    <x v="3"/>
    <x v="3"/>
    <s v="India"/>
    <s v="Visual"/>
    <s v="uLight Flashlight"/>
    <n v="171.63274164940958"/>
    <n v="5989.9539610850006"/>
  </r>
  <r>
    <x v="3"/>
    <x v="4"/>
    <s v="Kenya"/>
    <s v="Adhesive"/>
    <s v="Indigo Strong Tape"/>
    <n v="60.449480383249465"/>
    <n v="11720.782204102748"/>
  </r>
  <r>
    <x v="3"/>
    <x v="4"/>
    <s v="Morocco"/>
    <s v="Visual"/>
    <s v="Sun Danron Sunglasses"/>
    <n v="129.71280241235945"/>
    <n v="11131.013858914434"/>
  </r>
  <r>
    <x v="3"/>
    <x v="4"/>
    <s v="Other Africa"/>
    <s v="Foods"/>
    <s v="Key Kix Kandy"/>
    <n v="147.23312837923004"/>
    <n v="10473.83514067185"/>
  </r>
  <r>
    <x v="3"/>
    <x v="3"/>
    <s v="Other Asia"/>
    <s v="Visual"/>
    <s v="uLight Flashlight"/>
    <n v="75.305228930119483"/>
    <n v="5946.327598912254"/>
  </r>
  <r>
    <x v="3"/>
    <x v="1"/>
    <s v="Other LatAm"/>
    <s v="Adhesive"/>
    <s v="Indigo Strong Tape"/>
    <n v="84.260674312099582"/>
    <n v="1397.6576212449108"/>
  </r>
  <r>
    <x v="3"/>
    <x v="3"/>
    <s v="India"/>
    <s v="Visual"/>
    <s v="Sun Danron Sunglasses"/>
    <n v="708.32972351854551"/>
    <n v="9519.1660679062516"/>
  </r>
  <r>
    <x v="3"/>
    <x v="0"/>
    <s v="Other Europe"/>
    <s v="Foods"/>
    <s v="Key Kix Kandy"/>
    <n v="177.74450397555484"/>
    <n v="8135.8095470195422"/>
  </r>
  <r>
    <x v="3"/>
    <x v="1"/>
    <s v="Peru"/>
    <s v="Foods"/>
    <s v="HotNamHold Spicy Candy"/>
    <n v="178.04307274536768"/>
    <n v="342.33723517688156"/>
  </r>
  <r>
    <x v="2"/>
    <x v="1"/>
    <s v="Brazil"/>
    <s v="Visual"/>
    <s v="uLight Flashlight"/>
    <n v="126.74592811963521"/>
    <n v="851.21623038635335"/>
  </r>
  <r>
    <x v="2"/>
    <x v="1"/>
    <s v="Mexico"/>
    <s v="Adhesive"/>
    <s v="Indigo Strong Tape"/>
    <n v="1136.8829353697947"/>
    <n v="10467.189096368587"/>
  </r>
  <r>
    <x v="1"/>
    <x v="1"/>
    <s v="Argentina"/>
    <s v="Visual"/>
    <s v="Sun Danron Sunglasses"/>
    <n v="30.061587903401232"/>
    <n v="5873.9705508057959"/>
  </r>
  <r>
    <x v="1"/>
    <x v="1"/>
    <s v="Other LatAm"/>
    <s v="Foods"/>
    <s v="Key Kix Kandy"/>
    <n v="357.13447849775548"/>
    <n v="6647.9983463818025"/>
  </r>
  <r>
    <x v="2"/>
    <x v="0"/>
    <s v="Italy"/>
    <s v="Foods"/>
    <s v="HotNamHold Spicy Candy"/>
    <n v="342.04668194133774"/>
    <n v="469.11257733935236"/>
  </r>
  <r>
    <x v="0"/>
    <x v="0"/>
    <s v="Other Europe"/>
    <s v="Visual"/>
    <s v="uLight Flashlight"/>
    <n v="336.41608386460575"/>
    <n v="33.43295840159044"/>
  </r>
  <r>
    <x v="2"/>
    <x v="1"/>
    <s v="Brazil"/>
    <s v="Adhesive"/>
    <s v="Indigo Strong Tape"/>
    <n v="528.11013736954919"/>
    <n v="6245.159485421158"/>
  </r>
  <r>
    <x v="2"/>
    <x v="0"/>
    <s v="France"/>
    <s v="Visual"/>
    <s v="Sun Danron Sunglasses"/>
    <n v="405.77083469179343"/>
    <n v="11008.525052399229"/>
  </r>
  <r>
    <x v="2"/>
    <x v="3"/>
    <s v="Other Asia"/>
    <s v="Foods"/>
    <s v="Key Kix Kandy"/>
    <n v="253.46437681964744"/>
    <n v="3780.1318999609903"/>
  </r>
  <r>
    <x v="0"/>
    <x v="2"/>
    <s v="Japan"/>
    <s v="Foods"/>
    <s v="HotNamHold Spicy Candy"/>
    <n v="228.38138280058047"/>
    <n v="10611.400151296402"/>
  </r>
  <r>
    <x v="0"/>
    <x v="1"/>
    <s v="Other LatAm"/>
    <s v="Adhesive"/>
    <s v="Gravetom Glue"/>
    <n v="303.50809562442009"/>
    <n v="3664.0951958514052"/>
  </r>
  <r>
    <x v="0"/>
    <x v="1"/>
    <s v="Other NorthAm"/>
    <s v="Visual"/>
    <s v="uLight Flashlight"/>
    <n v="583.05033486685716"/>
    <n v="8409.127337973041"/>
  </r>
  <r>
    <x v="3"/>
    <x v="1"/>
    <s v="Brazil"/>
    <s v="Adhesive"/>
    <s v="Indigo Strong Tape"/>
    <n v="147.7326996919146"/>
    <n v="3618.5127623984299"/>
  </r>
  <r>
    <x v="3"/>
    <x v="1"/>
    <s v="Mexico"/>
    <s v="Visual"/>
    <s v="Sun Danron Sunglasses"/>
    <n v="547.36182621782064"/>
    <n v="8318.2143589832231"/>
  </r>
  <r>
    <x v="2"/>
    <x v="1"/>
    <s v="Argentina"/>
    <s v="Visual"/>
    <s v="uLight Flashlight"/>
    <n v="247.57825180895452"/>
    <n v="737.31234162769397"/>
  </r>
  <r>
    <x v="2"/>
    <x v="1"/>
    <s v="Other LatAm"/>
    <s v="Visual"/>
    <s v="uLight Flashlight"/>
    <n v="189.2439901115722"/>
    <n v="8228.9278239783016"/>
  </r>
  <r>
    <x v="3"/>
    <x v="0"/>
    <s v="Italy"/>
    <s v="Adhesive"/>
    <s v="Indigo Strong Tape"/>
    <n v="106.33555967215216"/>
    <n v="6058.3006421213668"/>
  </r>
  <r>
    <x v="1"/>
    <x v="0"/>
    <s v="Other Europe"/>
    <s v="Visual"/>
    <s v="Sun Danron Sunglasses"/>
    <n v="323.03305832647311"/>
    <n v="284.50987418266777"/>
  </r>
  <r>
    <x v="3"/>
    <x v="1"/>
    <s v="Brazil"/>
    <s v="Foods"/>
    <s v="Key Kix Kandy"/>
    <n v="29.034111699183995"/>
    <n v="3045.8847066913459"/>
  </r>
  <r>
    <x v="3"/>
    <x v="0"/>
    <s v="France"/>
    <s v="Foods"/>
    <s v="HotNamHold Spicy Candy"/>
    <n v="508.39274823265441"/>
    <n v="6697.7537093356286"/>
  </r>
  <r>
    <x v="3"/>
    <x v="3"/>
    <s v="Other Asia"/>
    <s v="Adhesive"/>
    <s v="Gravetom Glue"/>
    <n v="478.16702282489132"/>
    <n v="4667.3272896402268"/>
  </r>
  <r>
    <x v="1"/>
    <x v="2"/>
    <s v="Japan"/>
    <s v="Visual"/>
    <s v="uLight Flashlight"/>
    <n v="526.48758736322634"/>
    <n v="7539.6970780337579"/>
  </r>
  <r>
    <x v="1"/>
    <x v="1"/>
    <s v="Other LatAm"/>
    <s v="Adhesive"/>
    <s v="Indigo Strong Tape"/>
    <n v="352.60917306513875"/>
    <n v="6756.1239084010449"/>
  </r>
  <r>
    <x v="1"/>
    <x v="1"/>
    <s v="Other NorthAm"/>
    <s v="Visual"/>
    <s v="Sun Danron Sunglasses"/>
    <n v="545.7150088986964"/>
    <n v="3681.1289096807304"/>
  </r>
  <r>
    <x v="0"/>
    <x v="1"/>
    <s v="Caribbean"/>
    <s v="Visual"/>
    <s v="uLight Flashlight"/>
    <n v="284.16334836529131"/>
    <n v="6872.178995941249"/>
  </r>
  <r>
    <x v="3"/>
    <x v="1"/>
    <s v="Argentina"/>
    <s v="Adhesive"/>
    <s v="Indigo Strong Tape"/>
    <n v="193.58328499110939"/>
    <n v="897.95705214104964"/>
  </r>
  <r>
    <x v="3"/>
    <x v="1"/>
    <s v="Other LatAm"/>
    <s v="Visual"/>
    <s v="Sun Danron Sunglasses"/>
    <n v="176.28557826101314"/>
    <n v="3593.9296951145152"/>
  </r>
  <r>
    <x v="0"/>
    <x v="1"/>
    <s v="Mexico"/>
    <s v="Foods"/>
    <s v="Key Kix Kandy"/>
    <n v="33.035501676567947"/>
    <n v="5395.8742635935778"/>
  </r>
  <r>
    <x v="2"/>
    <x v="0"/>
    <s v="Other Europe"/>
    <s v="Visual"/>
    <s v="uLight Flashlight"/>
    <n v="358.13224445837477"/>
    <n v="1154.781165210341"/>
  </r>
  <r>
    <x v="2"/>
    <x v="2"/>
    <s v="Japan"/>
    <s v="Adhesive"/>
    <s v="Indigo Strong Tape"/>
    <n v="627.69316506310133"/>
    <n v="2090.6829876329539"/>
  </r>
  <r>
    <x v="2"/>
    <x v="1"/>
    <s v="Other LatAm"/>
    <s v="Visual"/>
    <s v="Sun Danron Sunglasses"/>
    <n v="552.36757444290561"/>
    <n v="6671.8764437691107"/>
  </r>
  <r>
    <x v="2"/>
    <x v="1"/>
    <s v="Other NorthAm"/>
    <s v="Foods"/>
    <s v="Key Kix Kandy"/>
    <n v="685.06273787934333"/>
    <n v="3051.5842588649775"/>
  </r>
  <r>
    <x v="0"/>
    <x v="3"/>
    <s v="Australia"/>
    <s v="Foods"/>
    <s v="HotNamHold Spicy Candy"/>
    <n v="65.689539526283625"/>
    <n v="8378.5154815526766"/>
  </r>
  <r>
    <x v="0"/>
    <x v="0"/>
    <s v="Germany"/>
    <s v="Visual"/>
    <s v="uLight Flashlight"/>
    <n v="122.61462036840385"/>
    <n v="5590.8133863384137"/>
  </r>
  <r>
    <x v="0"/>
    <x v="1"/>
    <s v="Other LatAm"/>
    <s v="Adhesive"/>
    <s v="Indigo Strong Tape"/>
    <n v="201.43277203278558"/>
    <n v="1833.9889581129682"/>
  </r>
  <r>
    <x v="1"/>
    <x v="1"/>
    <s v="Caribbean"/>
    <s v="Visual"/>
    <s v="Sun Danron Sunglasses"/>
    <n v="292.42373718825547"/>
    <n v="3184.3062932246357"/>
  </r>
  <r>
    <x v="1"/>
    <x v="1"/>
    <s v="Mexico"/>
    <s v="Foods"/>
    <s v="Key Kix Kandy"/>
    <n v="109.11822581283559"/>
    <n v="711.87817623643787"/>
  </r>
  <r>
    <x v="3"/>
    <x v="0"/>
    <s v="Other Europe"/>
    <s v="Foods"/>
    <s v="HotNamHold Spicy Candy"/>
    <n v="289.63928710436448"/>
    <n v="4361.292145698877"/>
  </r>
  <r>
    <x v="3"/>
    <x v="2"/>
    <s v="Japan"/>
    <s v="Visual"/>
    <s v="uLight Flashlight"/>
    <n v="351.78183303432888"/>
    <n v="6019.8716231969956"/>
  </r>
  <r>
    <x v="3"/>
    <x v="1"/>
    <s v="Other LatAm"/>
    <s v="Adhesive"/>
    <s v="Indigo Strong Tape"/>
    <n v="261.41105426650029"/>
    <n v="8159.6697891725489"/>
  </r>
  <r>
    <x v="3"/>
    <x v="1"/>
    <s v="Other NorthAm"/>
    <s v="Visual"/>
    <s v="Sun Danron Sunglasses"/>
    <n v="436.43274734424722"/>
    <n v="5605.0398574613428"/>
  </r>
  <r>
    <x v="0"/>
    <x v="1"/>
    <s v="Argentina"/>
    <s v="Foods"/>
    <s v="Key Kix Kandy"/>
    <n v="299.41675540749202"/>
    <n v="2365.6600583461113"/>
  </r>
  <r>
    <x v="0"/>
    <x v="1"/>
    <s v="Chile"/>
    <s v="Foods"/>
    <s v="HotNamHold Spicy Candy"/>
    <n v="626.1830075753096"/>
    <n v="5838.9739129339432"/>
  </r>
  <r>
    <x v="0"/>
    <x v="0"/>
    <s v="Other Europe"/>
    <s v="Adhesive"/>
    <s v="Gravetom Glue"/>
    <n v="613.72968777841379"/>
    <n v="1157.4503309799184"/>
  </r>
  <r>
    <x v="0"/>
    <x v="1"/>
    <s v="Other LatAm"/>
    <s v="Visual"/>
    <s v="uLight Flashlight"/>
    <n v="575.66568915335665"/>
    <n v="7829.6073878624156"/>
  </r>
  <r>
    <x v="0"/>
    <x v="3"/>
    <s v="India"/>
    <s v="Adhesive"/>
    <s v="Indigo Strong Tape"/>
    <n v="534.32303871213662"/>
    <n v="7372.7630392604624"/>
  </r>
  <r>
    <x v="1"/>
    <x v="3"/>
    <s v="Australia"/>
    <s v="Visual"/>
    <s v="Sun Danron Sunglasses"/>
    <n v="311.75330707774265"/>
    <n v="5550.6972059102663"/>
  </r>
  <r>
    <x v="1"/>
    <x v="0"/>
    <s v="Germany"/>
    <s v="Visual"/>
    <s v="uLight Flashlight"/>
    <n v="20.177209458779544"/>
    <n v="3088.197955993026"/>
  </r>
  <r>
    <x v="1"/>
    <x v="1"/>
    <s v="Other LatAm"/>
    <s v="Adhesive"/>
    <s v="Indigo Strong Tape"/>
    <n v="83.449096524782362"/>
    <n v="239.05650359900392"/>
  </r>
  <r>
    <x v="2"/>
    <x v="1"/>
    <s v="Caribbean"/>
    <s v="Visual"/>
    <s v="Sun Danron Sunglasses"/>
    <n v="101.94461951814446"/>
    <n v="3352.8157119625757"/>
  </r>
  <r>
    <x v="0"/>
    <x v="1"/>
    <s v="Chile"/>
    <s v="Foods"/>
    <s v="Key Kix Kandy"/>
    <n v="79.511567882400414"/>
    <n v="7837.8817700649961"/>
  </r>
  <r>
    <x v="0"/>
    <x v="4"/>
    <s v="South Africa"/>
    <s v="Visual"/>
    <s v="uLight Flashlight"/>
    <n v="26.110460952713765"/>
    <n v="6785.9322237927699"/>
  </r>
  <r>
    <x v="0"/>
    <x v="0"/>
    <s v="France"/>
    <s v="Adhesive"/>
    <s v="Indigo Strong Tape"/>
    <n v="290.3622534009628"/>
    <n v="2336.9186767158681"/>
  </r>
  <r>
    <x v="0"/>
    <x v="2"/>
    <s v="Japan"/>
    <s v="Visual"/>
    <s v="Sun Danron Sunglasses"/>
    <n v="310.04253869323293"/>
    <n v="5779.6619961445685"/>
  </r>
  <r>
    <x v="0"/>
    <x v="1"/>
    <s v="Other LatAm"/>
    <s v="Foods"/>
    <s v="Key Kix Kandy"/>
    <n v="55.56738533450698"/>
    <n v="763.10215424018679"/>
  </r>
  <r>
    <x v="2"/>
    <x v="1"/>
    <s v="Mexico"/>
    <s v="Foods"/>
    <s v="HotNamHold Spicy Candy"/>
    <n v="63.041635057925305"/>
    <n v="4581.9206947094244"/>
  </r>
  <r>
    <x v="1"/>
    <x v="1"/>
    <s v="Argentina"/>
    <s v="Adhesive"/>
    <s v="Gravetom Glue"/>
    <n v="64.610397347041726"/>
    <n v="1493.3578108788024"/>
  </r>
  <r>
    <x v="1"/>
    <x v="1"/>
    <s v="Chile"/>
    <s v="Visual"/>
    <s v="uLight Flashlight"/>
    <n v="25.17213901373907"/>
    <n v="7058.2035103536327"/>
  </r>
  <r>
    <x v="1"/>
    <x v="0"/>
    <s v="Other Europe"/>
    <s v="Adhesive"/>
    <s v="Indigo Strong Tape"/>
    <n v="383.35364845879667"/>
    <n v="2321.1357177623613"/>
  </r>
  <r>
    <x v="1"/>
    <x v="1"/>
    <s v="Other LatAm"/>
    <s v="Visual"/>
    <s v="Sun Danron Sunglasses"/>
    <n v="511.62238476908897"/>
    <n v="7611.2888436386347"/>
  </r>
  <r>
    <x v="1"/>
    <x v="3"/>
    <s v="India"/>
    <s v="Visual"/>
    <s v="uLight Flashlight"/>
    <n v="112.22543665536193"/>
    <n v="3764.431605699192"/>
  </r>
  <r>
    <x v="2"/>
    <x v="3"/>
    <s v="Australia"/>
    <s v="Adhesive"/>
    <s v="Indigo Strong Tape"/>
    <n v="194.22620642378661"/>
    <n v="5902.3503627835562"/>
  </r>
  <r>
    <x v="2"/>
    <x v="0"/>
    <s v="Germany"/>
    <s v="Visual"/>
    <s v="Sun Danron Sunglasses"/>
    <n v="25.544077128142817"/>
    <n v="2625.3023133198049"/>
  </r>
  <r>
    <x v="2"/>
    <x v="1"/>
    <s v="Other LatAm"/>
    <s v="Foods"/>
    <s v="Key Kix Kandy"/>
    <n v="212.42067068596953"/>
    <n v="2998.9450725316701"/>
  </r>
  <r>
    <x v="3"/>
    <x v="1"/>
    <s v="Caribbean"/>
    <s v="Visual"/>
    <s v="uLight Flashlight"/>
    <n v="241.06613008943896"/>
    <n v="157.29516035133656"/>
  </r>
  <r>
    <x v="1"/>
    <x v="1"/>
    <s v="Chile"/>
    <s v="Adhesive"/>
    <s v="Indigo Strong Tape"/>
    <n v="13.325243580402457"/>
    <n v="4010.1537798700156"/>
  </r>
  <r>
    <x v="1"/>
    <x v="4"/>
    <s v="South Africa"/>
    <s v="Visual"/>
    <s v="Sun Danron Sunglasses"/>
    <n v="84.449326540106995"/>
    <n v="6195.5423586434335"/>
  </r>
  <r>
    <x v="1"/>
    <x v="0"/>
    <s v="France"/>
    <s v="Foods"/>
    <s v="Key Kix Kandy"/>
    <n v="234.80758542355034"/>
    <n v="614.7885026215954"/>
  </r>
  <r>
    <x v="1"/>
    <x v="2"/>
    <s v="Japan"/>
    <s v="Foods"/>
    <s v="HotNamHold Spicy Candy"/>
    <n v="155.7303504236188"/>
    <n v="5555.5543728232442"/>
  </r>
  <r>
    <x v="1"/>
    <x v="1"/>
    <s v="Other LatAm"/>
    <s v="Visual"/>
    <s v="uLight Flashlight"/>
    <n v="276.40441168623511"/>
    <n v="5043.7722044086277"/>
  </r>
  <r>
    <x v="3"/>
    <x v="1"/>
    <s v="Mexico"/>
    <s v="Adhesive"/>
    <s v="Indigo Strong Tape"/>
    <n v="246.64255048592167"/>
    <n v="4428.670505277214"/>
  </r>
  <r>
    <x v="0"/>
    <x v="3"/>
    <s v="Australia"/>
    <s v="Visual"/>
    <s v="Sun Danron Sunglasses"/>
    <n v="518.05678860346234"/>
    <n v="4971.0220488232153"/>
  </r>
  <r>
    <x v="0"/>
    <x v="1"/>
    <s v="Caribbean"/>
    <s v="Foods"/>
    <s v="Key Kix Kandy"/>
    <n v="465.65750028566981"/>
    <n v="5151.3769434794085"/>
  </r>
  <r>
    <x v="0"/>
    <x v="3"/>
    <s v="China"/>
    <s v="Foods"/>
    <s v="HotNamHold Spicy Candy"/>
    <n v="92.779079130195896"/>
    <n v="3483.9573007651779"/>
  </r>
  <r>
    <x v="0"/>
    <x v="1"/>
    <s v="Peru"/>
    <s v="Visual"/>
    <s v="uLight Flashlight"/>
    <n v="575.06271704460232"/>
    <n v="6877.1957152624964"/>
  </r>
  <r>
    <x v="2"/>
    <x v="1"/>
    <s v="Argentina"/>
    <s v="Adhesive"/>
    <s v="Indigo Strong Tape"/>
    <n v="489.73741066911316"/>
    <n v="2310.0152945623777"/>
  </r>
  <r>
    <x v="2"/>
    <x v="1"/>
    <s v="Chile"/>
    <s v="Visual"/>
    <s v="Sun Danron Sunglasses"/>
    <n v="648.00734045647914"/>
    <n v="3683.3559365475157"/>
  </r>
  <r>
    <x v="2"/>
    <x v="0"/>
    <s v="Other Europe"/>
    <s v="Foods"/>
    <s v="Key Kix Kandy"/>
    <n v="344.28092187517905"/>
    <n v="4526.1538727461411"/>
  </r>
  <r>
    <x v="2"/>
    <x v="1"/>
    <s v="Other LatAm"/>
    <s v="Foods"/>
    <s v="HotNamHold Spicy Candy"/>
    <n v="597.06232027647275"/>
    <n v="2855.6154762082151"/>
  </r>
  <r>
    <x v="2"/>
    <x v="3"/>
    <s v="India"/>
    <s v="Adhesive"/>
    <s v="Gravetom Glue"/>
    <n v="180.00185650707863"/>
    <n v="1453.5907981268283"/>
  </r>
  <r>
    <x v="3"/>
    <x v="3"/>
    <s v="Australia"/>
    <s v="Visual"/>
    <s v="uLight Flashlight"/>
    <n v="283.56445039862592"/>
    <n v="512.6329910640361"/>
  </r>
  <r>
    <x v="3"/>
    <x v="0"/>
    <s v="Germany"/>
    <s v="Adhesive"/>
    <s v="Indigo Strong Tape"/>
    <n v="159.62986646773061"/>
    <n v="4315.9492620694591"/>
  </r>
  <r>
    <x v="3"/>
    <x v="1"/>
    <s v="Other LatAm"/>
    <s v="Visual"/>
    <s v="Sun Danron Sunglasses"/>
    <n v="173.30228161845298"/>
    <n v="4398.1115915282608"/>
  </r>
  <r>
    <x v="0"/>
    <x v="1"/>
    <s v="Chile"/>
    <s v="Visual"/>
    <s v="uLight Flashlight"/>
    <n v="51.41777682601969"/>
    <n v="5980.2352346162479"/>
  </r>
  <r>
    <x v="2"/>
    <x v="1"/>
    <s v="Chile"/>
    <s v="Adhesive"/>
    <s v="Indigo Strong Tape"/>
    <n v="7.4622743531108426"/>
    <n v="2105.9910220762958"/>
  </r>
  <r>
    <x v="2"/>
    <x v="4"/>
    <s v="South Africa"/>
    <s v="Visual"/>
    <s v="Sun Danron Sunglasses"/>
    <n v="97.275935651850887"/>
    <n v="228.74604572791668"/>
  </r>
  <r>
    <x v="2"/>
    <x v="0"/>
    <s v="France"/>
    <s v="Foods"/>
    <s v="Key Kix Kandy"/>
    <n v="13.705495035901549"/>
    <n v="810.3005101575036"/>
  </r>
  <r>
    <x v="2"/>
    <x v="2"/>
    <s v="Japan"/>
    <s v="Foods"/>
    <s v="HotNamHold Spicy Candy"/>
    <n v="393.23012081222259"/>
    <n v="3615.8502253518918"/>
  </r>
  <r>
    <x v="2"/>
    <x v="1"/>
    <s v="Other LatAm"/>
    <s v="Visual"/>
    <s v="uLight Flashlight"/>
    <n v="98.586503820115468"/>
    <n v="2506.0525043256803"/>
  </r>
  <r>
    <x v="1"/>
    <x v="3"/>
    <s v="Australia"/>
    <s v="Adhesive"/>
    <s v="Indigo Strong Tape"/>
    <n v="456.85302964466246"/>
    <n v="4856.1915165585742"/>
  </r>
  <r>
    <x v="1"/>
    <x v="1"/>
    <s v="Caribbean"/>
    <s v="Visual"/>
    <s v="Sun Danron Sunglasses"/>
    <n v="436.33936491678469"/>
    <n v="4374.1305584927613"/>
  </r>
  <r>
    <x v="1"/>
    <x v="3"/>
    <s v="China"/>
    <s v="Foods"/>
    <s v="Key Kix Kandy"/>
    <n v="115.194118915133"/>
    <n v="2522.4506862892085"/>
  </r>
  <r>
    <x v="1"/>
    <x v="1"/>
    <s v="Peru"/>
    <s v="Foods"/>
    <s v="HotNamHold Spicy Candy"/>
    <n v="583.7686028880853"/>
    <n v="271.0153976946749"/>
  </r>
  <r>
    <x v="0"/>
    <x v="3"/>
    <s v="China"/>
    <s v="Adhesive"/>
    <s v="Gravetom Glue"/>
    <n v="179.42006901521381"/>
    <n v="6266.786381235579"/>
  </r>
  <r>
    <x v="0"/>
    <x v="4"/>
    <s v="Egypt"/>
    <s v="Visual"/>
    <s v="uLight Flashlight"/>
    <n v="104.39104031029274"/>
    <n v="3537.2051460668445"/>
  </r>
  <r>
    <x v="0"/>
    <x v="4"/>
    <s v="Morocco"/>
    <s v="Adhesive"/>
    <s v="Indigo Strong Tape"/>
    <n v="78.156597415909346"/>
    <n v="5731.4710157166701"/>
  </r>
  <r>
    <x v="0"/>
    <x v="4"/>
    <s v="Other Africa"/>
    <s v="Visual"/>
    <s v="Sun Danron Sunglasses"/>
    <n v="94.711263308636262"/>
    <n v="3811.58874850953"/>
  </r>
  <r>
    <x v="0"/>
    <x v="0"/>
    <s v="United Kingdom"/>
    <s v="Visual"/>
    <s v="uLight Flashlight"/>
    <n v="167.21927504568157"/>
    <n v="936.01236802642234"/>
  </r>
  <r>
    <x v="3"/>
    <x v="1"/>
    <s v="Argentina"/>
    <s v="Adhesive"/>
    <s v="Indigo Strong Tape"/>
    <n v="314.317830089567"/>
    <n v="3962.5705662306063"/>
  </r>
  <r>
    <x v="3"/>
    <x v="1"/>
    <s v="Chile"/>
    <s v="Visual"/>
    <s v="Sun Danron Sunglasses"/>
    <n v="251.98913956528486"/>
    <n v="2126.0555117876993"/>
  </r>
  <r>
    <x v="3"/>
    <x v="0"/>
    <s v="Other Europe"/>
    <s v="Foods"/>
    <s v="Key Kix Kandy"/>
    <n v="279.55452180012799"/>
    <n v="873.50863903557183"/>
  </r>
  <r>
    <x v="3"/>
    <x v="1"/>
    <s v="Other LatAm"/>
    <s v="Visual"/>
    <s v="uLight Flashlight"/>
    <n v="201.17903920281606"/>
    <n v="6229.0942467790865"/>
  </r>
  <r>
    <x v="3"/>
    <x v="3"/>
    <s v="India"/>
    <s v="Adhesive"/>
    <s v="Indigo Strong Tape"/>
    <n v="267.39713718488929"/>
    <n v="3013.158194636726"/>
  </r>
  <r>
    <x v="1"/>
    <x v="1"/>
    <s v="Chile"/>
    <s v="Visual"/>
    <s v="Sun Danron Sunglasses"/>
    <n v="198.13230601112082"/>
    <n v="2071.0239993044697"/>
  </r>
  <r>
    <x v="3"/>
    <x v="1"/>
    <s v="Chile"/>
    <s v="Foods"/>
    <s v="Key Kix Kandy"/>
    <n v="62.613319638148823"/>
    <n v="423.95381018270928"/>
  </r>
  <r>
    <x v="3"/>
    <x v="4"/>
    <s v="South Africa"/>
    <s v="Foods"/>
    <s v="HotNamHold Spicy Candy"/>
    <n v="24.485098938839656"/>
    <n v="5640.8299009757238"/>
  </r>
  <r>
    <x v="3"/>
    <x v="0"/>
    <s v="France"/>
    <s v="Visual"/>
    <s v="uLight Flashlight"/>
    <n v="376.9401891797429"/>
    <n v="2051.9421108977085"/>
  </r>
  <r>
    <x v="3"/>
    <x v="2"/>
    <s v="Japan"/>
    <s v="Adhesive"/>
    <s v="Indigo Strong Tape"/>
    <n v="314.95595135711483"/>
    <n v="2557.5410112220998"/>
  </r>
  <r>
    <x v="3"/>
    <x v="1"/>
    <s v="Other LatAm"/>
    <s v="Visual"/>
    <s v="Sun Danron Sunglasses"/>
    <n v="122.18554032187967"/>
    <n v="18.511468079485894"/>
  </r>
  <r>
    <x v="0"/>
    <x v="3"/>
    <s v="China"/>
    <s v="Foods"/>
    <s v="Key Kix Kandy"/>
    <n v="111.5117709749029"/>
    <n v="4199.9764864522149"/>
  </r>
  <r>
    <x v="0"/>
    <x v="0"/>
    <s v="Germany"/>
    <s v="Foods"/>
    <s v="HotNamHold Spicy Candy"/>
    <n v="28.646796815974085"/>
    <n v="5802.702957234942"/>
  </r>
  <r>
    <x v="2"/>
    <x v="3"/>
    <s v="Australia"/>
    <s v="Visual"/>
    <s v="uLight Flashlight"/>
    <n v="535.35556075476052"/>
    <n v="2032.5546483824291"/>
  </r>
  <r>
    <x v="2"/>
    <x v="1"/>
    <s v="Caribbean"/>
    <s v="Adhesive"/>
    <s v="Indigo Strong Tape"/>
    <n v="148.19274707388104"/>
    <n v="5572.7692129424377"/>
  </r>
  <r>
    <x v="2"/>
    <x v="3"/>
    <s v="China"/>
    <s v="Visual"/>
    <s v="Sun Danron Sunglasses"/>
    <n v="64.663318922248436"/>
    <n v="1604.5704533621501"/>
  </r>
  <r>
    <x v="2"/>
    <x v="1"/>
    <s v="Peru"/>
    <s v="Foods"/>
    <s v="Key Kix Kandy"/>
    <n v="465.16534795318876"/>
    <n v="4897.529078920179"/>
  </r>
  <r>
    <x v="1"/>
    <x v="3"/>
    <s v="China"/>
    <s v="Foods"/>
    <s v="HotNamHold Spicy Candy"/>
    <n v="16.385556521345279"/>
    <n v="324.99259163177339"/>
  </r>
  <r>
    <x v="1"/>
    <x v="4"/>
    <s v="Egypt"/>
    <s v="Adhesive"/>
    <s v="Gravetom Glue"/>
    <n v="10.407261141699564"/>
    <n v="3911.7658265675418"/>
  </r>
  <r>
    <x v="1"/>
    <x v="4"/>
    <s v="Morocco"/>
    <s v="Visual"/>
    <s v="uLight Flashlight"/>
    <n v="161.63448348961538"/>
    <n v="1519.3135068477714"/>
  </r>
  <r>
    <x v="1"/>
    <x v="4"/>
    <s v="Other Africa"/>
    <s v="Adhesive"/>
    <s v="Indigo Strong Tape"/>
    <n v="160.5133495926566"/>
    <n v="560.30176909524016"/>
  </r>
  <r>
    <x v="1"/>
    <x v="0"/>
    <s v="United Kingdom"/>
    <s v="Visual"/>
    <s v="Sun Danron Sunglasses"/>
    <n v="85.506315118982457"/>
    <n v="3181.3290505603072"/>
  </r>
  <r>
    <x v="2"/>
    <x v="1"/>
    <s v="Chile"/>
    <s v="Visual"/>
    <s v="uLight Flashlight"/>
    <n v="17.909219060311443"/>
    <n v="324.3458512545003"/>
  </r>
  <r>
    <x v="0"/>
    <x v="0"/>
    <s v="United Kingdom"/>
    <s v="Adhesive"/>
    <s v="Indigo Strong Tape"/>
    <n v="175.47144523377938"/>
    <n v="2974.1571447339084"/>
  </r>
  <r>
    <x v="1"/>
    <x v="3"/>
    <s v="China"/>
    <s v="Visual"/>
    <s v="Sun Danron Sunglasses"/>
    <n v="98.948879174713511"/>
    <n v="3274.8908175739052"/>
  </r>
  <r>
    <x v="1"/>
    <x v="0"/>
    <s v="Germany"/>
    <s v="Foods"/>
    <s v="Key Kix Kandy"/>
    <n v="144.36268867830222"/>
    <n v="5379.4136721613904"/>
  </r>
  <r>
    <x v="3"/>
    <x v="3"/>
    <s v="Australia"/>
    <s v="Foods"/>
    <s v="HotNamHold Spicy Candy"/>
    <n v="569.65948234810639"/>
    <n v="1987.6884816994561"/>
  </r>
  <r>
    <x v="3"/>
    <x v="1"/>
    <s v="Caribbean"/>
    <s v="Adhesive"/>
    <s v="Gravetom Glue"/>
    <n v="489.64711525659368"/>
    <n v="653.48299294946628"/>
  </r>
  <r>
    <x v="3"/>
    <x v="3"/>
    <s v="China"/>
    <s v="Visual"/>
    <s v="uLight Flashlight"/>
    <n v="547.55811458071548"/>
    <n v="4331.6644132840111"/>
  </r>
  <r>
    <x v="3"/>
    <x v="1"/>
    <s v="Peru"/>
    <s v="Adhesive"/>
    <s v="Indigo Strong Tape"/>
    <n v="144.07335955911549"/>
    <n v="91.31486813535048"/>
  </r>
  <r>
    <x v="2"/>
    <x v="3"/>
    <s v="China"/>
    <s v="Visual"/>
    <s v="Sun Danron Sunglasses"/>
    <n v="125.55430983684346"/>
    <n v="174.53130626536222"/>
  </r>
  <r>
    <x v="2"/>
    <x v="4"/>
    <s v="Egypt"/>
    <s v="Foods"/>
    <s v="Key Kix Kandy"/>
    <n v="158.04075014639238"/>
    <n v="3854.8066506071336"/>
  </r>
  <r>
    <x v="2"/>
    <x v="4"/>
    <s v="Morocco"/>
    <s v="Foods"/>
    <s v="HotNamHold Spicy Candy"/>
    <n v="58.288107290900371"/>
    <n v="494.52645185519941"/>
  </r>
  <r>
    <x v="2"/>
    <x v="4"/>
    <s v="Other Africa"/>
    <s v="Adhesive"/>
    <s v="Gravetom Glue"/>
    <n v="18.994104407465784"/>
    <n v="3719.731661156311"/>
  </r>
  <r>
    <x v="2"/>
    <x v="0"/>
    <s v="United Kingdom"/>
    <s v="Visual"/>
    <s v="uLight Flashlight"/>
    <n v="91.481108477273665"/>
    <n v="4797.6555432689565"/>
  </r>
  <r>
    <x v="3"/>
    <x v="1"/>
    <s v="Chile"/>
    <s v="Adhesive"/>
    <s v="Indigo Strong Tape"/>
    <n v="105.80412955332577"/>
    <n v="2532.2512229384301"/>
  </r>
  <r>
    <x v="1"/>
    <x v="0"/>
    <s v="United Kingdom"/>
    <s v="Visual"/>
    <s v="Sun Danron Sunglasses"/>
    <n v="67.692426580833853"/>
    <n v="1664.9061267556681"/>
  </r>
  <r>
    <x v="2"/>
    <x v="3"/>
    <s v="China"/>
    <s v="Visual"/>
    <s v="uLight Flashlight"/>
    <n v="1.3853987096808851"/>
    <n v="1091.1372185365108"/>
  </r>
  <r>
    <x v="2"/>
    <x v="0"/>
    <s v="Germany"/>
    <s v="Adhesive"/>
    <s v="Indigo Strong Tape"/>
    <n v="80.310659035694698"/>
    <n v="2751.4862581665684"/>
  </r>
  <r>
    <x v="3"/>
    <x v="3"/>
    <s v="China"/>
    <s v="Visual"/>
    <s v="Sun Danron Sunglasses"/>
    <n v="182.30470456655894"/>
    <n v="2710.7309537590172"/>
  </r>
  <r>
    <x v="3"/>
    <x v="4"/>
    <s v="Egypt"/>
    <s v="Foods"/>
    <s v="Key Kix Kandy"/>
    <n v="79.369330741974409"/>
    <n v="4064.2047453172081"/>
  </r>
  <r>
    <x v="3"/>
    <x v="4"/>
    <s v="Morocco"/>
    <s v="Visual"/>
    <s v="uLight Flashlight"/>
    <n v="199.75063634938124"/>
    <n v="4178.742218573494"/>
  </r>
  <r>
    <x v="3"/>
    <x v="4"/>
    <s v="Other Africa"/>
    <s v="Adhesive"/>
    <s v="Indigo Strong Tape"/>
    <n v="40.015598339959979"/>
    <n v="3919.9669964039576"/>
  </r>
  <r>
    <x v="3"/>
    <x v="0"/>
    <s v="United Kingdom"/>
    <s v="Visual"/>
    <s v="Sun Danron Sunglasses"/>
    <n v="65.547475813036726"/>
    <n v="3299.7179955248957"/>
  </r>
  <r>
    <x v="0"/>
    <x v="4"/>
    <s v="Egypt"/>
    <s v="Foods"/>
    <s v="Key Kix Kandy"/>
    <n v="381.10596077531227"/>
    <n v="3823.5852885569329"/>
  </r>
  <r>
    <x v="0"/>
    <x v="3"/>
    <s v="India"/>
    <s v="Foods"/>
    <s v="HotNamHold Spicy Candy"/>
    <n v="153.38415836049535"/>
    <n v="4399.8094654642045"/>
  </r>
  <r>
    <x v="0"/>
    <x v="4"/>
    <s v="Kenya"/>
    <s v="Visual"/>
    <s v="uLight Flashlight"/>
    <n v="107.26460968289757"/>
    <n v="68.317034853748737"/>
  </r>
  <r>
    <x v="0"/>
    <x v="4"/>
    <s v="South Africa"/>
    <s v="Adhesive"/>
    <s v="Indigo Strong Tape"/>
    <n v="327.51172955322545"/>
    <n v="4042.1328009513672"/>
  </r>
  <r>
    <x v="2"/>
    <x v="0"/>
    <s v="United Kingdom"/>
    <s v="Visual"/>
    <s v="Sun Danron Sunglasses"/>
    <n v="197.62226805141836"/>
    <n v="193.13098200880177"/>
  </r>
  <r>
    <x v="0"/>
    <x v="1"/>
    <s v="Argentina"/>
    <s v="Foods"/>
    <s v="Key Kix Kandy"/>
    <n v="198.08382992960105"/>
    <n v="3792.8789334666362"/>
  </r>
  <r>
    <x v="0"/>
    <x v="1"/>
    <s v="Caribbean"/>
    <s v="Foods"/>
    <s v="HotNamHold Spicy Candy"/>
    <n v="181.14255113996478"/>
    <n v="3909.5998948147098"/>
  </r>
  <r>
    <x v="0"/>
    <x v="3"/>
    <s v="China"/>
    <s v="Visual"/>
    <s v="uLight Flashlight"/>
    <n v="74.066707945166854"/>
    <n v="2151.4803947429755"/>
  </r>
  <r>
    <x v="0"/>
    <x v="1"/>
    <s v="Peru"/>
    <s v="Adhesive"/>
    <s v="Indigo Strong Tape"/>
    <n v="139.79465393640567"/>
    <n v="587.25731128015468"/>
  </r>
  <r>
    <x v="0"/>
    <x v="4"/>
    <s v="South Africa"/>
    <s v="Visual"/>
    <s v="Sun Danron Sunglasses"/>
    <n v="11.62682834892621"/>
    <n v="241.52222319025896"/>
  </r>
  <r>
    <x v="3"/>
    <x v="3"/>
    <s v="China"/>
    <s v="Foods"/>
    <s v="Key Kix Kandy"/>
    <n v="281.57877136237346"/>
    <n v="1148.5087220964954"/>
  </r>
  <r>
    <x v="3"/>
    <x v="0"/>
    <s v="Germany"/>
    <s v="Foods"/>
    <s v="HotNamHold Spicy Candy"/>
    <n v="218.42501332648681"/>
    <n v="3852.1283513986655"/>
  </r>
  <r>
    <x v="1"/>
    <x v="4"/>
    <s v="Egypt"/>
    <s v="Adhesive"/>
    <s v="Gravetom Glue"/>
    <n v="391.10290614007681"/>
    <n v="1257.717101347167"/>
  </r>
  <r>
    <x v="1"/>
    <x v="3"/>
    <s v="India"/>
    <s v="Visual"/>
    <s v="uLight Flashlight"/>
    <n v="343.14743313661893"/>
    <n v="3537.3353216522955"/>
  </r>
  <r>
    <x v="1"/>
    <x v="4"/>
    <s v="Kenya"/>
    <s v="Adhesive"/>
    <s v="Indigo Strong Tape"/>
    <n v="256.78706632934336"/>
    <n v="1937.7522074301814"/>
  </r>
  <r>
    <x v="1"/>
    <x v="4"/>
    <s v="South Africa"/>
    <s v="Visual"/>
    <s v="Sun Danron Sunglasses"/>
    <n v="11.927181411010679"/>
    <n v="351.69791667160462"/>
  </r>
  <r>
    <x v="3"/>
    <x v="0"/>
    <s v="United Kingdom"/>
    <s v="Visual"/>
    <s v="uLight Flashlight"/>
    <n v="316.91378602372424"/>
    <n v="3897.4221867662527"/>
  </r>
  <r>
    <x v="0"/>
    <x v="1"/>
    <s v="Argentina"/>
    <s v="Adhesive"/>
    <s v="Indigo Strong Tape"/>
    <n v="160.82312644302874"/>
    <n v="2186.6529721897678"/>
  </r>
  <r>
    <x v="0"/>
    <x v="1"/>
    <s v="Mexico"/>
    <s v="Visual"/>
    <s v="Sun Danron Sunglasses"/>
    <n v="84.353078870026366"/>
    <n v="334.03542708383611"/>
  </r>
  <r>
    <x v="1"/>
    <x v="1"/>
    <s v="Argentina"/>
    <s v="Foods"/>
    <s v="Key Kix Kandy"/>
    <n v="45.339926588349044"/>
    <n v="3882.7645839566139"/>
  </r>
  <r>
    <x v="1"/>
    <x v="1"/>
    <s v="Caribbean"/>
    <s v="Foods"/>
    <s v="HotNamHold Spicy Candy"/>
    <n v="94.750781788570748"/>
    <n v="1543.623904431226"/>
  </r>
  <r>
    <x v="1"/>
    <x v="3"/>
    <s v="China"/>
    <s v="Adhesive"/>
    <s v="Gravetom Glue"/>
    <n v="135.35562945107813"/>
    <n v="2806.3396071302213"/>
  </r>
  <r>
    <x v="1"/>
    <x v="1"/>
    <s v="Peru"/>
    <s v="Visual"/>
    <s v="uLight Flashlight"/>
    <n v="197.50426788523328"/>
    <n v="2372.4329404883665"/>
  </r>
  <r>
    <x v="1"/>
    <x v="4"/>
    <s v="South Africa"/>
    <s v="Adhesive"/>
    <s v="Indigo Strong Tape"/>
    <n v="186.51111428407603"/>
    <n v="747.83122007335987"/>
  </r>
  <r>
    <x v="0"/>
    <x v="1"/>
    <s v="Argentina"/>
    <s v="Visual"/>
    <s v="Sun Danron Sunglasses"/>
    <n v="110.87488580506033"/>
    <n v="2218.7137224900653"/>
  </r>
  <r>
    <x v="0"/>
    <x v="1"/>
    <s v="Brazil"/>
    <s v="Foods"/>
    <s v="Key Kix Kandy"/>
    <n v="7.9958116253692424"/>
    <n v="2893.8428448054765"/>
  </r>
  <r>
    <x v="0"/>
    <x v="1"/>
    <s v="Caribbean"/>
    <s v="Foods"/>
    <s v="HotNamHold Spicy Candy"/>
    <n v="108.80920726212935"/>
    <n v="2249.8910445574438"/>
  </r>
  <r>
    <x v="0"/>
    <x v="4"/>
    <s v="Kenya"/>
    <s v="Adhesive"/>
    <s v="Gravetom Glue"/>
    <n v="139.58056144037982"/>
    <n v="2400.4042011765705"/>
  </r>
  <r>
    <x v="0"/>
    <x v="1"/>
    <s v="Mexico"/>
    <s v="Visual"/>
    <s v="uLight Flashlight"/>
    <n v="154.80457994199242"/>
    <n v="955.82949506206205"/>
  </r>
  <r>
    <x v="0"/>
    <x v="1"/>
    <s v="Other NorthAm"/>
    <s v="Adhesive"/>
    <s v="Indigo Strong Tape"/>
    <n v="32.125723102763004"/>
    <n v="2411.6234459252155"/>
  </r>
  <r>
    <x v="0"/>
    <x v="1"/>
    <s v="Peru"/>
    <s v="Visual"/>
    <s v="Sun Danron Sunglasses"/>
    <n v="109.78988623683108"/>
    <n v="3618.5590357054025"/>
  </r>
  <r>
    <x v="2"/>
    <x v="4"/>
    <s v="Egypt"/>
    <s v="Visual"/>
    <s v="uLight Flashlight"/>
    <n v="325.4103430062969"/>
    <n v="2669.804699686847"/>
  </r>
  <r>
    <x v="2"/>
    <x v="3"/>
    <s v="India"/>
    <s v="Adhesive"/>
    <s v="Indigo Strong Tape"/>
    <n v="88.268043142306851"/>
    <n v="2686.1050699322959"/>
  </r>
  <r>
    <x v="2"/>
    <x v="4"/>
    <s v="Kenya"/>
    <s v="Visual"/>
    <s v="Sun Danron Sunglasses"/>
    <n v="103.07365946246136"/>
    <n v="1048.9750397392072"/>
  </r>
  <r>
    <x v="2"/>
    <x v="4"/>
    <s v="South Africa"/>
    <s v="Foods"/>
    <s v="Key Kix Kandy"/>
    <n v="9.8423297618865035"/>
    <n v="1197.500660252058"/>
  </r>
  <r>
    <x v="1"/>
    <x v="1"/>
    <s v="Argentina"/>
    <s v="Visual"/>
    <s v="uLight Flashlight"/>
    <n v="41.410792265378404"/>
    <n v="3071.3852429375838"/>
  </r>
  <r>
    <x v="1"/>
    <x v="1"/>
    <s v="Mexico"/>
    <s v="Adhesive"/>
    <s v="Indigo Strong Tape"/>
    <n v="85.082663056618912"/>
    <n v="1980.8808325402151"/>
  </r>
  <r>
    <x v="2"/>
    <x v="1"/>
    <s v="Argentina"/>
    <s v="Visual"/>
    <s v="Sun Danron Sunglasses"/>
    <n v="128.84334018635855"/>
    <n v="2374.5133031118621"/>
  </r>
  <r>
    <x v="2"/>
    <x v="1"/>
    <s v="Caribbean"/>
    <s v="Foods"/>
    <s v="Key Kix Kandy"/>
    <n v="85.400357814251038"/>
    <n v="219.56494401860709"/>
  </r>
  <r>
    <x v="2"/>
    <x v="3"/>
    <s v="China"/>
    <s v="Foods"/>
    <s v="HotNamHold Spicy Candy"/>
    <n v="162.97805008725845"/>
    <n v="2584.4899549482616"/>
  </r>
  <r>
    <x v="2"/>
    <x v="1"/>
    <s v="Peru"/>
    <s v="Visual"/>
    <s v="uLight Flashlight"/>
    <n v="115.26111955299712"/>
    <n v="1587.2964520165406"/>
  </r>
  <r>
    <x v="2"/>
    <x v="4"/>
    <s v="South Africa"/>
    <s v="Adhesive"/>
    <s v="Indigo Strong Tape"/>
    <n v="80.069734048083774"/>
    <n v="2675.611827170188"/>
  </r>
  <r>
    <x v="1"/>
    <x v="1"/>
    <s v="Argentina"/>
    <s v="Visual"/>
    <s v="Sun Danron Sunglasses"/>
    <n v="68.562618921168905"/>
    <n v="926.21062611571688"/>
  </r>
  <r>
    <x v="1"/>
    <x v="1"/>
    <s v="Brazil"/>
    <s v="Foods"/>
    <s v="Key Kix Kandy"/>
    <n v="156.46995209244778"/>
    <n v="2654.0056116829146"/>
  </r>
  <r>
    <x v="1"/>
    <x v="1"/>
    <s v="Caribbean"/>
    <s v="Foods"/>
    <s v="HotNamHold Spicy Candy"/>
    <n v="124.41934929720446"/>
    <n v="2939.0588308921724"/>
  </r>
  <r>
    <x v="1"/>
    <x v="4"/>
    <s v="Kenya"/>
    <s v="Visual"/>
    <s v="uLight Flashlight"/>
    <n v="66.601993822405348"/>
    <n v="3183.5452373654698"/>
  </r>
  <r>
    <x v="1"/>
    <x v="1"/>
    <s v="Mexico"/>
    <s v="Adhesive"/>
    <s v="Indigo Strong Tape"/>
    <n v="164.60216778941685"/>
    <n v="41.793992675120535"/>
  </r>
  <r>
    <x v="1"/>
    <x v="1"/>
    <s v="Other NorthAm"/>
    <s v="Visual"/>
    <s v="Sun Danron Sunglasses"/>
    <n v="124.61975981332216"/>
    <n v="2105.1191856108926"/>
  </r>
  <r>
    <x v="1"/>
    <x v="1"/>
    <s v="Peru"/>
    <s v="Foods"/>
    <s v="Key Kix Kandy"/>
    <n v="110.40678319441213"/>
    <n v="2968.6673153377706"/>
  </r>
  <r>
    <x v="3"/>
    <x v="4"/>
    <s v="Egypt"/>
    <s v="Foods"/>
    <s v="HotNamHold Spicy Candy"/>
    <n v="308.65619893775147"/>
    <n v="2155.3516063451789"/>
  </r>
  <r>
    <x v="3"/>
    <x v="3"/>
    <s v="India"/>
    <s v="Adhesive"/>
    <s v="Gravetom Glue"/>
    <n v="229.29897956055356"/>
    <n v="1077.8042096537092"/>
  </r>
  <r>
    <x v="3"/>
    <x v="4"/>
    <s v="Kenya"/>
    <s v="Visual"/>
    <s v="uLight Flashlight"/>
    <n v="136.87056951421255"/>
    <n v="2410.9151939336061"/>
  </r>
  <r>
    <x v="3"/>
    <x v="4"/>
    <s v="South Africa"/>
    <s v="Adhesive"/>
    <s v="Indigo Strong Tape"/>
    <n v="399.41978748174733"/>
    <n v="1762.3874272902913"/>
  </r>
  <r>
    <x v="2"/>
    <x v="1"/>
    <s v="Argentina"/>
    <s v="Visual"/>
    <s v="Sun Danron Sunglasses"/>
    <n v="209.55170796542006"/>
    <n v="1964.06746039266"/>
  </r>
  <r>
    <x v="2"/>
    <x v="1"/>
    <s v="Mexico"/>
    <s v="Visual"/>
    <s v="uLight Flashlight"/>
    <n v="3.0469892182736658"/>
    <n v="842.28779012581981"/>
  </r>
  <r>
    <x v="3"/>
    <x v="1"/>
    <s v="Argentina"/>
    <s v="Adhesive"/>
    <s v="Indigo Strong Tape"/>
    <n v="140.32540253010666"/>
    <n v="327.5020246097738"/>
  </r>
  <r>
    <x v="3"/>
    <x v="1"/>
    <s v="Caribbean"/>
    <s v="Visual"/>
    <s v="Sun Danron Sunglasses"/>
    <n v="57.40992086539336"/>
    <n v="2591.7409788056557"/>
  </r>
  <r>
    <x v="3"/>
    <x v="3"/>
    <s v="China"/>
    <s v="Foods"/>
    <s v="Key Kix Kandy"/>
    <n v="80.742429605197685"/>
    <n v="238.73463781385362"/>
  </r>
  <r>
    <x v="3"/>
    <x v="1"/>
    <s v="Peru"/>
    <s v="Foods"/>
    <s v="HotNamHold Spicy Candy"/>
    <n v="176.25414167196141"/>
    <n v="1586.2386469818648"/>
  </r>
  <r>
    <x v="3"/>
    <x v="4"/>
    <s v="South Africa"/>
    <s v="Adhesive"/>
    <s v="Gravetom Glue"/>
    <n v="43.56859155359416"/>
    <n v="1342.007858019595"/>
  </r>
  <r>
    <x v="2"/>
    <x v="1"/>
    <s v="Argentina"/>
    <s v="Visual"/>
    <s v="uLight Flashlight"/>
    <n v="42.368506480124779"/>
    <n v="2452.7215717105282"/>
  </r>
  <r>
    <x v="2"/>
    <x v="1"/>
    <s v="Brazil"/>
    <s v="Adhesive"/>
    <s v="Indigo Strong Tape"/>
    <n v="122.76421236219903"/>
    <n v="3104.1295555526158"/>
  </r>
  <r>
    <x v="2"/>
    <x v="1"/>
    <s v="Caribbean"/>
    <s v="Visual"/>
    <s v="Sun Danron Sunglasses"/>
    <n v="183.13085086010688"/>
    <n v="1029.7327577402611"/>
  </r>
  <r>
    <x v="2"/>
    <x v="4"/>
    <s v="Kenya"/>
    <s v="Foods"/>
    <s v="Key Kix Kandy"/>
    <n v="138.60417117921315"/>
    <n v="878.94434543742682"/>
  </r>
  <r>
    <x v="2"/>
    <x v="1"/>
    <s v="Mexico"/>
    <s v="Foods"/>
    <s v="HotNamHold Spicy Candy"/>
    <n v="35.683179045008728"/>
    <n v="2828.3265348135938"/>
  </r>
  <r>
    <x v="2"/>
    <x v="1"/>
    <s v="Other NorthAm"/>
    <s v="Adhesive"/>
    <s v="Gravetom Glue"/>
    <n v="2.0555408264044672E-2"/>
    <n v="2756.568299192164"/>
  </r>
  <r>
    <x v="2"/>
    <x v="1"/>
    <s v="Peru"/>
    <s v="Visual"/>
    <s v="uLight Flashlight"/>
    <n v="48.758178794196283"/>
    <n v="947.25877471425338"/>
  </r>
  <r>
    <x v="0"/>
    <x v="0"/>
    <s v="Germany"/>
    <s v="Adhesive"/>
    <s v="Indigo Strong Tape"/>
    <n v="87.016623604176857"/>
    <n v="530.65479530196171"/>
  </r>
  <r>
    <x v="0"/>
    <x v="3"/>
    <s v="India"/>
    <s v="Visual"/>
    <s v="Sun Danron Sunglasses"/>
    <n v="69.352992108636613"/>
    <n v="2256.9916137028486"/>
  </r>
  <r>
    <x v="0"/>
    <x v="0"/>
    <s v="Italy"/>
    <s v="Visual"/>
    <s v="uLight Flashlight"/>
    <n v="94.384948752122"/>
    <n v="259.98447878228035"/>
  </r>
  <r>
    <x v="0"/>
    <x v="4"/>
    <s v="Kenya"/>
    <s v="Adhesive"/>
    <s v="Indigo Strong Tape"/>
    <n v="99.468429526586988"/>
    <n v="2011.4079461724032"/>
  </r>
  <r>
    <x v="0"/>
    <x v="0"/>
    <s v="Other Europe"/>
    <s v="Visual"/>
    <s v="Sun Danron Sunglasses"/>
    <n v="42.494168012672162"/>
    <n v="557.42342622543219"/>
  </r>
  <r>
    <x v="0"/>
    <x v="4"/>
    <s v="South Africa"/>
    <s v="Foods"/>
    <s v="Key Kix Kandy"/>
    <n v="6.9982578736016876"/>
    <n v="793.99494199315086"/>
  </r>
  <r>
    <x v="3"/>
    <x v="1"/>
    <s v="Argentina"/>
    <s v="Visual"/>
    <s v="uLight Flashlight"/>
    <n v="15.963490293324867"/>
    <n v="2788.0401460172243"/>
  </r>
  <r>
    <x v="3"/>
    <x v="1"/>
    <s v="Mexico"/>
    <s v="Adhesive"/>
    <s v="Indigo Strong Tape"/>
    <n v="166.81453886767486"/>
    <n v="1538.4986034447411"/>
  </r>
  <r>
    <x v="3"/>
    <x v="1"/>
    <s v="Argentina"/>
    <s v="Visual"/>
    <s v="Sun Danron Sunglasses"/>
    <n v="173.463543564867"/>
    <n v="2242.8070288629588"/>
  </r>
  <r>
    <x v="3"/>
    <x v="1"/>
    <s v="Brazil"/>
    <s v="Foods"/>
    <s v="Key Kix Kandy"/>
    <n v="83.797686284924566"/>
    <n v="2444.4567092619982"/>
  </r>
  <r>
    <x v="3"/>
    <x v="1"/>
    <s v="Caribbean"/>
    <s v="Foods"/>
    <s v="HotNamHold Spicy Candy"/>
    <n v="112.34154069243232"/>
    <n v="1186.2838281946333"/>
  </r>
  <r>
    <x v="3"/>
    <x v="4"/>
    <s v="Kenya"/>
    <s v="Visual"/>
    <s v="uLight Flashlight"/>
    <n v="179.86523042982299"/>
    <n v="1047.265364145318"/>
  </r>
  <r>
    <x v="3"/>
    <x v="1"/>
    <s v="Mexico"/>
    <s v="Adhesive"/>
    <s v="Indigo Strong Tape"/>
    <n v="128.73092592380999"/>
    <n v="971.9303480361832"/>
  </r>
  <r>
    <x v="3"/>
    <x v="1"/>
    <s v="Other NorthAm"/>
    <s v="Visual"/>
    <s v="Sun Danron Sunglasses"/>
    <n v="10.84172213995771"/>
    <n v="2467.156979962987"/>
  </r>
  <r>
    <x v="3"/>
    <x v="1"/>
    <s v="Peru"/>
    <s v="Foods"/>
    <s v="Key Kix Kandy"/>
    <n v="6.2403948355495231"/>
    <n v="639.44280400758726"/>
  </r>
  <r>
    <x v="1"/>
    <x v="0"/>
    <s v="Germany"/>
    <s v="Foods"/>
    <s v="HotNamHold Spicy Candy"/>
    <n v="0.28333769923847285"/>
    <n v="800.15981467164238"/>
  </r>
  <r>
    <x v="1"/>
    <x v="3"/>
    <s v="India"/>
    <s v="Visual"/>
    <s v="uLight Flashlight"/>
    <n v="37.4793485058035"/>
    <n v="600.90925166237867"/>
  </r>
  <r>
    <x v="1"/>
    <x v="0"/>
    <s v="Italy"/>
    <s v="Adhesive"/>
    <s v="Indigo Strong Tape"/>
    <n v="70.7295899984274"/>
    <n v="1804.87724891791"/>
  </r>
  <r>
    <x v="1"/>
    <x v="4"/>
    <s v="Kenya"/>
    <s v="Visual"/>
    <s v="Sun Danron Sunglasses"/>
    <n v="53.606110538930807"/>
    <n v="2205.4904942734865"/>
  </r>
  <r>
    <x v="1"/>
    <x v="0"/>
    <s v="Other Europe"/>
    <s v="Foods"/>
    <s v="Key Kix Kandy"/>
    <n v="11.440953940655163"/>
    <n v="551.01703123646439"/>
  </r>
  <r>
    <x v="1"/>
    <x v="4"/>
    <s v="South Africa"/>
    <s v="Foods"/>
    <s v="HotNamHold Spicy Candy"/>
    <n v="66.783523308276926"/>
    <n v="1349.9167217582581"/>
  </r>
  <r>
    <x v="0"/>
    <x v="3"/>
    <s v="Australia"/>
    <s v="Adhesive"/>
    <s v="Gravetom Glue"/>
    <n v="196.37741358092171"/>
    <n v="2711.8237034006597"/>
  </r>
  <r>
    <x v="0"/>
    <x v="4"/>
    <s v="Morocco"/>
    <s v="Visual"/>
    <s v="uLight Flashlight"/>
    <n v="69.692692496573727"/>
    <n v="796.94551399734337"/>
  </r>
  <r>
    <x v="0"/>
    <x v="4"/>
    <s v="Other Africa"/>
    <s v="Adhesive"/>
    <s v="Indigo Strong Tape"/>
    <n v="82.28971970929706"/>
    <n v="2262.6060940780008"/>
  </r>
  <r>
    <x v="0"/>
    <x v="4"/>
    <s v="South Africa"/>
    <s v="Visual"/>
    <s v="Sun Danron Sunglasses"/>
    <n v="58.304449021306937"/>
    <n v="1665.1100180803041"/>
  </r>
  <r>
    <x v="2"/>
    <x v="0"/>
    <s v="Germany"/>
    <s v="Visual"/>
    <s v="uLight Flashlight"/>
    <n v="1.207060998876841"/>
    <n v="1814.9317077674368"/>
  </r>
  <r>
    <x v="2"/>
    <x v="3"/>
    <s v="India"/>
    <s v="Visual"/>
    <s v="uLight Flashlight"/>
    <n v="88.208117806425435"/>
    <n v="2193.0237756771021"/>
  </r>
  <r>
    <x v="2"/>
    <x v="0"/>
    <s v="Italy"/>
    <s v="Adhesive"/>
    <s v="Indigo Strong Tape"/>
    <n v="28.514286145855294"/>
    <n v="2372.1395208134254"/>
  </r>
  <r>
    <x v="2"/>
    <x v="4"/>
    <s v="Kenya"/>
    <s v="Visual"/>
    <s v="Sun Danron Sunglasses"/>
    <n v="29.749599854221742"/>
    <n v="1620.2674133112851"/>
  </r>
  <r>
    <x v="2"/>
    <x v="0"/>
    <s v="Other Europe"/>
    <s v="Foods"/>
    <s v="Key Kix Kandy"/>
    <n v="45.710553734625137"/>
    <n v="1787.1524322991263"/>
  </r>
  <r>
    <x v="2"/>
    <x v="4"/>
    <s v="South Africa"/>
    <s v="Foods"/>
    <s v="HotNamHold Spicy Candy"/>
    <n v="33.098675775545416"/>
    <n v="2037.0953853911487"/>
  </r>
  <r>
    <x v="1"/>
    <x v="3"/>
    <s v="Australia"/>
    <s v="Adhesive"/>
    <s v="Gravetom Glue"/>
    <n v="83.537877111484704"/>
    <n v="51.472202083994489"/>
  </r>
  <r>
    <x v="1"/>
    <x v="4"/>
    <s v="Morocco"/>
    <s v="Visual"/>
    <s v="uLight Flashlight"/>
    <n v="43.731155168279656"/>
    <n v="1090.0628827176479"/>
  </r>
  <r>
    <x v="1"/>
    <x v="4"/>
    <s v="Other Africa"/>
    <s v="Adhesive"/>
    <s v="Indigo Strong Tape"/>
    <n v="59.160537298339477"/>
    <n v="260.13368676335449"/>
  </r>
  <r>
    <x v="1"/>
    <x v="4"/>
    <s v="South Africa"/>
    <s v="Visual"/>
    <s v="Sun Danron Sunglasses"/>
    <n v="159.66151985267061"/>
    <n v="701.63119155653112"/>
  </r>
  <r>
    <x v="3"/>
    <x v="0"/>
    <s v="Germany"/>
    <s v="Visual"/>
    <s v="uLight Flashlight"/>
    <n v="10.884318764055934"/>
    <n v="1339.2901490277618"/>
  </r>
  <r>
    <x v="3"/>
    <x v="3"/>
    <s v="India"/>
    <s v="Adhesive"/>
    <s v="Indigo Strong Tape"/>
    <n v="35.951779397873906"/>
    <n v="1692.3875823414783"/>
  </r>
  <r>
    <x v="3"/>
    <x v="0"/>
    <s v="Italy"/>
    <s v="Visual"/>
    <s v="Sun Danron Sunglasses"/>
    <n v="33.87053777360336"/>
    <n v="141.26761171892213"/>
  </r>
  <r>
    <x v="3"/>
    <x v="4"/>
    <s v="Kenya"/>
    <s v="Foods"/>
    <s v="Key Kix Kandy"/>
    <n v="48.688224098168575"/>
    <n v="934.84262779154233"/>
  </r>
  <r>
    <x v="3"/>
    <x v="0"/>
    <s v="Other Europe"/>
    <s v="Visual"/>
    <s v="uLight Flashlight"/>
    <n v="39.674217430365388"/>
    <n v="874.8788159990545"/>
  </r>
  <r>
    <x v="3"/>
    <x v="4"/>
    <s v="South Africa"/>
    <s v="Adhesive"/>
    <s v="Indigo Strong Tape"/>
    <n v="4.3133620761182101"/>
    <n v="1253.8952644302844"/>
  </r>
  <r>
    <x v="0"/>
    <x v="0"/>
    <s v="Italy"/>
    <s v="Visual"/>
    <s v="Sun Danron Sunglasses"/>
    <n v="18.661016170153744"/>
    <n v="1955.9201079588092"/>
  </r>
  <r>
    <x v="0"/>
    <x v="4"/>
    <s v="Other Africa"/>
    <s v="Foods"/>
    <s v="Key Kix Kandy"/>
    <n v="113.99482929136866"/>
    <n v="1273.2185935863527"/>
  </r>
  <r>
    <x v="2"/>
    <x v="3"/>
    <s v="Australia"/>
    <s v="Foods"/>
    <s v="HotNamHold Spicy Candy"/>
    <n v="158.62511160522104"/>
    <n v="589.26054201038005"/>
  </r>
  <r>
    <x v="2"/>
    <x v="4"/>
    <s v="Morocco"/>
    <s v="Visual"/>
    <s v="uLight Flashlight"/>
    <n v="15.856938247088692"/>
    <n v="1240.5866051428839"/>
  </r>
  <r>
    <x v="2"/>
    <x v="4"/>
    <s v="Other Africa"/>
    <s v="Adhesive"/>
    <s v="Indigo Strong Tape"/>
    <n v="115.29297061370016"/>
    <n v="683.79592738747124"/>
  </r>
  <r>
    <x v="2"/>
    <x v="4"/>
    <s v="South Africa"/>
    <s v="Visual"/>
    <s v="Sun Danron Sunglasses"/>
    <n v="63.292984080908354"/>
    <n v="2034.7002092993671"/>
  </r>
  <r>
    <x v="0"/>
    <x v="4"/>
    <s v="Egypt"/>
    <s v="Foods"/>
    <s v="Key Kix Kandy"/>
    <n v="39.622472886912874"/>
    <n v="1105.2946798739868"/>
  </r>
  <r>
    <x v="0"/>
    <x v="3"/>
    <s v="India"/>
    <s v="Foods"/>
    <s v="HotNamHold Spicy Candy"/>
    <n v="35.828044642312307"/>
    <n v="641.2572489579361"/>
  </r>
  <r>
    <x v="0"/>
    <x v="4"/>
    <s v="Kenya"/>
    <s v="Visual"/>
    <s v="uLight Flashlight"/>
    <n v="28.140779022032802"/>
    <n v="96.43267206793098"/>
  </r>
  <r>
    <x v="0"/>
    <x v="4"/>
    <s v="Morocco"/>
    <s v="Adhesive"/>
    <s v="Indigo Strong Tape"/>
    <n v="89.910305070316099"/>
    <n v="89.581324028313247"/>
  </r>
  <r>
    <x v="0"/>
    <x v="4"/>
    <s v="Other Africa"/>
    <s v="Visual"/>
    <s v="Sun Danron Sunglasses"/>
    <n v="23.652521093026735"/>
    <n v="2207.208325251122"/>
  </r>
  <r>
    <x v="0"/>
    <x v="1"/>
    <s v="Other NorthAm"/>
    <s v="Foods"/>
    <s v="Key Kix Kandy"/>
    <n v="93.91121430990097"/>
    <n v="415.82814862822488"/>
  </r>
  <r>
    <x v="1"/>
    <x v="0"/>
    <s v="Italy"/>
    <s v="Foods"/>
    <s v="HotNamHold Spicy Candy"/>
    <n v="24.557183740034816"/>
    <n v="1844.7686758806958"/>
  </r>
  <r>
    <x v="1"/>
    <x v="4"/>
    <s v="Other Africa"/>
    <s v="Adhesive"/>
    <s v="Gravetom Glue"/>
    <n v="95.622755951808358"/>
    <n v="2133.0363696280765"/>
  </r>
  <r>
    <x v="3"/>
    <x v="3"/>
    <s v="Australia"/>
    <s v="Visual"/>
    <s v="uLight Flashlight"/>
    <n v="155.88799492179533"/>
    <n v="2020.0158629809084"/>
  </r>
  <r>
    <x v="3"/>
    <x v="4"/>
    <s v="Morocco"/>
    <s v="Adhesive"/>
    <s v="Indigo Strong Tape"/>
    <n v="32.111450230695482"/>
    <n v="957.59685474670732"/>
  </r>
  <r>
    <x v="3"/>
    <x v="4"/>
    <s v="Other Africa"/>
    <s v="Visual"/>
    <s v="Sun Danron Sunglasses"/>
    <n v="51.113953062667861"/>
    <n v="120.9135447040353"/>
  </r>
  <r>
    <x v="3"/>
    <x v="4"/>
    <s v="South Africa"/>
    <s v="Visual"/>
    <s v="uLight Flashlight"/>
    <n v="166.22890426824597"/>
    <n v="1074.8513429455761"/>
  </r>
  <r>
    <x v="1"/>
    <x v="4"/>
    <s v="Egypt"/>
    <s v="Visual"/>
    <s v="uLight Flashlight"/>
    <n v="44.063117236510152"/>
    <n v="2069.2972232238462"/>
  </r>
  <r>
    <x v="1"/>
    <x v="3"/>
    <s v="India"/>
    <s v="Adhesive"/>
    <s v="Indigo Strong Tape"/>
    <n v="14.986009524272959"/>
    <n v="1757.1663033524956"/>
  </r>
  <r>
    <x v="1"/>
    <x v="4"/>
    <s v="Kenya"/>
    <s v="Visual"/>
    <s v="Sun Danron Sunglasses"/>
    <n v="83.39648134442541"/>
    <n v="1415.8384040143228"/>
  </r>
  <r>
    <x v="1"/>
    <x v="4"/>
    <s v="Morocco"/>
    <s v="Foods"/>
    <s v="Key Kix Kandy"/>
    <n v="60.232472425377637"/>
    <n v="1082.3431871408011"/>
  </r>
  <r>
    <x v="1"/>
    <x v="4"/>
    <s v="Other Africa"/>
    <s v="Foods"/>
    <s v="HotNamHold Spicy Candy"/>
    <n v="18.671398546666751"/>
    <n v="63.564294387372684"/>
  </r>
  <r>
    <x v="1"/>
    <x v="1"/>
    <s v="Other NorthAm"/>
    <s v="Adhesive"/>
    <s v="Gravetom Glue"/>
    <n v="48.857429746567504"/>
    <n v="1454.4282099334305"/>
  </r>
  <r>
    <x v="0"/>
    <x v="3"/>
    <s v="Australia"/>
    <s v="Visual"/>
    <s v="uLight Flashlight"/>
    <n v="16.370310399634036"/>
    <n v="1375.6443332731578"/>
  </r>
  <r>
    <x v="0"/>
    <x v="4"/>
    <s v="Egypt"/>
    <s v="Adhesive"/>
    <s v="Indigo Strong Tape"/>
    <n v="9.9415966573360492"/>
    <n v="1507.2778008798196"/>
  </r>
  <r>
    <x v="0"/>
    <x v="4"/>
    <s v="Morocco"/>
    <s v="Visual"/>
    <s v="Sun Danron Sunglasses"/>
    <n v="13.84327679670605"/>
    <n v="1389.3695843235037"/>
  </r>
  <r>
    <x v="0"/>
    <x v="4"/>
    <s v="Other Africa"/>
    <s v="Visual"/>
    <s v="uLight Flashlight"/>
    <n v="76.069339581226814"/>
    <n v="621.78908127680188"/>
  </r>
  <r>
    <x v="0"/>
    <x v="4"/>
    <s v="South Africa"/>
    <s v="Adhesive"/>
    <s v="Indigo Strong Tape"/>
    <n v="91.165281887515448"/>
    <n v="1682.510927608746"/>
  </r>
  <r>
    <x v="0"/>
    <x v="0"/>
    <s v="United Kingdom"/>
    <s v="Visual"/>
    <s v="Sun Danron Sunglasses"/>
    <n v="79.090488484052912"/>
    <n v="14.156183937302558"/>
  </r>
  <r>
    <x v="2"/>
    <x v="0"/>
    <s v="Italy"/>
    <s v="Foods"/>
    <s v="Key Kix Kandy"/>
    <n v="70.496250921132741"/>
    <n v="301.62224934479127"/>
  </r>
  <r>
    <x v="2"/>
    <x v="4"/>
    <s v="Other Africa"/>
    <s v="Visual"/>
    <s v="uLight Flashlight"/>
    <n v="141.83055839075678"/>
    <n v="1302.2603903446061"/>
  </r>
  <r>
    <x v="2"/>
    <x v="4"/>
    <s v="Egypt"/>
    <s v="Adhesive"/>
    <s v="Indigo Strong Tape"/>
    <n v="33.443631172667665"/>
    <n v="909.14996987170525"/>
  </r>
  <r>
    <x v="2"/>
    <x v="3"/>
    <s v="India"/>
    <s v="Visual"/>
    <s v="Sun Danron Sunglasses"/>
    <n v="30.26707662802437"/>
    <n v="292.87740997585843"/>
  </r>
  <r>
    <x v="2"/>
    <x v="4"/>
    <s v="Kenya"/>
    <s v="Foods"/>
    <s v="Key Kix Kandy"/>
    <n v="95.933411904843524"/>
    <n v="925.58306830730544"/>
  </r>
  <r>
    <x v="2"/>
    <x v="4"/>
    <s v="Morocco"/>
    <s v="Foods"/>
    <s v="HotNamHold Spicy Candy"/>
    <n v="65.684354957465985"/>
    <n v="998.08060534267952"/>
  </r>
  <r>
    <x v="2"/>
    <x v="4"/>
    <s v="Other Africa"/>
    <s v="Visual"/>
    <s v="uLight Flashlight"/>
    <n v="59.237422627666092"/>
    <n v="1723.8735832796374"/>
  </r>
  <r>
    <x v="2"/>
    <x v="1"/>
    <s v="Other NorthAm"/>
    <s v="Adhesive"/>
    <s v="Indigo Strong Tape"/>
    <n v="31.865312833360804"/>
    <n v="316.21496901623686"/>
  </r>
  <r>
    <x v="1"/>
    <x v="3"/>
    <s v="Australia"/>
    <s v="Visual"/>
    <s v="Sun Danron Sunglasses"/>
    <n v="39.151269293597579"/>
    <n v="234.26425771753202"/>
  </r>
  <r>
    <x v="1"/>
    <x v="4"/>
    <s v="Egypt"/>
    <s v="Foods"/>
    <s v="Key Kix Kandy"/>
    <n v="96.723794768331572"/>
    <n v="500.58603854577086"/>
  </r>
  <r>
    <x v="1"/>
    <x v="4"/>
    <s v="Morocco"/>
    <s v="Foods"/>
    <s v="HotNamHold Spicy Candy"/>
    <n v="84.51051212641687"/>
    <n v="974.10831303253872"/>
  </r>
  <r>
    <x v="1"/>
    <x v="4"/>
    <s v="Other Africa"/>
    <s v="Visual"/>
    <s v="uLight Flashlight"/>
    <n v="29.577432581027097"/>
    <n v="859.6183201855456"/>
  </r>
  <r>
    <x v="1"/>
    <x v="4"/>
    <s v="South Africa"/>
    <s v="Adhesive"/>
    <s v="Indigo Strong Tape"/>
    <n v="15.953764097230305"/>
    <n v="646.30398201181379"/>
  </r>
  <r>
    <x v="1"/>
    <x v="0"/>
    <s v="United Kingdom"/>
    <s v="Visual"/>
    <s v="Sun Danron Sunglasses"/>
    <n v="33.27297347750573"/>
    <n v="1016.8706902699523"/>
  </r>
  <r>
    <x v="3"/>
    <x v="0"/>
    <s v="Italy"/>
    <s v="Foods"/>
    <s v="Key Kix Kandy"/>
    <n v="37.325081157723616"/>
    <n v="1765.8782926356362"/>
  </r>
  <r>
    <x v="3"/>
    <x v="4"/>
    <s v="Other Africa"/>
    <s v="Foods"/>
    <s v="HotNamHold Spicy Candy"/>
    <n v="33.105098735177307"/>
    <n v="1440.7240502420027"/>
  </r>
  <r>
    <x v="3"/>
    <x v="4"/>
    <s v="Egypt"/>
    <s v="Adhesive"/>
    <s v="Gravetom Glue"/>
    <n v="95.79814975231784"/>
    <n v="1549.1924045073974"/>
  </r>
  <r>
    <x v="3"/>
    <x v="3"/>
    <s v="India"/>
    <s v="Visual"/>
    <s v="uLight Flashlight"/>
    <n v="0.12280691953492351"/>
    <n v="1510.8045030853173"/>
  </r>
  <r>
    <x v="3"/>
    <x v="4"/>
    <s v="Kenya"/>
    <s v="Adhesive"/>
    <s v="Indigo Strong Tape"/>
    <n v="45.529467185679096"/>
    <n v="1565.761987287764"/>
  </r>
  <r>
    <x v="3"/>
    <x v="4"/>
    <s v="Morocco"/>
    <s v="Visual"/>
    <s v="Sun Danron Sunglasses"/>
    <n v="2.5520686731397291"/>
    <n v="62.60645892782486"/>
  </r>
  <r>
    <x v="3"/>
    <x v="4"/>
    <s v="Other Africa"/>
    <s v="Visual"/>
    <s v="uLight Flashlight"/>
    <n v="52.970404221287026"/>
    <n v="887.04551847313269"/>
  </r>
  <r>
    <x v="3"/>
    <x v="1"/>
    <s v="Other NorthAm"/>
    <s v="Adhesive"/>
    <s v="Indigo Strong Tape"/>
    <n v="39.857964707698557"/>
    <n v="668.05570994862683"/>
  </r>
  <r>
    <x v="2"/>
    <x v="3"/>
    <s v="Australia"/>
    <s v="Visual"/>
    <s v="Sun Danron Sunglasses"/>
    <n v="76.464890854458645"/>
    <n v="1019.0141298418312"/>
  </r>
  <r>
    <x v="2"/>
    <x v="4"/>
    <s v="Egypt"/>
    <s v="Foods"/>
    <s v="Key Kix Kandy"/>
    <n v="17.547764117625775"/>
    <n v="1480.3411344573178"/>
  </r>
  <r>
    <x v="2"/>
    <x v="4"/>
    <s v="Morocco"/>
    <s v="Foods"/>
    <s v="HotNamHold Spicy Candy"/>
    <n v="71.244757218937593"/>
    <n v="775.47237073379802"/>
  </r>
  <r>
    <x v="2"/>
    <x v="4"/>
    <s v="Other Africa"/>
    <s v="Adhesive"/>
    <s v="Gravetom Glue"/>
    <n v="79.451389235509851"/>
    <n v="790.57808028852014"/>
  </r>
  <r>
    <x v="2"/>
    <x v="4"/>
    <s v="South Africa"/>
    <s v="Visual"/>
    <s v="uLight Flashlight"/>
    <n v="0.97799701297844877"/>
    <n v="1081.9222706620203"/>
  </r>
  <r>
    <x v="2"/>
    <x v="0"/>
    <s v="United Kingdom"/>
    <s v="Adhesive"/>
    <s v="Indigo Strong Tape"/>
    <n v="62.829624536607298"/>
    <n v="1320.7063877724795"/>
  </r>
  <r>
    <x v="3"/>
    <x v="3"/>
    <s v="Australia"/>
    <s v="Visual"/>
    <s v="Sun Danron Sunglasses"/>
    <n v="47.397226470548048"/>
    <n v="792.47760263482996"/>
  </r>
  <r>
    <x v="3"/>
    <x v="4"/>
    <s v="Egypt"/>
    <s v="Foods"/>
    <s v="Key Kix Kandy"/>
    <n v="30.892517790744023"/>
    <n v="71.297017684247294"/>
  </r>
  <r>
    <x v="3"/>
    <x v="4"/>
    <s v="Morocco"/>
    <s v="Foods"/>
    <s v="HotNamHold Spicy Candy"/>
    <n v="13.899430142282654"/>
    <n v="88.636677909935315"/>
  </r>
  <r>
    <x v="3"/>
    <x v="4"/>
    <s v="Other Africa"/>
    <s v="Adhesive"/>
    <s v="Gravetom Glue"/>
    <n v="41.937183433037717"/>
    <n v="137.44027950425789"/>
  </r>
  <r>
    <x v="3"/>
    <x v="4"/>
    <s v="South Africa"/>
    <s v="Visual"/>
    <s v="uLight Flashlight"/>
    <n v="93.733632839848724"/>
    <n v="631.4308937281312"/>
  </r>
  <r>
    <x v="3"/>
    <x v="0"/>
    <s v="United Kingdom"/>
    <s v="Adhesive"/>
    <s v="Indigo Strong Tape"/>
    <n v="15.816830643780122"/>
    <n v="1242.3179600612893"/>
  </r>
  <r>
    <x v="0"/>
    <x v="1"/>
    <s v="Brazil"/>
    <s v="Visual"/>
    <s v="Sun Danron Sunglasses"/>
    <n v="68.078370189050474"/>
    <n v="987.41608167201775"/>
  </r>
  <r>
    <x v="0"/>
    <x v="1"/>
    <s v="Chile"/>
    <s v="Visual"/>
    <s v="uLight Flashlight"/>
    <n v="17.883281685135444"/>
    <n v="731.54624825438077"/>
  </r>
  <r>
    <x v="0"/>
    <x v="3"/>
    <s v="China"/>
    <s v="Adhesive"/>
    <s v="Indigo Strong Tape"/>
    <n v="46.066686459289485"/>
    <n v="512.15281168097135"/>
  </r>
  <r>
    <x v="0"/>
    <x v="4"/>
    <s v="Egypt"/>
    <s v="Visual"/>
    <s v="Sun Danron Sunglasses"/>
    <n v="99.662378175526101"/>
    <n v="164.35360121977283"/>
  </r>
  <r>
    <x v="0"/>
    <x v="0"/>
    <s v="France"/>
    <s v="Foods"/>
    <s v="Key Kix Kandy"/>
    <n v="34.935866758496559"/>
    <n v="956.45543076334434"/>
  </r>
  <r>
    <x v="0"/>
    <x v="0"/>
    <s v="Germany"/>
    <s v="Visual"/>
    <s v="uLight Flashlight"/>
    <n v="98.086902777595242"/>
    <n v="8.437576100914157"/>
  </r>
  <r>
    <x v="0"/>
    <x v="0"/>
    <s v="Italy"/>
    <s v="Adhesive"/>
    <s v="Indigo Strong Tape"/>
    <n v="1.7259981428651372"/>
    <n v="1165.320155045265"/>
  </r>
  <r>
    <x v="0"/>
    <x v="4"/>
    <s v="Kenya"/>
    <s v="Visual"/>
    <s v="Sun Danron Sunglasses"/>
    <n v="90.809070597515529"/>
    <n v="178.34636465395306"/>
  </r>
  <r>
    <x v="0"/>
    <x v="3"/>
    <s v="Other Asia"/>
    <s v="Foods"/>
    <s v="Key Kix Kandy"/>
    <n v="16.230366297349974"/>
    <n v="979.22249286057195"/>
  </r>
  <r>
    <x v="0"/>
    <x v="0"/>
    <s v="Other Europe"/>
    <s v="Foods"/>
    <s v="HotNamHold Spicy Candy"/>
    <n v="17.62682664066233"/>
    <n v="344.75385729110712"/>
  </r>
  <r>
    <x v="0"/>
    <x v="1"/>
    <s v="Peru"/>
    <s v="Visual"/>
    <s v="uLight Flashlight"/>
    <n v="80.117506997066812"/>
    <n v="200.52075077219342"/>
  </r>
  <r>
    <x v="1"/>
    <x v="1"/>
    <s v="Brazil"/>
    <s v="Adhesive"/>
    <s v="Indigo Strong Tape"/>
    <n v="41.690820012084373"/>
    <n v="494.67635773187976"/>
  </r>
  <r>
    <x v="1"/>
    <x v="1"/>
    <s v="Chile"/>
    <s v="Visual"/>
    <s v="Sun Danron Sunglasses"/>
    <n v="66.449217675290129"/>
    <n v="691.08268875414421"/>
  </r>
  <r>
    <x v="1"/>
    <x v="3"/>
    <s v="China"/>
    <s v="Foods"/>
    <s v="Key Kix Kandy"/>
    <n v="76.95657500780726"/>
    <n v="727.97721493213612"/>
  </r>
  <r>
    <x v="1"/>
    <x v="4"/>
    <s v="Egypt"/>
    <s v="Foods"/>
    <s v="HotNamHold Spicy Candy"/>
    <n v="54.231157375397743"/>
    <n v="970.58824790137987"/>
  </r>
  <r>
    <x v="1"/>
    <x v="0"/>
    <s v="France"/>
    <s v="Visual"/>
    <s v="uLight Flashlight"/>
    <n v="46.390990324198356"/>
    <n v="1161.6870207778593"/>
  </r>
  <r>
    <x v="1"/>
    <x v="0"/>
    <s v="Germany"/>
    <s v="Adhesive"/>
    <s v="Indigo Strong Tape"/>
    <n v="66.484668577140837"/>
    <n v="1026.8134137497218"/>
  </r>
  <r>
    <x v="1"/>
    <x v="0"/>
    <s v="Italy"/>
    <s v="Visual"/>
    <s v="Sun Danron Sunglasses"/>
    <n v="54.045606597446749"/>
    <n v="1240.0427043054751"/>
  </r>
  <r>
    <x v="1"/>
    <x v="4"/>
    <s v="Kenya"/>
    <s v="Foods"/>
    <s v="Key Kix Kandy"/>
    <n v="97.416753747529583"/>
    <n v="602.10688997058605"/>
  </r>
  <r>
    <x v="1"/>
    <x v="3"/>
    <s v="Other Asia"/>
    <s v="Foods"/>
    <s v="HotNamHold Spicy Candy"/>
    <n v="11.028466697734984"/>
    <n v="853.61815960440254"/>
  </r>
  <r>
    <x v="1"/>
    <x v="0"/>
    <s v="Other Europe"/>
    <s v="Adhesive"/>
    <s v="Gravetom Glue"/>
    <n v="73.332427678178647"/>
    <n v="367.43574804203308"/>
  </r>
  <r>
    <x v="1"/>
    <x v="1"/>
    <s v="Peru"/>
    <s v="Visual"/>
    <s v="uLight Flashlight"/>
    <n v="62.567463536743162"/>
    <n v="506.18843043093693"/>
  </r>
  <r>
    <x v="0"/>
    <x v="4"/>
    <s v="Morocco"/>
    <s v="Adhesive"/>
    <s v="Indigo Strong Tape"/>
    <n v="16.544398359656043"/>
    <n v="220.53457052243175"/>
  </r>
  <r>
    <x v="0"/>
    <x v="3"/>
    <s v="Other Asia"/>
    <s v="Visual"/>
    <s v="Sun Danron Sunglasses"/>
    <n v="89.85486187530114"/>
    <n v="444.07965508871712"/>
  </r>
  <r>
    <x v="0"/>
    <x v="1"/>
    <s v="Other NorthAm"/>
    <s v="Visual"/>
    <s v="uLight Flashlight"/>
    <n v="47.781509461492533"/>
    <n v="85.874904468471414"/>
  </r>
  <r>
    <x v="2"/>
    <x v="1"/>
    <s v="Brazil"/>
    <s v="Adhesive"/>
    <s v="Indigo Strong Tape"/>
    <n v="90.438748012456927"/>
    <n v="69.764929403531823"/>
  </r>
  <r>
    <x v="2"/>
    <x v="1"/>
    <s v="Chile"/>
    <s v="Visual"/>
    <s v="Sun Danron Sunglasses"/>
    <n v="44.095630760421045"/>
    <n v="952.13390024756154"/>
  </r>
  <r>
    <x v="2"/>
    <x v="3"/>
    <s v="China"/>
    <s v="Foods"/>
    <s v="Key Kix Kandy"/>
    <n v="0.34219709659737418"/>
    <n v="436.5491925896431"/>
  </r>
  <r>
    <x v="2"/>
    <x v="4"/>
    <s v="Egypt"/>
    <s v="Foods"/>
    <s v="HotNamHold Spicy Candy"/>
    <n v="28.886795061043813"/>
    <n v="132.33023527428486"/>
  </r>
  <r>
    <x v="2"/>
    <x v="0"/>
    <s v="France"/>
    <s v="Adhesive"/>
    <s v="Gravetom Glue"/>
    <n v="88.99591504732598"/>
    <n v="510.12656328477715"/>
  </r>
  <r>
    <x v="2"/>
    <x v="0"/>
    <s v="Germany"/>
    <s v="Visual"/>
    <s v="uLight Flashlight"/>
    <n v="46.120390463875083"/>
    <n v="182.8041930427089"/>
  </r>
  <r>
    <x v="2"/>
    <x v="0"/>
    <s v="Italy"/>
    <s v="Adhesive"/>
    <s v="Indigo Strong Tape"/>
    <n v="32.756923799843207"/>
    <n v="723.26939145653523"/>
  </r>
  <r>
    <x v="2"/>
    <x v="4"/>
    <s v="Kenya"/>
    <s v="Visual"/>
    <s v="Sun Danron Sunglasses"/>
    <n v="0.70188750978559256"/>
    <n v="490.45819242308153"/>
  </r>
  <r>
    <x v="2"/>
    <x v="3"/>
    <s v="Other Asia"/>
    <s v="Foods"/>
    <s v="Key Kix Kandy"/>
    <n v="98.897944687905692"/>
    <n v="260.55801010084724"/>
  </r>
  <r>
    <x v="2"/>
    <x v="0"/>
    <s v="Other Europe"/>
    <s v="Foods"/>
    <s v="HotNamHold Spicy Candy"/>
    <n v="81.521970396897814"/>
    <n v="647.20361086019602"/>
  </r>
  <r>
    <x v="2"/>
    <x v="1"/>
    <s v="Peru"/>
    <s v="Adhesive"/>
    <s v="Gravetom Glue"/>
    <n v="12.560129717621749"/>
    <n v="343.27418102452066"/>
  </r>
  <r>
    <x v="1"/>
    <x v="4"/>
    <s v="Morocco"/>
    <s v="Visual"/>
    <s v="uLight Flashlight"/>
    <n v="0.66611805268621538"/>
    <n v="1046.5468983700957"/>
  </r>
  <r>
    <x v="1"/>
    <x v="3"/>
    <s v="Other Asia"/>
    <s v="Adhesive"/>
    <s v="Indigo Strong Tape"/>
    <n v="85.298099036208441"/>
    <n v="602.0299642437385"/>
  </r>
  <r>
    <x v="1"/>
    <x v="1"/>
    <s v="Other NorthAm"/>
    <s v="Visual"/>
    <s v="Sun Danron Sunglasses"/>
    <n v="72.971484513072937"/>
    <n v="818.69689235977785"/>
  </r>
  <r>
    <x v="3"/>
    <x v="1"/>
    <s v="Brazil"/>
    <s v="Visual"/>
    <s v="uLight Flashlight"/>
    <n v="40.329351538912306"/>
    <n v="438.24016965378178"/>
  </r>
  <r>
    <x v="3"/>
    <x v="1"/>
    <s v="Chile"/>
    <s v="Adhesive"/>
    <s v="Indigo Strong Tape"/>
    <n v="80.122587300866144"/>
    <n v="73.650424534405801"/>
  </r>
  <r>
    <x v="3"/>
    <x v="3"/>
    <s v="China"/>
    <s v="Visual"/>
    <s v="Sun Danron Sunglasses"/>
    <n v="37.589796095107886"/>
    <n v="668.25576554825147"/>
  </r>
  <r>
    <x v="3"/>
    <x v="4"/>
    <s v="Egypt"/>
    <s v="Foods"/>
    <s v="Key Kix Kandy"/>
    <n v="38.443536151498847"/>
    <n v="265.67192601964052"/>
  </r>
  <r>
    <x v="3"/>
    <x v="0"/>
    <s v="France"/>
    <s v="Visual"/>
    <s v="uLight Flashlight"/>
    <n v="72.020172493466816"/>
    <n v="477.38951308409469"/>
  </r>
  <r>
    <x v="3"/>
    <x v="0"/>
    <s v="Germany"/>
    <s v="Adhesive"/>
    <s v="Indigo Strong Tape"/>
    <n v="97.466684218034061"/>
    <n v="521.88292805031779"/>
  </r>
  <r>
    <x v="3"/>
    <x v="0"/>
    <s v="Italy"/>
    <s v="Visual"/>
    <s v="Sun Danron Sunglasses"/>
    <n v="43.60665539643378"/>
    <n v="761.93278639213077"/>
  </r>
  <r>
    <x v="3"/>
    <x v="4"/>
    <s v="Kenya"/>
    <s v="Foods"/>
    <s v="Key Kix Kandy"/>
    <n v="60.96184803855067"/>
    <n v="436.93991949168776"/>
  </r>
  <r>
    <x v="3"/>
    <x v="3"/>
    <s v="Other Asia"/>
    <s v="Foods"/>
    <s v="HotNamHold Spicy Candy"/>
    <n v="73.390654917056963"/>
    <n v="447.54488037202918"/>
  </r>
  <r>
    <x v="3"/>
    <x v="0"/>
    <s v="Other Europe"/>
    <s v="Visual"/>
    <s v="uLight Flashlight"/>
    <n v="88.280439690970525"/>
    <n v="841.3782687456569"/>
  </r>
  <r>
    <x v="3"/>
    <x v="1"/>
    <s v="Peru"/>
    <s v="Adhesive"/>
    <s v="Indigo Strong Tape"/>
    <n v="11.287118972632015"/>
    <n v="26.392834044359006"/>
  </r>
  <r>
    <x v="2"/>
    <x v="4"/>
    <s v="Morocco"/>
    <s v="Visual"/>
    <s v="Sun Danron Sunglasses"/>
    <n v="18.194227049389156"/>
    <n v="559.53956308639317"/>
  </r>
  <r>
    <x v="2"/>
    <x v="3"/>
    <s v="Other Asia"/>
    <s v="Foods"/>
    <s v="Key Kix Kandy"/>
    <n v="80.307100251502561"/>
    <n v="339.43461898588248"/>
  </r>
  <r>
    <x v="2"/>
    <x v="1"/>
    <s v="Other NorthAm"/>
    <s v="Foods"/>
    <s v="HotNamHold Spicy Candy"/>
    <n v="86.052564703459211"/>
    <n v="356.44870285402067"/>
  </r>
  <r>
    <x v="3"/>
    <x v="4"/>
    <s v="Morocco"/>
    <s v="Visual"/>
    <s v="uLight Flashlight"/>
    <n v="13.91753750767748"/>
    <n v="325.4804428286343"/>
  </r>
  <r>
    <x v="3"/>
    <x v="3"/>
    <s v="Other Asia"/>
    <s v="Adhesive"/>
    <s v="Indigo Strong Tape"/>
    <n v="41.819321679577115"/>
    <n v="143.83771918399361"/>
  </r>
  <r>
    <x v="3"/>
    <x v="1"/>
    <s v="Other NorthAm"/>
    <s v="Visual"/>
    <s v="Sun Danron Sunglasses"/>
    <n v="79.004936237470247"/>
    <n v="393.36312886814994"/>
  </r>
  <r>
    <x v="0"/>
    <x v="1"/>
    <s v="Chile"/>
    <s v="Foods"/>
    <s v="Key Kix Kandy"/>
    <n v="86.052564703459211"/>
    <n v="150"/>
  </r>
  <r>
    <x v="1"/>
    <x v="1"/>
    <s v="Chile"/>
    <s v="Foods"/>
    <s v="HotNamHold Spicy Candy"/>
    <n v="13.91753750767748"/>
    <n v="900"/>
  </r>
  <r>
    <x v="2"/>
    <x v="1"/>
    <s v="Chile"/>
    <s v="Adhesive"/>
    <s v="Gravetom Glue"/>
    <n v="41.819321679577115"/>
    <n v="42"/>
  </r>
  <r>
    <x v="3"/>
    <x v="1"/>
    <s v="Chile"/>
    <s v="Visual"/>
    <s v="uLight Flashlight"/>
    <n v="79.004936237470247"/>
    <n v="88"/>
  </r>
  <r>
    <x v="4"/>
    <x v="5"/>
    <m/>
    <m/>
    <m/>
    <m/>
    <m/>
  </r>
  <r>
    <x v="4"/>
    <x v="5"/>
    <m/>
    <m/>
    <m/>
    <m/>
    <m/>
  </r>
  <r>
    <x v="4"/>
    <x v="5"/>
    <m/>
    <m/>
    <m/>
    <m/>
    <m/>
  </r>
  <r>
    <x v="4"/>
    <x v="5"/>
    <m/>
    <m/>
    <m/>
    <m/>
    <m/>
  </r>
  <r>
    <x v="4"/>
    <x v="5"/>
    <m/>
    <m/>
    <m/>
    <m/>
    <m/>
  </r>
  <r>
    <x v="4"/>
    <x v="5"/>
    <m/>
    <m/>
    <m/>
    <m/>
    <m/>
  </r>
  <r>
    <x v="4"/>
    <x v="5"/>
    <m/>
    <m/>
    <m/>
    <m/>
    <m/>
  </r>
  <r>
    <x v="4"/>
    <x v="5"/>
    <m/>
    <m/>
    <m/>
    <m/>
    <m/>
  </r>
  <r>
    <x v="4"/>
    <x v="5"/>
    <m/>
    <m/>
    <m/>
    <m/>
    <m/>
  </r>
  <r>
    <x v="4"/>
    <x v="5"/>
    <m/>
    <m/>
    <m/>
    <m/>
    <m/>
  </r>
  <r>
    <x v="4"/>
    <x v="5"/>
    <m/>
    <m/>
    <m/>
    <m/>
    <m/>
  </r>
  <r>
    <x v="4"/>
    <x v="5"/>
    <m/>
    <m/>
    <m/>
    <m/>
    <m/>
  </r>
  <r>
    <x v="4"/>
    <x v="5"/>
    <m/>
    <m/>
    <m/>
    <m/>
    <m/>
  </r>
  <r>
    <x v="4"/>
    <x v="5"/>
    <m/>
    <m/>
    <m/>
    <m/>
    <m/>
  </r>
  <r>
    <x v="4"/>
    <x v="5"/>
    <m/>
    <m/>
    <m/>
    <m/>
    <m/>
  </r>
  <r>
    <x v="4"/>
    <x v="5"/>
    <m/>
    <m/>
    <m/>
    <m/>
    <m/>
  </r>
  <r>
    <x v="4"/>
    <x v="5"/>
    <m/>
    <m/>
    <m/>
    <m/>
    <m/>
  </r>
  <r>
    <x v="4"/>
    <x v="5"/>
    <m/>
    <m/>
    <m/>
    <m/>
    <m/>
  </r>
  <r>
    <x v="4"/>
    <x v="5"/>
    <m/>
    <m/>
    <m/>
    <m/>
    <m/>
  </r>
  <r>
    <x v="4"/>
    <x v="5"/>
    <m/>
    <m/>
    <m/>
    <m/>
    <m/>
  </r>
  <r>
    <x v="4"/>
    <x v="5"/>
    <m/>
    <m/>
    <m/>
    <m/>
    <m/>
  </r>
  <r>
    <x v="4"/>
    <x v="5"/>
    <m/>
    <m/>
    <m/>
    <m/>
    <m/>
  </r>
  <r>
    <x v="4"/>
    <x v="5"/>
    <m/>
    <m/>
    <m/>
    <m/>
    <m/>
  </r>
  <r>
    <x v="4"/>
    <x v="5"/>
    <m/>
    <m/>
    <m/>
    <m/>
    <m/>
  </r>
  <r>
    <x v="4"/>
    <x v="5"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3716099.6022993"/>
    <n v="9230635.2396968547"/>
    <n v="19012434.021335002"/>
    <n v="7514587.9615697684"/>
  </r>
  <r>
    <x v="1"/>
    <n v="10507546.781018656"/>
    <n v="9066038.9310609531"/>
    <n v="11617624.570669712"/>
    <n v="4991235.1129056783"/>
  </r>
  <r>
    <x v="2"/>
    <n v="8849820.127815498"/>
    <n v="5867434.8919673311"/>
    <n v="4490893.0608828636"/>
    <n v="3276753.3887649914"/>
  </r>
  <r>
    <x v="3"/>
    <n v="7010148.2318410072"/>
    <n v="3163385.2128203162"/>
    <n v="1641906.1038358856"/>
    <n v="5736656.2130248873"/>
  </r>
  <r>
    <x v="4"/>
    <n v="672392.18105339864"/>
    <n v="730756.93431061378"/>
    <n v="11402514.115431102"/>
    <n v="2887291.8484658888"/>
  </r>
  <r>
    <x v="5"/>
    <m/>
    <m/>
    <m/>
    <m/>
  </r>
  <r>
    <x v="5"/>
    <n v="30756006.92402786"/>
    <n v="28058251.209856071"/>
    <n v="48165371.872154571"/>
    <n v="24406524.5247312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554C2E-3607-4668-8767-1DB522734919}" name="Сводная таблица12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4">
  <location ref="A56:B63" firstHeaderRow="1" firstDataRow="1" firstDataCol="1"/>
  <pivotFields count="7">
    <pivotField showAll="0"/>
    <pivotField axis="axisRow" showAll="0">
      <items count="7">
        <item x="4"/>
        <item x="1"/>
        <item x="3"/>
        <item x="0"/>
        <item x="2"/>
        <item x="5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Сумма по полю Сумма" fld="6" baseField="0" baseItem="0"/>
  </dataFields>
  <chartFormats count="1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63BB60-ED32-4059-B5D2-A1C68322ACD6}" name="Сводная таблица9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M2:Q9" firstHeaderRow="0" firstDataRow="1" firstDataCol="1"/>
  <pivotFields count="5">
    <pivotField axis="axisRow" showAll="0">
      <items count="7">
        <item x="4"/>
        <item x="3"/>
        <item x="0"/>
        <item x="2"/>
        <item x="1"/>
        <item x="5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Сумма по полю Q1" fld="1" baseField="0" baseItem="0"/>
    <dataField name="Сумма по полю Q2" fld="2" baseField="0" baseItem="0"/>
    <dataField name="Сумма по полю Q3" fld="3" baseField="0" baseItem="0"/>
    <dataField name="Сумма по полю Q4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016E31-EA59-49F3-BD45-8E461EB23067}" name="Сводная таблица6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2">
  <location ref="A30:B37" firstHeaderRow="1" firstDataRow="1" firstDataCol="1"/>
  <pivotFields count="7"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7">
        <item x="4"/>
        <item x="1"/>
        <item x="3"/>
        <item x="0"/>
        <item x="2"/>
        <item x="5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Сумма по полю Сумма" fld="6" baseField="0" baseItem="0"/>
  </dataFields>
  <chartFormats count="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6" indent="0" outline="1" outlineData="1" multipleFieldFilters="0" chartFormat="14">
  <location ref="A3:B5" firstHeaderRow="1" firstDataRow="1" firstDataCol="1"/>
  <pivotFields count="7">
    <pivotField axis="axisRow" multipleItemSelectionAllowed="1" showAll="0">
      <items count="5">
        <item h="1" x="0"/>
        <item h="1" x="1"/>
        <item h="1" x="2"/>
        <item x="3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>
      <items count="7">
        <item x="5"/>
        <item x="4"/>
        <item x="1"/>
        <item x="3"/>
        <item x="2"/>
        <item x="0"/>
        <item t="default"/>
      </items>
    </pivotField>
    <pivotField dataField="1" numFmtId="3" showAll="0"/>
    <pivotField numFmtId="4" showAll="0"/>
  </pivotFields>
  <rowFields count="1">
    <field x="0"/>
  </rowFields>
  <rowItems count="2">
    <i>
      <x v="3"/>
    </i>
    <i t="grand">
      <x/>
    </i>
  </rowItems>
  <colItems count="1">
    <i/>
  </colItems>
  <dataFields count="1">
    <dataField name="Сумма по полю Единиц" fld="5" baseField="0" baseItem="0"/>
  </dataField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Сводная таблица4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6" indent="0" outline="1" outlineData="1" multipleFieldFilters="0" chartFormat="4">
  <location ref="H3:I9" firstHeaderRow="1" firstDataRow="1" firstDataCol="1" rowPageCount="1" colPageCount="1"/>
  <pivotFields count="7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Row" showAll="0">
      <items count="6">
        <item x="4"/>
        <item x="3"/>
        <item x="2"/>
        <item x="0"/>
        <item x="1"/>
        <item t="default"/>
      </items>
    </pivotField>
    <pivotField showAll="0"/>
    <pivotField showAll="0"/>
    <pivotField showAll="0"/>
    <pivotField dataField="1" numFmtId="3" showAll="0"/>
    <pivotField numFmtId="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0" hier="-1"/>
  </pageFields>
  <dataFields count="1">
    <dataField name="Сумма по полю Единиц" fld="5" baseField="1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вартал" xr10:uid="{00000000-0013-0000-FFFF-FFFF01000000}" sourceName="Квартал">
  <pivotTables>
    <pivotTable tabId="3" name="Сводная таблица3"/>
    <pivotTable tabId="3" name="Сводная таблица4"/>
  </pivotTables>
  <data>
    <tabular pivotCacheId="719870830">
      <items count="4">
        <i x="0"/>
        <i x="1"/>
        <i x="2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Квартал" xr10:uid="{00000000-0014-0000-FFFF-FFFF01000000}" cache="Срез_Квартал" caption="Квартал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Продажи" displayName="Продажи" ref="A1:F3509" totalsRowShown="0" headerRowDxfId="19" dataDxfId="17" headerRowBorderDxfId="18" tableBorderDxfId="16" totalsRowBorderDxfId="15">
  <autoFilter ref="A1:F3509" xr:uid="{00000000-0009-0000-0100-000002000000}"/>
  <tableColumns count="6">
    <tableColumn id="1" xr3:uid="{00000000-0010-0000-0100-000001000000}" name="Продукт" dataDxfId="14"/>
    <tableColumn id="2" xr3:uid="{00000000-0010-0000-0100-000002000000}" name="Регион" dataDxfId="13"/>
    <tableColumn id="3" xr3:uid="{00000000-0010-0000-0100-000003000000}" name="Категория" dataDxfId="12"/>
    <tableColumn id="4" xr3:uid="{00000000-0010-0000-0100-000004000000}" name="Квартал" dataDxfId="11"/>
    <tableColumn id="5" xr3:uid="{00000000-0010-0000-0100-000005000000}" name="Параметр" dataDxfId="10"/>
    <tableColumn id="6" xr3:uid="{00000000-0010-0000-0100-000006000000}" name="Значение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Финансы" displayName="Финансы" ref="A1:G901" totalsRowShown="0" headerRowDxfId="8" dataDxfId="7" headerRowCellStyle="Normal 3" dataCellStyle="Normal 3">
  <autoFilter ref="A1:G901" xr:uid="{00000000-0009-0000-0100-000001000000}"/>
  <tableColumns count="7">
    <tableColumn id="2" xr3:uid="{00000000-0010-0000-0000-000002000000}" name="Квартал" dataDxfId="6" dataCellStyle="Normal 3"/>
    <tableColumn id="3" xr3:uid="{00000000-0010-0000-0000-000003000000}" name="Регион" dataDxfId="5" dataCellStyle="Normal 3"/>
    <tableColumn id="4" xr3:uid="{00000000-0010-0000-0000-000004000000}" name="Страна" dataDxfId="4" dataCellStyle="Normal 3"/>
    <tableColumn id="5" xr3:uid="{00000000-0010-0000-0000-000005000000}" name="Категория" dataDxfId="3" dataCellStyle="Normal 3"/>
    <tableColumn id="6" xr3:uid="{00000000-0010-0000-0000-000006000000}" name="Продукт" dataDxfId="2" dataCellStyle="Normal 3"/>
    <tableColumn id="8" xr3:uid="{00000000-0010-0000-0000-000008000000}" name="Единиц" dataDxfId="1" dataCellStyle="Normal 3"/>
    <tableColumn id="7" xr3:uid="{00000000-0010-0000-0000-000007000000}" name="Сумма" dataDxfId="0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1.xml"/><Relationship Id="rId4" Type="http://schemas.microsoft.com/office/2007/relationships/slicer" Target="../slicers/slicer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3.xml"/><Relationship Id="rId3" Type="http://schemas.openxmlformats.org/officeDocument/2006/relationships/ctrlProp" Target="../ctrlProps/ctrlProp8.xml"/><Relationship Id="rId7" Type="http://schemas.openxmlformats.org/officeDocument/2006/relationships/ctrlProp" Target="../ctrlProps/ctrlProp12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11.xml"/><Relationship Id="rId5" Type="http://schemas.openxmlformats.org/officeDocument/2006/relationships/ctrlProp" Target="../ctrlProps/ctrlProp10.xml"/><Relationship Id="rId4" Type="http://schemas.openxmlformats.org/officeDocument/2006/relationships/ctrlProp" Target="../ctrlProps/ctrlProp9.xml"/><Relationship Id="rId9" Type="http://schemas.openxmlformats.org/officeDocument/2006/relationships/ctrlProp" Target="../ctrlProps/ctrlProp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3"/>
  <sheetViews>
    <sheetView topLeftCell="B1" workbookViewId="0">
      <selection activeCell="H84" sqref="H84"/>
    </sheetView>
  </sheetViews>
  <sheetFormatPr defaultRowHeight="14.4" x14ac:dyDescent="0.3"/>
  <cols>
    <col min="1" max="1" width="17" bestFit="1" customWidth="1"/>
    <col min="2" max="2" width="22.21875" bestFit="1" customWidth="1"/>
    <col min="3" max="3" width="21.6640625" bestFit="1" customWidth="1"/>
    <col min="8" max="8" width="17" bestFit="1" customWidth="1"/>
    <col min="9" max="9" width="22.21875" bestFit="1" customWidth="1"/>
    <col min="13" max="13" width="20.77734375" customWidth="1"/>
    <col min="14" max="14" width="19.109375" customWidth="1"/>
    <col min="15" max="15" width="18.88671875" customWidth="1"/>
    <col min="16" max="16" width="18.109375" customWidth="1"/>
    <col min="17" max="17" width="18.21875" customWidth="1"/>
  </cols>
  <sheetData>
    <row r="1" spans="1:17" x14ac:dyDescent="0.3">
      <c r="H1" s="19" t="s">
        <v>53</v>
      </c>
      <c r="I1" t="s">
        <v>11</v>
      </c>
    </row>
    <row r="2" spans="1:17" x14ac:dyDescent="0.3">
      <c r="M2" s="19" t="s">
        <v>62</v>
      </c>
      <c r="N2" s="19" t="s">
        <v>67</v>
      </c>
      <c r="O2" t="s">
        <v>68</v>
      </c>
      <c r="P2" t="s">
        <v>69</v>
      </c>
      <c r="Q2" t="s">
        <v>70</v>
      </c>
    </row>
    <row r="3" spans="1:17" x14ac:dyDescent="0.3">
      <c r="A3" s="19" t="s">
        <v>62</v>
      </c>
      <c r="B3" t="s">
        <v>64</v>
      </c>
      <c r="H3" s="19" t="s">
        <v>62</v>
      </c>
      <c r="I3" t="s">
        <v>64</v>
      </c>
      <c r="M3" s="20" t="s">
        <v>17</v>
      </c>
      <c r="N3" s="22">
        <v>672392.18105339864</v>
      </c>
      <c r="O3" s="22">
        <v>730756.93431061378</v>
      </c>
      <c r="P3" s="22">
        <v>11402514.115431102</v>
      </c>
      <c r="Q3" s="22">
        <v>2887291.8484658888</v>
      </c>
    </row>
    <row r="4" spans="1:17" x14ac:dyDescent="0.3">
      <c r="A4" s="20" t="s">
        <v>11</v>
      </c>
      <c r="B4" s="22">
        <v>66833.572756185473</v>
      </c>
      <c r="H4" s="20" t="s">
        <v>33</v>
      </c>
      <c r="I4" s="21">
        <v>3509.3237238264064</v>
      </c>
      <c r="M4" s="20" t="s">
        <v>16</v>
      </c>
      <c r="N4" s="22">
        <v>7010148.2318410072</v>
      </c>
      <c r="O4" s="22">
        <v>3163385.2128203162</v>
      </c>
      <c r="P4" s="22">
        <v>1641906.1038358856</v>
      </c>
      <c r="Q4" s="22">
        <v>5736656.2130248873</v>
      </c>
    </row>
    <row r="5" spans="1:17" x14ac:dyDescent="0.3">
      <c r="A5" s="20" t="s">
        <v>63</v>
      </c>
      <c r="B5" s="22">
        <v>66833.572756185473</v>
      </c>
      <c r="H5" s="20" t="s">
        <v>27</v>
      </c>
      <c r="I5" s="21">
        <v>6206.8223869500889</v>
      </c>
      <c r="M5" s="20" t="s">
        <v>8</v>
      </c>
      <c r="N5" s="22">
        <v>3716099.6022993</v>
      </c>
      <c r="O5" s="22">
        <v>9230635.2396968547</v>
      </c>
      <c r="P5" s="22">
        <v>19012434.021335002</v>
      </c>
      <c r="Q5" s="22">
        <v>7514587.9615697684</v>
      </c>
    </row>
    <row r="6" spans="1:17" x14ac:dyDescent="0.3">
      <c r="H6" s="20" t="s">
        <v>19</v>
      </c>
      <c r="I6" s="21">
        <v>7440.8874987086165</v>
      </c>
      <c r="M6" s="20" t="s">
        <v>13</v>
      </c>
      <c r="N6" s="22">
        <v>8849820.127815498</v>
      </c>
      <c r="O6" s="22">
        <v>5867434.8919673311</v>
      </c>
      <c r="P6" s="22">
        <v>4490893.0608828636</v>
      </c>
      <c r="Q6" s="22">
        <v>3276753.3887649914</v>
      </c>
    </row>
    <row r="7" spans="1:17" x14ac:dyDescent="0.3">
      <c r="H7" s="20" t="s">
        <v>2</v>
      </c>
      <c r="I7" s="21">
        <v>13743.555694345694</v>
      </c>
      <c r="M7" s="20" t="s">
        <v>10</v>
      </c>
      <c r="N7" s="22">
        <v>10507546.781018656</v>
      </c>
      <c r="O7" s="22">
        <v>9066038.9310609531</v>
      </c>
      <c r="P7" s="22">
        <v>11617624.570669712</v>
      </c>
      <c r="Q7" s="22">
        <v>4991235.1129056783</v>
      </c>
    </row>
    <row r="8" spans="1:17" x14ac:dyDescent="0.3">
      <c r="H8" s="20" t="s">
        <v>14</v>
      </c>
      <c r="I8" s="21">
        <v>35932.983452354645</v>
      </c>
      <c r="M8" s="20" t="s">
        <v>65</v>
      </c>
      <c r="N8" s="22">
        <v>30756006.92402786</v>
      </c>
      <c r="O8" s="22">
        <v>28058251.209856071</v>
      </c>
      <c r="P8" s="22">
        <v>48165371.872154571</v>
      </c>
      <c r="Q8" s="22">
        <v>24406524.524731215</v>
      </c>
    </row>
    <row r="9" spans="1:17" x14ac:dyDescent="0.3">
      <c r="H9" s="20" t="s">
        <v>63</v>
      </c>
      <c r="I9" s="21">
        <v>66833.572756185458</v>
      </c>
      <c r="M9" s="20" t="s">
        <v>63</v>
      </c>
      <c r="N9" s="22">
        <v>61512013.84805572</v>
      </c>
      <c r="O9" s="22">
        <v>56116502.419712141</v>
      </c>
      <c r="P9" s="22">
        <v>96330743.744309127</v>
      </c>
      <c r="Q9" s="22">
        <v>48813049.04946243</v>
      </c>
    </row>
    <row r="30" spans="1:2" x14ac:dyDescent="0.3">
      <c r="A30" s="19" t="s">
        <v>62</v>
      </c>
      <c r="B30" t="s">
        <v>66</v>
      </c>
    </row>
    <row r="31" spans="1:2" x14ac:dyDescent="0.3">
      <c r="A31" s="20" t="s">
        <v>33</v>
      </c>
      <c r="B31" s="22">
        <v>3995647.5406374158</v>
      </c>
    </row>
    <row r="32" spans="1:2" x14ac:dyDescent="0.3">
      <c r="A32" s="20" t="s">
        <v>14</v>
      </c>
      <c r="B32" s="22">
        <v>51658196.090519346</v>
      </c>
    </row>
    <row r="33" spans="1:2" x14ac:dyDescent="0.3">
      <c r="A33" s="20" t="s">
        <v>27</v>
      </c>
      <c r="B33" s="22">
        <v>27546630.476876516</v>
      </c>
    </row>
    <row r="34" spans="1:2" x14ac:dyDescent="0.3">
      <c r="A34" s="20" t="s">
        <v>2</v>
      </c>
      <c r="B34" s="22">
        <v>50028724.198956147</v>
      </c>
    </row>
    <row r="35" spans="1:2" x14ac:dyDescent="0.3">
      <c r="A35" s="20" t="s">
        <v>19</v>
      </c>
      <c r="B35" s="22">
        <v>22568090.176577993</v>
      </c>
    </row>
    <row r="36" spans="1:2" x14ac:dyDescent="0.3">
      <c r="A36" s="20" t="s">
        <v>65</v>
      </c>
      <c r="B36" s="22"/>
    </row>
    <row r="37" spans="1:2" x14ac:dyDescent="0.3">
      <c r="A37" s="20" t="s">
        <v>63</v>
      </c>
      <c r="B37" s="22">
        <v>155797288.48356742</v>
      </c>
    </row>
    <row r="56" spans="1:2" x14ac:dyDescent="0.3">
      <c r="A56" s="19" t="s">
        <v>62</v>
      </c>
      <c r="B56" t="s">
        <v>66</v>
      </c>
    </row>
    <row r="57" spans="1:2" x14ac:dyDescent="0.3">
      <c r="A57" s="20" t="s">
        <v>33</v>
      </c>
      <c r="B57" s="22">
        <v>3995647.5406374158</v>
      </c>
    </row>
    <row r="58" spans="1:2" x14ac:dyDescent="0.3">
      <c r="A58" s="20" t="s">
        <v>14</v>
      </c>
      <c r="B58" s="22">
        <v>51658196.090519346</v>
      </c>
    </row>
    <row r="59" spans="1:2" x14ac:dyDescent="0.3">
      <c r="A59" s="20" t="s">
        <v>27</v>
      </c>
      <c r="B59" s="22">
        <v>27546630.476876516</v>
      </c>
    </row>
    <row r="60" spans="1:2" x14ac:dyDescent="0.3">
      <c r="A60" s="20" t="s">
        <v>2</v>
      </c>
      <c r="B60" s="22">
        <v>50028724.198956147</v>
      </c>
    </row>
    <row r="61" spans="1:2" x14ac:dyDescent="0.3">
      <c r="A61" s="20" t="s">
        <v>19</v>
      </c>
      <c r="B61" s="22">
        <v>22568090.176577993</v>
      </c>
    </row>
    <row r="62" spans="1:2" x14ac:dyDescent="0.3">
      <c r="A62" s="20" t="s">
        <v>65</v>
      </c>
      <c r="B62" s="22"/>
    </row>
    <row r="63" spans="1:2" x14ac:dyDescent="0.3">
      <c r="A63" s="20" t="s">
        <v>63</v>
      </c>
      <c r="B63" s="22">
        <v>155797288.48356742</v>
      </c>
    </row>
  </sheetData>
  <pageMargins left="0.7" right="0.7" top="0.75" bottom="0.75" header="0.3" footer="0.3"/>
  <pageSetup paperSize="9"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38B1-9FC2-4D39-9B47-5C756D143C5A}">
  <dimension ref="A1:AD10"/>
  <sheetViews>
    <sheetView workbookViewId="0">
      <selection activeCell="V20" sqref="V20"/>
    </sheetView>
  </sheetViews>
  <sheetFormatPr defaultRowHeight="14.4" x14ac:dyDescent="0.3"/>
  <cols>
    <col min="1" max="1" width="21.33203125" customWidth="1"/>
    <col min="2" max="2" width="12" bestFit="1" customWidth="1"/>
    <col min="3" max="5" width="11" bestFit="1" customWidth="1"/>
    <col min="13" max="13" width="25.33203125" customWidth="1"/>
    <col min="14" max="14" width="21.5546875" customWidth="1"/>
    <col min="15" max="15" width="19.109375" customWidth="1"/>
    <col min="30" max="30" width="12.5546875" customWidth="1"/>
  </cols>
  <sheetData>
    <row r="1" spans="1:30" x14ac:dyDescent="0.3">
      <c r="K1">
        <v>2</v>
      </c>
      <c r="L1">
        <v>4</v>
      </c>
      <c r="M1" t="str" cm="1">
        <f t="array" ref="M1">INDEX($A$4:$A$9, $K$1)</f>
        <v>uLight Flashlight</v>
      </c>
      <c r="N1" t="s">
        <v>1</v>
      </c>
      <c r="O1" t="s">
        <v>6</v>
      </c>
      <c r="P1" t="s">
        <v>9</v>
      </c>
      <c r="Q1" t="s">
        <v>11</v>
      </c>
      <c r="AD1">
        <v>1</v>
      </c>
    </row>
    <row r="2" spans="1:30" x14ac:dyDescent="0.3">
      <c r="H2" t="str">
        <f>"Q"&amp;I2</f>
        <v>Q1</v>
      </c>
      <c r="I2">
        <v>1</v>
      </c>
      <c r="N2">
        <f>VLOOKUP($M$1, $A$4:$E$9, COLUMN()-12, 0)</f>
        <v>2859410.5999999982</v>
      </c>
      <c r="O2">
        <f t="shared" ref="O2:Q2" si="0">VLOOKUP($M$1, $A$4:$E$9, COLUMN()-12, 0)</f>
        <v>3654282.349999995</v>
      </c>
      <c r="P2">
        <f t="shared" si="0"/>
        <v>4154066.3999999976</v>
      </c>
      <c r="Q2">
        <f t="shared" si="0"/>
        <v>4477898.4999999935</v>
      </c>
    </row>
    <row r="3" spans="1:30" x14ac:dyDescent="0.3">
      <c r="A3" s="31" t="s">
        <v>57</v>
      </c>
      <c r="B3" s="32" t="s">
        <v>1</v>
      </c>
      <c r="C3" s="32" t="s">
        <v>6</v>
      </c>
      <c r="D3" s="32" t="s">
        <v>9</v>
      </c>
      <c r="E3" s="32" t="s">
        <v>11</v>
      </c>
      <c r="H3" t="str">
        <f>"Продажи за " &amp; H2</f>
        <v>Продажи за Q1</v>
      </c>
    </row>
    <row r="4" spans="1:30" x14ac:dyDescent="0.3">
      <c r="A4" s="35" t="s">
        <v>16</v>
      </c>
      <c r="B4" s="30">
        <f>SUMIFS(Продажи[Значение], Продажи[Продукт], $A4, Продажи[Квартал], B$3, Продажи[Параметр], "Sales")</f>
        <v>24952125.559999991</v>
      </c>
      <c r="C4" s="30">
        <f>SUMIFS(Продажи[Значение], Продажи[Продукт], $A4, Продажи[Квартал], C$3, Продажи[Параметр], "Sales")</f>
        <v>25725490.109999985</v>
      </c>
      <c r="D4" s="30">
        <f>SUMIFS(Продажи[Значение], Продажи[Продукт], $A4, Продажи[Квартал], D$3, Продажи[Параметр], "Sales")</f>
        <v>32139279.439999986</v>
      </c>
      <c r="E4" s="30">
        <f>SUMIFS(Продажи[Значение], Продажи[Продукт], $A4, Продажи[Квартал], E$3, Продажи[Параметр], "Sales")</f>
        <v>34111530.799999982</v>
      </c>
      <c r="G4" t="s">
        <v>7</v>
      </c>
      <c r="H4">
        <f>SUMIFS(Продажи[Значение], Продажи[Категория], $G4, Продажи[Квартал], $H$2, Продажи[Параметр], "Sales")</f>
        <v>38903842.999999993</v>
      </c>
    </row>
    <row r="5" spans="1:30" x14ac:dyDescent="0.3">
      <c r="A5" s="35" t="s">
        <v>5</v>
      </c>
      <c r="B5" s="30">
        <f>SUMIFS(Продажи[Значение], Продажи[Продукт], $A5, Продажи[Квартал], B$3, Продажи[Параметр], "Sales")</f>
        <v>2859410.5999999982</v>
      </c>
      <c r="C5" s="30">
        <f>SUMIFS(Продажи[Значение], Продажи[Продукт], $A5, Продажи[Квартал], C$3, Продажи[Параметр], "Sales")</f>
        <v>3654282.349999995</v>
      </c>
      <c r="D5" s="30">
        <f>SUMIFS(Продажи[Значение], Продажи[Продукт], $A5, Продажи[Квартал], D$3, Продажи[Параметр], "Sales")</f>
        <v>4154066.3999999976</v>
      </c>
      <c r="E5" s="30">
        <f>SUMIFS(Продажи[Значение], Продажи[Продукт], $A5, Продажи[Квартал], E$3, Продажи[Параметр], "Sales")</f>
        <v>4477898.4999999935</v>
      </c>
      <c r="G5" t="s">
        <v>12</v>
      </c>
      <c r="H5">
        <f>SUMIFS(Продажи[Значение], Продажи[Категория], $G5, Продажи[Квартал], $H$2, Продажи[Параметр], "Sales")</f>
        <v>66385690.319999978</v>
      </c>
    </row>
    <row r="6" spans="1:30" x14ac:dyDescent="0.3">
      <c r="A6" s="35" t="s">
        <v>13</v>
      </c>
      <c r="B6" s="30">
        <f>SUMIFS(Продажи[Значение], Продажи[Продукт], $A6, Продажи[Квартал], B$3, Продажи[Параметр], "Sales")</f>
        <v>41433564.759999998</v>
      </c>
      <c r="C6" s="30">
        <f>SUMIFS(Продажи[Значение], Продажи[Продукт], $A6, Продажи[Квартал], C$3, Продажи[Параметр], "Sales")</f>
        <v>17487293.509999994</v>
      </c>
      <c r="D6" s="30">
        <f>SUMIFS(Продажи[Значение], Продажи[Продукт], $A6, Продажи[Квартал], D$3, Продажи[Параметр], "Sales")</f>
        <v>19327586.239999998</v>
      </c>
      <c r="E6" s="30">
        <f>SUMIFS(Продажи[Значение], Продажи[Продукт], $A6, Продажи[Квартал], E$3, Продажи[Параметр], "Sales")</f>
        <v>21852096.299999997</v>
      </c>
      <c r="G6" t="s">
        <v>4</v>
      </c>
      <c r="H6">
        <f>SUMIFS(Продажи[Значение], Продажи[Категория], $G6, Продажи[Квартал], $H$2, Продажи[Параметр], "Sales")</f>
        <v>3754916.3999999971</v>
      </c>
    </row>
    <row r="7" spans="1:30" x14ac:dyDescent="0.3">
      <c r="A7" s="35" t="s">
        <v>17</v>
      </c>
      <c r="B7" s="30">
        <f>SUMIFS(Продажи[Значение], Продажи[Продукт], $A7, Продажи[Квартал], B$3, Продажи[Параметр], "Sales")</f>
        <v>14636341.399999997</v>
      </c>
      <c r="C7" s="30">
        <f>SUMIFS(Продажи[Значение], Продажи[Продукт], $A7, Продажи[Квартал], C$3, Продажи[Параметр], "Sales")</f>
        <v>14301238.649999999</v>
      </c>
      <c r="D7" s="30">
        <f>SUMIFS(Продажи[Значение], Продажи[Продукт], $A7, Продажи[Квартал], D$3, Продажи[Параметр], "Sales")</f>
        <v>15514762.599999998</v>
      </c>
      <c r="E7" s="30">
        <f>SUMIFS(Продажи[Значение], Продажи[Продукт], $A7, Продажи[Квартал], E$3, Продажи[Параметр], "Sales")</f>
        <v>16985557.499999993</v>
      </c>
    </row>
    <row r="8" spans="1:30" x14ac:dyDescent="0.3">
      <c r="A8" s="35" t="s">
        <v>8</v>
      </c>
      <c r="B8" s="30">
        <f>SUMIFS(Продажи[Значение], Продажи[Продукт], $A8, Продажи[Квартал], B$3, Продажи[Параметр], "Sales")</f>
        <v>24267501.600000009</v>
      </c>
      <c r="C8" s="30">
        <f>SUMIFS(Продажи[Значение], Продажи[Продукт], $A8, Продажи[Квартал], C$3, Продажи[Параметр], "Sales")</f>
        <v>1755216.5999999994</v>
      </c>
      <c r="D8" s="30">
        <f>SUMIFS(Продажи[Значение], Продажи[Продукт], $A8, Продажи[Квартал], D$3, Продажи[Параметр], "Sales")</f>
        <v>1956738.399999999</v>
      </c>
      <c r="E8" s="30">
        <f>SUMIFS(Продажи[Значение], Продажи[Продукт], $A8, Продажи[Квартал], E$3, Продажи[Параметр], "Sales")</f>
        <v>2069357.9999999986</v>
      </c>
    </row>
    <row r="9" spans="1:30" x14ac:dyDescent="0.3">
      <c r="A9" s="35" t="s">
        <v>10</v>
      </c>
      <c r="B9" s="30">
        <f>SUMIFS(Продажи[Значение], Продажи[Продукт], $A9, Продажи[Квартал], B$3, Продажи[Параметр], "Sales")</f>
        <v>895505.7999999997</v>
      </c>
      <c r="C9" s="30">
        <f>SUMIFS(Продажи[Значение], Продажи[Продукт], $A9, Продажи[Квартал], C$3, Продажи[Параметр], "Sales")</f>
        <v>884287.29999999946</v>
      </c>
      <c r="D9" s="30">
        <f>SUMIFS(Продажи[Значение], Продажи[Продукт], $A9, Продажи[Квартал], D$3, Продажи[Параметр], "Sales")</f>
        <v>1494607.1999999995</v>
      </c>
      <c r="E9" s="30">
        <f>SUMIFS(Продажи[Значение], Продажи[Продукт], $A9, Продажи[Квартал], E$3, Продажи[Параметр], "Sales")</f>
        <v>1177209.9999999995</v>
      </c>
    </row>
    <row r="10" spans="1:30" x14ac:dyDescent="0.3">
      <c r="A10" s="33" t="s">
        <v>72</v>
      </c>
      <c r="B10" s="34">
        <f>SUM(B4:B9)</f>
        <v>109044449.71999998</v>
      </c>
      <c r="C10" s="34">
        <f>SUM(C4:C9)</f>
        <v>63807808.519999966</v>
      </c>
      <c r="D10" s="34">
        <f>SUM(D4:D9)</f>
        <v>74587040.279999986</v>
      </c>
      <c r="E10" s="34">
        <f>SUM(E4:E9)</f>
        <v>80673651.099999964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1" r:id="rId3" name="Group Box 5">
              <controlPr defaultSize="0" autoFill="0" autoPict="0">
                <anchor moveWithCells="1">
                  <from>
                    <xdr:col>2</xdr:col>
                    <xdr:colOff>594360</xdr:colOff>
                    <xdr:row>14</xdr:row>
                    <xdr:rowOff>137160</xdr:rowOff>
                  </from>
                  <to>
                    <xdr:col>3</xdr:col>
                    <xdr:colOff>586740</xdr:colOff>
                    <xdr:row>22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4" name="Option Button 7">
              <controlPr defaultSize="0" autoFill="0" autoLine="0" autoPict="0">
                <anchor moveWithCells="1">
                  <from>
                    <xdr:col>2</xdr:col>
                    <xdr:colOff>670560</xdr:colOff>
                    <xdr:row>16</xdr:row>
                    <xdr:rowOff>53340</xdr:rowOff>
                  </from>
                  <to>
                    <xdr:col>3</xdr:col>
                    <xdr:colOff>495300</xdr:colOff>
                    <xdr:row>17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5" name="Option Button 8">
              <controlPr defaultSize="0" autoFill="0" autoLine="0" autoPict="0">
                <anchor moveWithCells="1">
                  <from>
                    <xdr:col>2</xdr:col>
                    <xdr:colOff>662940</xdr:colOff>
                    <xdr:row>17</xdr:row>
                    <xdr:rowOff>83820</xdr:rowOff>
                  </from>
                  <to>
                    <xdr:col>3</xdr:col>
                    <xdr:colOff>464820</xdr:colOff>
                    <xdr:row>18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6" name="Option Button 10">
              <controlPr defaultSize="0" autoFill="0" autoLine="0" autoPict="0">
                <anchor moveWithCells="1">
                  <from>
                    <xdr:col>2</xdr:col>
                    <xdr:colOff>662940</xdr:colOff>
                    <xdr:row>19</xdr:row>
                    <xdr:rowOff>175260</xdr:rowOff>
                  </from>
                  <to>
                    <xdr:col>3</xdr:col>
                    <xdr:colOff>441960</xdr:colOff>
                    <xdr:row>21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7" name="Option Button 11">
              <controlPr defaultSize="0" autoFill="0" autoLine="0" autoPict="0">
                <anchor moveWithCells="1">
                  <from>
                    <xdr:col>2</xdr:col>
                    <xdr:colOff>678180</xdr:colOff>
                    <xdr:row>18</xdr:row>
                    <xdr:rowOff>129540</xdr:rowOff>
                  </from>
                  <to>
                    <xdr:col>3</xdr:col>
                    <xdr:colOff>373380</xdr:colOff>
                    <xdr:row>19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8" name="Drop Down 13">
              <controlPr defaultSize="0" autoLine="0" autoPict="0">
                <anchor moveWithCells="1">
                  <from>
                    <xdr:col>12</xdr:col>
                    <xdr:colOff>22860</xdr:colOff>
                    <xdr:row>23</xdr:row>
                    <xdr:rowOff>167640</xdr:rowOff>
                  </from>
                  <to>
                    <xdr:col>17</xdr:col>
                    <xdr:colOff>327660</xdr:colOff>
                    <xdr:row>25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9" name="Scroll Bar 14">
              <controlPr defaultSize="0" autoPict="0">
                <anchor moveWithCells="1">
                  <from>
                    <xdr:col>17</xdr:col>
                    <xdr:colOff>335280</xdr:colOff>
                    <xdr:row>9</xdr:row>
                    <xdr:rowOff>0</xdr:rowOff>
                  </from>
                  <to>
                    <xdr:col>18</xdr:col>
                    <xdr:colOff>99060</xdr:colOff>
                    <xdr:row>25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09"/>
  <sheetViews>
    <sheetView workbookViewId="0">
      <selection activeCell="I1" sqref="I1:I7"/>
    </sheetView>
  </sheetViews>
  <sheetFormatPr defaultRowHeight="14.4" x14ac:dyDescent="0.3"/>
  <cols>
    <col min="1" max="1" width="23.6640625" customWidth="1"/>
    <col min="2" max="2" width="12.6640625" bestFit="1" customWidth="1"/>
    <col min="3" max="3" width="14.88671875" bestFit="1" customWidth="1"/>
    <col min="4" max="4" width="12.88671875" bestFit="1" customWidth="1"/>
    <col min="5" max="5" width="16.5546875" customWidth="1"/>
    <col min="6" max="6" width="14.33203125" bestFit="1" customWidth="1"/>
    <col min="9" max="9" width="23.6640625" customWidth="1"/>
  </cols>
  <sheetData>
    <row r="1" spans="1:9" x14ac:dyDescent="0.3">
      <c r="A1" s="14" t="s">
        <v>57</v>
      </c>
      <c r="B1" s="14" t="s">
        <v>54</v>
      </c>
      <c r="C1" s="14" t="s">
        <v>56</v>
      </c>
      <c r="D1" s="14" t="s">
        <v>53</v>
      </c>
      <c r="E1" s="14" t="s">
        <v>59</v>
      </c>
      <c r="F1" s="14" t="s">
        <v>60</v>
      </c>
      <c r="I1" s="14" t="s">
        <v>57</v>
      </c>
    </row>
    <row r="2" spans="1:9" x14ac:dyDescent="0.3">
      <c r="A2" s="1" t="s">
        <v>16</v>
      </c>
      <c r="B2" s="1" t="s">
        <v>43</v>
      </c>
      <c r="C2" s="2" t="s">
        <v>12</v>
      </c>
      <c r="D2" s="1" t="s">
        <v>1</v>
      </c>
      <c r="E2" s="1" t="s">
        <v>44</v>
      </c>
      <c r="F2" s="1">
        <v>517352.78</v>
      </c>
      <c r="I2" s="1" t="s">
        <v>16</v>
      </c>
    </row>
    <row r="3" spans="1:9" x14ac:dyDescent="0.3">
      <c r="A3" s="3" t="s">
        <v>16</v>
      </c>
      <c r="B3" s="3" t="s">
        <v>43</v>
      </c>
      <c r="C3" s="4" t="s">
        <v>12</v>
      </c>
      <c r="D3" s="3" t="s">
        <v>1</v>
      </c>
      <c r="E3" s="3" t="s">
        <v>45</v>
      </c>
      <c r="F3" s="3">
        <v>710167.5</v>
      </c>
      <c r="I3" s="1" t="s">
        <v>5</v>
      </c>
    </row>
    <row r="4" spans="1:9" x14ac:dyDescent="0.3">
      <c r="A4" s="1" t="s">
        <v>16</v>
      </c>
      <c r="B4" s="1" t="s">
        <v>43</v>
      </c>
      <c r="C4" s="2" t="s">
        <v>12</v>
      </c>
      <c r="D4" s="1" t="s">
        <v>1</v>
      </c>
      <c r="E4" s="1" t="s">
        <v>46</v>
      </c>
      <c r="F4" s="1">
        <v>148453.20000000001</v>
      </c>
      <c r="I4" s="3" t="s">
        <v>13</v>
      </c>
    </row>
    <row r="5" spans="1:9" x14ac:dyDescent="0.3">
      <c r="A5" s="3" t="s">
        <v>16</v>
      </c>
      <c r="B5" s="3" t="s">
        <v>43</v>
      </c>
      <c r="C5" s="4" t="s">
        <v>12</v>
      </c>
      <c r="D5" s="3" t="s">
        <v>1</v>
      </c>
      <c r="E5" s="3" t="s">
        <v>47</v>
      </c>
      <c r="F5" s="3">
        <v>29961.52</v>
      </c>
      <c r="I5" s="1" t="s">
        <v>17</v>
      </c>
    </row>
    <row r="6" spans="1:9" x14ac:dyDescent="0.3">
      <c r="A6" s="1" t="s">
        <v>16</v>
      </c>
      <c r="B6" s="1" t="s">
        <v>43</v>
      </c>
      <c r="C6" s="2" t="s">
        <v>12</v>
      </c>
      <c r="D6" s="1" t="s">
        <v>1</v>
      </c>
      <c r="E6" s="1" t="s">
        <v>48</v>
      </c>
      <c r="F6" s="1">
        <v>14399.9999999999</v>
      </c>
      <c r="I6" s="1" t="s">
        <v>8</v>
      </c>
    </row>
    <row r="7" spans="1:9" x14ac:dyDescent="0.3">
      <c r="A7" s="3" t="s">
        <v>16</v>
      </c>
      <c r="B7" s="3" t="s">
        <v>43</v>
      </c>
      <c r="C7" s="4" t="s">
        <v>12</v>
      </c>
      <c r="D7" s="3" t="s">
        <v>1</v>
      </c>
      <c r="E7" s="3" t="s">
        <v>49</v>
      </c>
      <c r="F7" s="3">
        <v>0.72849402429708399</v>
      </c>
      <c r="I7" s="1" t="s">
        <v>10</v>
      </c>
    </row>
    <row r="8" spans="1:9" x14ac:dyDescent="0.3">
      <c r="A8" s="1" t="s">
        <v>16</v>
      </c>
      <c r="B8" s="1" t="s">
        <v>43</v>
      </c>
      <c r="C8" s="2" t="s">
        <v>12</v>
      </c>
      <c r="D8" s="1" t="s">
        <v>6</v>
      </c>
      <c r="E8" s="1" t="s">
        <v>44</v>
      </c>
      <c r="F8" s="1">
        <v>858770.53</v>
      </c>
    </row>
    <row r="9" spans="1:9" x14ac:dyDescent="0.3">
      <c r="A9" s="3" t="s">
        <v>16</v>
      </c>
      <c r="B9" s="3" t="s">
        <v>43</v>
      </c>
      <c r="C9" s="4" t="s">
        <v>12</v>
      </c>
      <c r="D9" s="3" t="s">
        <v>6</v>
      </c>
      <c r="E9" s="3" t="s">
        <v>45</v>
      </c>
      <c r="F9" s="3">
        <v>1065251.25</v>
      </c>
    </row>
    <row r="10" spans="1:9" x14ac:dyDescent="0.3">
      <c r="A10" s="1" t="s">
        <v>16</v>
      </c>
      <c r="B10" s="1" t="s">
        <v>43</v>
      </c>
      <c r="C10" s="2" t="s">
        <v>12</v>
      </c>
      <c r="D10" s="1" t="s">
        <v>6</v>
      </c>
      <c r="E10" s="1" t="s">
        <v>46</v>
      </c>
      <c r="F10" s="1">
        <v>149608.20000000001</v>
      </c>
    </row>
    <row r="11" spans="1:9" x14ac:dyDescent="0.3">
      <c r="A11" s="3" t="s">
        <v>16</v>
      </c>
      <c r="B11" s="3" t="s">
        <v>43</v>
      </c>
      <c r="C11" s="4" t="s">
        <v>12</v>
      </c>
      <c r="D11" s="3" t="s">
        <v>6</v>
      </c>
      <c r="E11" s="3" t="s">
        <v>47</v>
      </c>
      <c r="F11" s="3">
        <v>35272.519999999902</v>
      </c>
    </row>
    <row r="12" spans="1:9" x14ac:dyDescent="0.3">
      <c r="A12" s="1" t="s">
        <v>16</v>
      </c>
      <c r="B12" s="1" t="s">
        <v>43</v>
      </c>
      <c r="C12" s="2" t="s">
        <v>12</v>
      </c>
      <c r="D12" s="1" t="s">
        <v>6</v>
      </c>
      <c r="E12" s="1" t="s">
        <v>48</v>
      </c>
      <c r="F12" s="1">
        <v>21600</v>
      </c>
    </row>
    <row r="13" spans="1:9" x14ac:dyDescent="0.3">
      <c r="A13" s="3" t="s">
        <v>16</v>
      </c>
      <c r="B13" s="3" t="s">
        <v>43</v>
      </c>
      <c r="C13" s="4" t="s">
        <v>12</v>
      </c>
      <c r="D13" s="3" t="s">
        <v>6</v>
      </c>
      <c r="E13" s="3" t="s">
        <v>49</v>
      </c>
      <c r="F13" s="3">
        <v>0.80616711785130502</v>
      </c>
    </row>
    <row r="14" spans="1:9" x14ac:dyDescent="0.3">
      <c r="A14" s="1" t="s">
        <v>16</v>
      </c>
      <c r="B14" s="1" t="s">
        <v>43</v>
      </c>
      <c r="C14" s="2" t="s">
        <v>12</v>
      </c>
      <c r="D14" s="1" t="s">
        <v>9</v>
      </c>
      <c r="E14" s="1" t="s">
        <v>44</v>
      </c>
      <c r="F14" s="1">
        <v>1182686.28</v>
      </c>
    </row>
    <row r="15" spans="1:9" x14ac:dyDescent="0.3">
      <c r="A15" s="3" t="s">
        <v>16</v>
      </c>
      <c r="B15" s="3" t="s">
        <v>43</v>
      </c>
      <c r="C15" s="4" t="s">
        <v>12</v>
      </c>
      <c r="D15" s="3" t="s">
        <v>9</v>
      </c>
      <c r="E15" s="3" t="s">
        <v>45</v>
      </c>
      <c r="F15" s="3">
        <v>1420335</v>
      </c>
    </row>
    <row r="16" spans="1:9" x14ac:dyDescent="0.3">
      <c r="A16" s="1" t="s">
        <v>16</v>
      </c>
      <c r="B16" s="1" t="s">
        <v>43</v>
      </c>
      <c r="C16" s="2" t="s">
        <v>12</v>
      </c>
      <c r="D16" s="1" t="s">
        <v>9</v>
      </c>
      <c r="E16" s="1" t="s">
        <v>46</v>
      </c>
      <c r="F16" s="1">
        <v>166198.20000000001</v>
      </c>
    </row>
    <row r="17" spans="1:6" x14ac:dyDescent="0.3">
      <c r="A17" s="3" t="s">
        <v>16</v>
      </c>
      <c r="B17" s="3" t="s">
        <v>43</v>
      </c>
      <c r="C17" s="4" t="s">
        <v>12</v>
      </c>
      <c r="D17" s="3" t="s">
        <v>9</v>
      </c>
      <c r="E17" s="3" t="s">
        <v>47</v>
      </c>
      <c r="F17" s="3">
        <v>42650.519999999902</v>
      </c>
    </row>
    <row r="18" spans="1:6" x14ac:dyDescent="0.3">
      <c r="A18" s="1" t="s">
        <v>16</v>
      </c>
      <c r="B18" s="1" t="s">
        <v>43</v>
      </c>
      <c r="C18" s="2" t="s">
        <v>12</v>
      </c>
      <c r="D18" s="1" t="s">
        <v>9</v>
      </c>
      <c r="E18" s="1" t="s">
        <v>48</v>
      </c>
      <c r="F18" s="1">
        <v>28799.999999999902</v>
      </c>
    </row>
    <row r="19" spans="1:6" x14ac:dyDescent="0.3">
      <c r="A19" s="3" t="s">
        <v>16</v>
      </c>
      <c r="B19" s="3" t="s">
        <v>43</v>
      </c>
      <c r="C19" s="4" t="s">
        <v>12</v>
      </c>
      <c r="D19" s="3" t="s">
        <v>9</v>
      </c>
      <c r="E19" s="3" t="s">
        <v>49</v>
      </c>
      <c r="F19" s="3">
        <v>0.83268121957143904</v>
      </c>
    </row>
    <row r="20" spans="1:6" x14ac:dyDescent="0.3">
      <c r="A20" s="1" t="s">
        <v>16</v>
      </c>
      <c r="B20" s="1" t="s">
        <v>43</v>
      </c>
      <c r="C20" s="2" t="s">
        <v>12</v>
      </c>
      <c r="D20" s="1" t="s">
        <v>11</v>
      </c>
      <c r="E20" s="1" t="s">
        <v>44</v>
      </c>
      <c r="F20" s="1">
        <v>1477432.03</v>
      </c>
    </row>
    <row r="21" spans="1:6" x14ac:dyDescent="0.3">
      <c r="A21" s="3" t="s">
        <v>16</v>
      </c>
      <c r="B21" s="3" t="s">
        <v>43</v>
      </c>
      <c r="C21" s="4" t="s">
        <v>12</v>
      </c>
      <c r="D21" s="3" t="s">
        <v>11</v>
      </c>
      <c r="E21" s="3" t="s">
        <v>45</v>
      </c>
      <c r="F21" s="3">
        <v>1775418.75</v>
      </c>
    </row>
    <row r="22" spans="1:6" x14ac:dyDescent="0.3">
      <c r="A22" s="1" t="s">
        <v>16</v>
      </c>
      <c r="B22" s="1" t="s">
        <v>43</v>
      </c>
      <c r="C22" s="2" t="s">
        <v>12</v>
      </c>
      <c r="D22" s="1" t="s">
        <v>11</v>
      </c>
      <c r="E22" s="1" t="s">
        <v>46</v>
      </c>
      <c r="F22" s="1">
        <v>208513.2</v>
      </c>
    </row>
    <row r="23" spans="1:6" x14ac:dyDescent="0.3">
      <c r="A23" s="3" t="s">
        <v>16</v>
      </c>
      <c r="B23" s="3" t="s">
        <v>43</v>
      </c>
      <c r="C23" s="4" t="s">
        <v>12</v>
      </c>
      <c r="D23" s="3" t="s">
        <v>11</v>
      </c>
      <c r="E23" s="3" t="s">
        <v>47</v>
      </c>
      <c r="F23" s="3">
        <v>53473.519999999902</v>
      </c>
    </row>
    <row r="24" spans="1:6" x14ac:dyDescent="0.3">
      <c r="A24" s="1" t="s">
        <v>16</v>
      </c>
      <c r="B24" s="1" t="s">
        <v>43</v>
      </c>
      <c r="C24" s="2" t="s">
        <v>12</v>
      </c>
      <c r="D24" s="1" t="s">
        <v>11</v>
      </c>
      <c r="E24" s="1" t="s">
        <v>48</v>
      </c>
      <c r="F24" s="1">
        <v>36000</v>
      </c>
    </row>
    <row r="25" spans="1:6" x14ac:dyDescent="0.3">
      <c r="A25" s="3" t="s">
        <v>16</v>
      </c>
      <c r="B25" s="3" t="s">
        <v>43</v>
      </c>
      <c r="C25" s="4" t="s">
        <v>12</v>
      </c>
      <c r="D25" s="3" t="s">
        <v>11</v>
      </c>
      <c r="E25" s="3" t="s">
        <v>49</v>
      </c>
      <c r="F25" s="3">
        <v>0.83215975386088403</v>
      </c>
    </row>
    <row r="26" spans="1:6" x14ac:dyDescent="0.3">
      <c r="A26" s="1" t="s">
        <v>16</v>
      </c>
      <c r="B26" s="1" t="s">
        <v>43</v>
      </c>
      <c r="C26" s="2" t="s">
        <v>12</v>
      </c>
      <c r="D26" s="1" t="s">
        <v>1</v>
      </c>
      <c r="E26" s="1" t="s">
        <v>0</v>
      </c>
      <c r="F26" s="1">
        <v>78.6575343645289</v>
      </c>
    </row>
    <row r="27" spans="1:6" x14ac:dyDescent="0.3">
      <c r="A27" s="3" t="s">
        <v>16</v>
      </c>
      <c r="B27" s="3" t="s">
        <v>43</v>
      </c>
      <c r="C27" s="4" t="s">
        <v>12</v>
      </c>
      <c r="D27" s="3" t="s">
        <v>1</v>
      </c>
      <c r="E27" s="3" t="s">
        <v>44</v>
      </c>
      <c r="F27" s="3">
        <v>20371</v>
      </c>
    </row>
    <row r="28" spans="1:6" x14ac:dyDescent="0.3">
      <c r="A28" s="1" t="s">
        <v>16</v>
      </c>
      <c r="B28" s="1" t="s">
        <v>43</v>
      </c>
      <c r="C28" s="2" t="s">
        <v>12</v>
      </c>
      <c r="D28" s="1" t="s">
        <v>1</v>
      </c>
      <c r="E28" s="1" t="s">
        <v>45</v>
      </c>
      <c r="F28" s="1">
        <v>20371</v>
      </c>
    </row>
    <row r="29" spans="1:6" x14ac:dyDescent="0.3">
      <c r="A29" s="3" t="s">
        <v>16</v>
      </c>
      <c r="B29" s="3" t="s">
        <v>43</v>
      </c>
      <c r="C29" s="4" t="s">
        <v>12</v>
      </c>
      <c r="D29" s="3" t="s">
        <v>1</v>
      </c>
      <c r="E29" s="3" t="s">
        <v>49</v>
      </c>
      <c r="F29" s="3">
        <v>1</v>
      </c>
    </row>
    <row r="30" spans="1:6" x14ac:dyDescent="0.3">
      <c r="A30" s="1" t="s">
        <v>16</v>
      </c>
      <c r="B30" s="1" t="s">
        <v>43</v>
      </c>
      <c r="C30" s="2" t="s">
        <v>12</v>
      </c>
      <c r="D30" s="1" t="s">
        <v>6</v>
      </c>
      <c r="E30" s="1" t="s">
        <v>0</v>
      </c>
      <c r="F30" s="1">
        <v>93.013256845381093</v>
      </c>
    </row>
    <row r="31" spans="1:6" x14ac:dyDescent="0.3">
      <c r="A31" s="3" t="s">
        <v>16</v>
      </c>
      <c r="B31" s="3" t="s">
        <v>43</v>
      </c>
      <c r="C31" s="4" t="s">
        <v>12</v>
      </c>
      <c r="D31" s="3" t="s">
        <v>6</v>
      </c>
      <c r="E31" s="3" t="s">
        <v>44</v>
      </c>
      <c r="F31" s="3">
        <v>32125</v>
      </c>
    </row>
    <row r="32" spans="1:6" x14ac:dyDescent="0.3">
      <c r="A32" s="1" t="s">
        <v>16</v>
      </c>
      <c r="B32" s="1" t="s">
        <v>43</v>
      </c>
      <c r="C32" s="2" t="s">
        <v>12</v>
      </c>
      <c r="D32" s="1" t="s">
        <v>6</v>
      </c>
      <c r="E32" s="1" t="s">
        <v>45</v>
      </c>
      <c r="F32" s="1">
        <v>32125</v>
      </c>
    </row>
    <row r="33" spans="1:6" x14ac:dyDescent="0.3">
      <c r="A33" s="3" t="s">
        <v>16</v>
      </c>
      <c r="B33" s="3" t="s">
        <v>43</v>
      </c>
      <c r="C33" s="4" t="s">
        <v>12</v>
      </c>
      <c r="D33" s="3" t="s">
        <v>6</v>
      </c>
      <c r="E33" s="3" t="s">
        <v>49</v>
      </c>
      <c r="F33" s="3">
        <v>1</v>
      </c>
    </row>
    <row r="34" spans="1:6" x14ac:dyDescent="0.3">
      <c r="A34" s="1" t="s">
        <v>16</v>
      </c>
      <c r="B34" s="1" t="s">
        <v>43</v>
      </c>
      <c r="C34" s="2" t="s">
        <v>12</v>
      </c>
      <c r="D34" s="1" t="s">
        <v>9</v>
      </c>
      <c r="E34" s="1" t="s">
        <v>0</v>
      </c>
      <c r="F34" s="1">
        <v>147.32832557443899</v>
      </c>
    </row>
    <row r="35" spans="1:6" x14ac:dyDescent="0.3">
      <c r="A35" s="3" t="s">
        <v>16</v>
      </c>
      <c r="B35" s="3" t="s">
        <v>43</v>
      </c>
      <c r="C35" s="4" t="s">
        <v>12</v>
      </c>
      <c r="D35" s="3" t="s">
        <v>9</v>
      </c>
      <c r="E35" s="3" t="s">
        <v>44</v>
      </c>
      <c r="F35" s="3">
        <v>32969</v>
      </c>
    </row>
    <row r="36" spans="1:6" x14ac:dyDescent="0.3">
      <c r="A36" s="1" t="s">
        <v>16</v>
      </c>
      <c r="B36" s="1" t="s">
        <v>43</v>
      </c>
      <c r="C36" s="2" t="s">
        <v>12</v>
      </c>
      <c r="D36" s="1" t="s">
        <v>9</v>
      </c>
      <c r="E36" s="1" t="s">
        <v>45</v>
      </c>
      <c r="F36" s="1">
        <v>32969</v>
      </c>
    </row>
    <row r="37" spans="1:6" x14ac:dyDescent="0.3">
      <c r="A37" s="3" t="s">
        <v>16</v>
      </c>
      <c r="B37" s="3" t="s">
        <v>43</v>
      </c>
      <c r="C37" s="4" t="s">
        <v>12</v>
      </c>
      <c r="D37" s="3" t="s">
        <v>9</v>
      </c>
      <c r="E37" s="3" t="s">
        <v>49</v>
      </c>
      <c r="F37" s="3">
        <v>1</v>
      </c>
    </row>
    <row r="38" spans="1:6" x14ac:dyDescent="0.3">
      <c r="A38" s="1" t="s">
        <v>16</v>
      </c>
      <c r="B38" s="1" t="s">
        <v>43</v>
      </c>
      <c r="C38" s="2" t="s">
        <v>12</v>
      </c>
      <c r="D38" s="1" t="s">
        <v>11</v>
      </c>
      <c r="E38" s="1" t="s">
        <v>0</v>
      </c>
      <c r="F38" s="1">
        <v>124.469288882241</v>
      </c>
    </row>
    <row r="39" spans="1:6" x14ac:dyDescent="0.3">
      <c r="A39" s="3" t="s">
        <v>16</v>
      </c>
      <c r="B39" s="3" t="s">
        <v>43</v>
      </c>
      <c r="C39" s="4" t="s">
        <v>12</v>
      </c>
      <c r="D39" s="3" t="s">
        <v>11</v>
      </c>
      <c r="E39" s="3" t="s">
        <v>44</v>
      </c>
      <c r="F39" s="3">
        <v>77010</v>
      </c>
    </row>
    <row r="40" spans="1:6" x14ac:dyDescent="0.3">
      <c r="A40" s="1" t="s">
        <v>16</v>
      </c>
      <c r="B40" s="1" t="s">
        <v>43</v>
      </c>
      <c r="C40" s="2" t="s">
        <v>12</v>
      </c>
      <c r="D40" s="1" t="s">
        <v>11</v>
      </c>
      <c r="E40" s="1" t="s">
        <v>45</v>
      </c>
      <c r="F40" s="1">
        <v>77010</v>
      </c>
    </row>
    <row r="41" spans="1:6" x14ac:dyDescent="0.3">
      <c r="A41" s="3" t="s">
        <v>16</v>
      </c>
      <c r="B41" s="3" t="s">
        <v>43</v>
      </c>
      <c r="C41" s="4" t="s">
        <v>12</v>
      </c>
      <c r="D41" s="3" t="s">
        <v>11</v>
      </c>
      <c r="E41" s="3" t="s">
        <v>49</v>
      </c>
      <c r="F41" s="3">
        <v>1</v>
      </c>
    </row>
    <row r="42" spans="1:6" x14ac:dyDescent="0.3">
      <c r="A42" s="1" t="s">
        <v>16</v>
      </c>
      <c r="B42" s="1" t="s">
        <v>43</v>
      </c>
      <c r="C42" s="2" t="s">
        <v>12</v>
      </c>
      <c r="D42" s="1" t="s">
        <v>1</v>
      </c>
      <c r="E42" s="1" t="s">
        <v>0</v>
      </c>
      <c r="F42" s="1">
        <v>14</v>
      </c>
    </row>
    <row r="43" spans="1:6" x14ac:dyDescent="0.3">
      <c r="A43" s="3" t="s">
        <v>16</v>
      </c>
      <c r="B43" s="3" t="s">
        <v>43</v>
      </c>
      <c r="C43" s="4" t="s">
        <v>12</v>
      </c>
      <c r="D43" s="3" t="s">
        <v>1</v>
      </c>
      <c r="E43" s="3" t="s">
        <v>44</v>
      </c>
      <c r="F43" s="3">
        <v>-3569.5907999999899</v>
      </c>
    </row>
    <row r="44" spans="1:6" x14ac:dyDescent="0.3">
      <c r="A44" s="1" t="s">
        <v>16</v>
      </c>
      <c r="B44" s="1" t="s">
        <v>43</v>
      </c>
      <c r="C44" s="2" t="s">
        <v>12</v>
      </c>
      <c r="D44" s="1" t="s">
        <v>1</v>
      </c>
      <c r="E44" s="1" t="s">
        <v>45</v>
      </c>
      <c r="F44" s="1">
        <v>326677.049999999</v>
      </c>
    </row>
    <row r="45" spans="1:6" x14ac:dyDescent="0.3">
      <c r="A45" s="3" t="s">
        <v>16</v>
      </c>
      <c r="B45" s="3" t="s">
        <v>43</v>
      </c>
      <c r="C45" s="4" t="s">
        <v>12</v>
      </c>
      <c r="D45" s="3" t="s">
        <v>1</v>
      </c>
      <c r="E45" s="3" t="s">
        <v>46</v>
      </c>
      <c r="F45" s="3">
        <v>285955.95</v>
      </c>
    </row>
    <row r="46" spans="1:6" x14ac:dyDescent="0.3">
      <c r="A46" s="1" t="s">
        <v>16</v>
      </c>
      <c r="B46" s="1" t="s">
        <v>43</v>
      </c>
      <c r="C46" s="2" t="s">
        <v>12</v>
      </c>
      <c r="D46" s="1" t="s">
        <v>1</v>
      </c>
      <c r="E46" s="1" t="s">
        <v>47</v>
      </c>
      <c r="F46" s="1">
        <v>1342.6907999999901</v>
      </c>
    </row>
    <row r="47" spans="1:6" x14ac:dyDescent="0.3">
      <c r="A47" s="3" t="s">
        <v>16</v>
      </c>
      <c r="B47" s="3" t="s">
        <v>43</v>
      </c>
      <c r="C47" s="4" t="s">
        <v>12</v>
      </c>
      <c r="D47" s="3" t="s">
        <v>1</v>
      </c>
      <c r="E47" s="3" t="s">
        <v>48</v>
      </c>
      <c r="F47" s="3">
        <v>42948</v>
      </c>
    </row>
    <row r="48" spans="1:6" x14ac:dyDescent="0.3">
      <c r="A48" s="1" t="s">
        <v>16</v>
      </c>
      <c r="B48" s="1" t="s">
        <v>43</v>
      </c>
      <c r="C48" s="2" t="s">
        <v>12</v>
      </c>
      <c r="D48" s="1" t="s">
        <v>1</v>
      </c>
      <c r="E48" s="1" t="s">
        <v>49</v>
      </c>
      <c r="F48" s="1">
        <v>-1.09269714539175E-2</v>
      </c>
    </row>
    <row r="49" spans="1:6" x14ac:dyDescent="0.3">
      <c r="A49" s="3" t="s">
        <v>16</v>
      </c>
      <c r="B49" s="3" t="s">
        <v>43</v>
      </c>
      <c r="C49" s="4" t="s">
        <v>12</v>
      </c>
      <c r="D49" s="3" t="s">
        <v>6</v>
      </c>
      <c r="E49" s="3" t="s">
        <v>44</v>
      </c>
      <c r="F49" s="3">
        <v>-25033.019399999899</v>
      </c>
    </row>
    <row r="50" spans="1:6" x14ac:dyDescent="0.3">
      <c r="A50" s="1" t="s">
        <v>16</v>
      </c>
      <c r="B50" s="1" t="s">
        <v>43</v>
      </c>
      <c r="C50" s="2" t="s">
        <v>12</v>
      </c>
      <c r="D50" s="1" t="s">
        <v>6</v>
      </c>
      <c r="E50" s="1" t="s">
        <v>45</v>
      </c>
      <c r="F50" s="1">
        <v>326677.049999999</v>
      </c>
    </row>
    <row r="51" spans="1:6" x14ac:dyDescent="0.3">
      <c r="A51" s="3" t="s">
        <v>16</v>
      </c>
      <c r="B51" s="3" t="s">
        <v>43</v>
      </c>
      <c r="C51" s="4" t="s">
        <v>12</v>
      </c>
      <c r="D51" s="3" t="s">
        <v>6</v>
      </c>
      <c r="E51" s="3" t="s">
        <v>46</v>
      </c>
      <c r="F51" s="3">
        <v>307469.40000000002</v>
      </c>
    </row>
    <row r="52" spans="1:6" x14ac:dyDescent="0.3">
      <c r="A52" s="1" t="s">
        <v>16</v>
      </c>
      <c r="B52" s="1" t="s">
        <v>43</v>
      </c>
      <c r="C52" s="2" t="s">
        <v>12</v>
      </c>
      <c r="D52" s="1" t="s">
        <v>6</v>
      </c>
      <c r="E52" s="1" t="s">
        <v>47</v>
      </c>
      <c r="F52" s="1">
        <v>1292.66939999999</v>
      </c>
    </row>
    <row r="53" spans="1:6" x14ac:dyDescent="0.3">
      <c r="A53" s="3" t="s">
        <v>16</v>
      </c>
      <c r="B53" s="3" t="s">
        <v>43</v>
      </c>
      <c r="C53" s="4" t="s">
        <v>12</v>
      </c>
      <c r="D53" s="3" t="s">
        <v>6</v>
      </c>
      <c r="E53" s="3" t="s">
        <v>48</v>
      </c>
      <c r="F53" s="3">
        <v>42948</v>
      </c>
    </row>
    <row r="54" spans="1:6" x14ac:dyDescent="0.3">
      <c r="A54" s="1" t="s">
        <v>16</v>
      </c>
      <c r="B54" s="1" t="s">
        <v>43</v>
      </c>
      <c r="C54" s="2" t="s">
        <v>12</v>
      </c>
      <c r="D54" s="1" t="s">
        <v>6</v>
      </c>
      <c r="E54" s="1" t="s">
        <v>49</v>
      </c>
      <c r="F54" s="1">
        <v>-7.6629256325168704E-2</v>
      </c>
    </row>
    <row r="55" spans="1:6" x14ac:dyDescent="0.3">
      <c r="A55" s="3" t="s">
        <v>16</v>
      </c>
      <c r="B55" s="3" t="s">
        <v>43</v>
      </c>
      <c r="C55" s="4" t="s">
        <v>12</v>
      </c>
      <c r="D55" s="3" t="s">
        <v>9</v>
      </c>
      <c r="E55" s="3" t="s">
        <v>44</v>
      </c>
      <c r="F55" s="3">
        <v>80332.237799999901</v>
      </c>
    </row>
    <row r="56" spans="1:6" x14ac:dyDescent="0.3">
      <c r="A56" s="1" t="s">
        <v>16</v>
      </c>
      <c r="B56" s="1" t="s">
        <v>43</v>
      </c>
      <c r="C56" s="2" t="s">
        <v>12</v>
      </c>
      <c r="D56" s="1" t="s">
        <v>9</v>
      </c>
      <c r="E56" s="1" t="s">
        <v>45</v>
      </c>
      <c r="F56" s="1">
        <v>544461.75</v>
      </c>
    </row>
    <row r="57" spans="1:6" x14ac:dyDescent="0.3">
      <c r="A57" s="3" t="s">
        <v>16</v>
      </c>
      <c r="B57" s="3" t="s">
        <v>43</v>
      </c>
      <c r="C57" s="4" t="s">
        <v>12</v>
      </c>
      <c r="D57" s="3" t="s">
        <v>9</v>
      </c>
      <c r="E57" s="3" t="s">
        <v>46</v>
      </c>
      <c r="F57" s="3">
        <v>391154.4</v>
      </c>
    </row>
    <row r="58" spans="1:6" x14ac:dyDescent="0.3">
      <c r="A58" s="1" t="s">
        <v>16</v>
      </c>
      <c r="B58" s="1" t="s">
        <v>43</v>
      </c>
      <c r="C58" s="2" t="s">
        <v>12</v>
      </c>
      <c r="D58" s="1" t="s">
        <v>9</v>
      </c>
      <c r="E58" s="1" t="s">
        <v>47</v>
      </c>
      <c r="F58" s="1">
        <v>1392.7121999999899</v>
      </c>
    </row>
    <row r="59" spans="1:6" x14ac:dyDescent="0.3">
      <c r="A59" s="3" t="s">
        <v>16</v>
      </c>
      <c r="B59" s="3" t="s">
        <v>43</v>
      </c>
      <c r="C59" s="4" t="s">
        <v>12</v>
      </c>
      <c r="D59" s="3" t="s">
        <v>9</v>
      </c>
      <c r="E59" s="3" t="s">
        <v>48</v>
      </c>
      <c r="F59" s="3">
        <v>71582.399999999907</v>
      </c>
    </row>
    <row r="60" spans="1:6" x14ac:dyDescent="0.3">
      <c r="A60" s="1" t="s">
        <v>16</v>
      </c>
      <c r="B60" s="1" t="s">
        <v>43</v>
      </c>
      <c r="C60" s="2" t="s">
        <v>12</v>
      </c>
      <c r="D60" s="1" t="s">
        <v>9</v>
      </c>
      <c r="E60" s="1" t="s">
        <v>49</v>
      </c>
      <c r="F60" s="1">
        <v>0.14754431840253199</v>
      </c>
    </row>
    <row r="61" spans="1:6" x14ac:dyDescent="0.3">
      <c r="A61" s="3" t="s">
        <v>16</v>
      </c>
      <c r="B61" s="3" t="s">
        <v>43</v>
      </c>
      <c r="C61" s="4" t="s">
        <v>12</v>
      </c>
      <c r="D61" s="3" t="s">
        <v>11</v>
      </c>
      <c r="E61" s="3" t="s">
        <v>44</v>
      </c>
      <c r="F61" s="3">
        <v>179019.73799999899</v>
      </c>
    </row>
    <row r="62" spans="1:6" x14ac:dyDescent="0.3">
      <c r="A62" s="1" t="s">
        <v>16</v>
      </c>
      <c r="B62" s="1" t="s">
        <v>43</v>
      </c>
      <c r="C62" s="2" t="s">
        <v>12</v>
      </c>
      <c r="D62" s="1" t="s">
        <v>11</v>
      </c>
      <c r="E62" s="1" t="s">
        <v>45</v>
      </c>
      <c r="F62" s="1">
        <v>653354.09999999905</v>
      </c>
    </row>
    <row r="63" spans="1:6" x14ac:dyDescent="0.3">
      <c r="A63" s="3" t="s">
        <v>16</v>
      </c>
      <c r="B63" s="3" t="s">
        <v>43</v>
      </c>
      <c r="C63" s="4" t="s">
        <v>12</v>
      </c>
      <c r="D63" s="3" t="s">
        <v>11</v>
      </c>
      <c r="E63" s="3" t="s">
        <v>46</v>
      </c>
      <c r="F63" s="3">
        <v>386691.9</v>
      </c>
    </row>
    <row r="64" spans="1:6" x14ac:dyDescent="0.3">
      <c r="A64" s="1" t="s">
        <v>16</v>
      </c>
      <c r="B64" s="1" t="s">
        <v>43</v>
      </c>
      <c r="C64" s="2" t="s">
        <v>12</v>
      </c>
      <c r="D64" s="1" t="s">
        <v>11</v>
      </c>
      <c r="E64" s="1" t="s">
        <v>47</v>
      </c>
      <c r="F64" s="1">
        <v>1742.8619999999901</v>
      </c>
    </row>
    <row r="65" spans="1:6" x14ac:dyDescent="0.3">
      <c r="A65" s="3" t="s">
        <v>16</v>
      </c>
      <c r="B65" s="3" t="s">
        <v>43</v>
      </c>
      <c r="C65" s="4" t="s">
        <v>12</v>
      </c>
      <c r="D65" s="3" t="s">
        <v>11</v>
      </c>
      <c r="E65" s="3" t="s">
        <v>48</v>
      </c>
      <c r="F65" s="3">
        <v>85899.599999999904</v>
      </c>
    </row>
    <row r="66" spans="1:6" x14ac:dyDescent="0.3">
      <c r="A66" s="1" t="s">
        <v>16</v>
      </c>
      <c r="B66" s="1" t="s">
        <v>43</v>
      </c>
      <c r="C66" s="2" t="s">
        <v>12</v>
      </c>
      <c r="D66" s="1" t="s">
        <v>11</v>
      </c>
      <c r="E66" s="1" t="s">
        <v>49</v>
      </c>
      <c r="F66" s="1">
        <v>0.274001093740744</v>
      </c>
    </row>
    <row r="67" spans="1:6" x14ac:dyDescent="0.3">
      <c r="A67" s="3" t="s">
        <v>16</v>
      </c>
      <c r="B67" s="3" t="s">
        <v>43</v>
      </c>
      <c r="C67" s="4" t="s">
        <v>12</v>
      </c>
      <c r="D67" s="3" t="s">
        <v>1</v>
      </c>
      <c r="E67" s="3" t="s">
        <v>44</v>
      </c>
      <c r="F67" s="3">
        <v>-33349.160000000003</v>
      </c>
    </row>
    <row r="68" spans="1:6" x14ac:dyDescent="0.3">
      <c r="A68" s="1" t="s">
        <v>16</v>
      </c>
      <c r="B68" s="1" t="s">
        <v>43</v>
      </c>
      <c r="C68" s="2" t="s">
        <v>12</v>
      </c>
      <c r="D68" s="1" t="s">
        <v>1</v>
      </c>
      <c r="E68" s="1" t="s">
        <v>45</v>
      </c>
      <c r="F68" s="1">
        <v>710167.5</v>
      </c>
    </row>
    <row r="69" spans="1:6" x14ac:dyDescent="0.3">
      <c r="A69" s="3" t="s">
        <v>16</v>
      </c>
      <c r="B69" s="3" t="s">
        <v>43</v>
      </c>
      <c r="C69" s="4" t="s">
        <v>12</v>
      </c>
      <c r="D69" s="3" t="s">
        <v>1</v>
      </c>
      <c r="E69" s="3" t="s">
        <v>46</v>
      </c>
      <c r="F69" s="3">
        <v>652365</v>
      </c>
    </row>
    <row r="70" spans="1:6" x14ac:dyDescent="0.3">
      <c r="A70" s="1" t="s">
        <v>16</v>
      </c>
      <c r="B70" s="1" t="s">
        <v>43</v>
      </c>
      <c r="C70" s="2" t="s">
        <v>12</v>
      </c>
      <c r="D70" s="1" t="s">
        <v>1</v>
      </c>
      <c r="E70" s="1" t="s">
        <v>47</v>
      </c>
      <c r="F70" s="1">
        <v>5252.0599999999904</v>
      </c>
    </row>
    <row r="71" spans="1:6" x14ac:dyDescent="0.3">
      <c r="A71" s="3" t="s">
        <v>16</v>
      </c>
      <c r="B71" s="3" t="s">
        <v>43</v>
      </c>
      <c r="C71" s="4" t="s">
        <v>12</v>
      </c>
      <c r="D71" s="3" t="s">
        <v>1</v>
      </c>
      <c r="E71" s="3" t="s">
        <v>48</v>
      </c>
      <c r="F71" s="3">
        <v>85899.599999999904</v>
      </c>
    </row>
    <row r="72" spans="1:6" x14ac:dyDescent="0.3">
      <c r="A72" s="1" t="s">
        <v>16</v>
      </c>
      <c r="B72" s="1" t="s">
        <v>43</v>
      </c>
      <c r="C72" s="2" t="s">
        <v>12</v>
      </c>
      <c r="D72" s="1" t="s">
        <v>1</v>
      </c>
      <c r="E72" s="1" t="s">
        <v>49</v>
      </c>
      <c r="F72" s="1">
        <v>-4.6959569397360498E-2</v>
      </c>
    </row>
    <row r="73" spans="1:6" x14ac:dyDescent="0.3">
      <c r="A73" s="3" t="s">
        <v>16</v>
      </c>
      <c r="B73" s="3" t="s">
        <v>43</v>
      </c>
      <c r="C73" s="4" t="s">
        <v>12</v>
      </c>
      <c r="D73" s="3" t="s">
        <v>6</v>
      </c>
      <c r="E73" s="3" t="s">
        <v>44</v>
      </c>
      <c r="F73" s="3">
        <v>-38292.639999999999</v>
      </c>
    </row>
    <row r="74" spans="1:6" x14ac:dyDescent="0.3">
      <c r="A74" s="1" t="s">
        <v>16</v>
      </c>
      <c r="B74" s="1" t="s">
        <v>43</v>
      </c>
      <c r="C74" s="2" t="s">
        <v>12</v>
      </c>
      <c r="D74" s="1" t="s">
        <v>6</v>
      </c>
      <c r="E74" s="1" t="s">
        <v>45</v>
      </c>
      <c r="F74" s="1">
        <v>710167.5</v>
      </c>
    </row>
    <row r="75" spans="1:6" x14ac:dyDescent="0.3">
      <c r="A75" s="3" t="s">
        <v>16</v>
      </c>
      <c r="B75" s="3" t="s">
        <v>43</v>
      </c>
      <c r="C75" s="4" t="s">
        <v>12</v>
      </c>
      <c r="D75" s="3" t="s">
        <v>6</v>
      </c>
      <c r="E75" s="3" t="s">
        <v>46</v>
      </c>
      <c r="F75" s="3">
        <v>657510</v>
      </c>
    </row>
    <row r="76" spans="1:6" x14ac:dyDescent="0.3">
      <c r="A76" s="1" t="s">
        <v>16</v>
      </c>
      <c r="B76" s="1" t="s">
        <v>43</v>
      </c>
      <c r="C76" s="2" t="s">
        <v>12</v>
      </c>
      <c r="D76" s="1" t="s">
        <v>6</v>
      </c>
      <c r="E76" s="1" t="s">
        <v>47</v>
      </c>
      <c r="F76" s="1">
        <v>5050.53999999999</v>
      </c>
    </row>
    <row r="77" spans="1:6" x14ac:dyDescent="0.3">
      <c r="A77" s="3" t="s">
        <v>16</v>
      </c>
      <c r="B77" s="3" t="s">
        <v>43</v>
      </c>
      <c r="C77" s="4" t="s">
        <v>12</v>
      </c>
      <c r="D77" s="3" t="s">
        <v>6</v>
      </c>
      <c r="E77" s="3" t="s">
        <v>48</v>
      </c>
      <c r="F77" s="3">
        <v>85899.599999999904</v>
      </c>
    </row>
    <row r="78" spans="1:6" x14ac:dyDescent="0.3">
      <c r="A78" s="1" t="s">
        <v>16</v>
      </c>
      <c r="B78" s="1" t="s">
        <v>43</v>
      </c>
      <c r="C78" s="2" t="s">
        <v>12</v>
      </c>
      <c r="D78" s="1" t="s">
        <v>6</v>
      </c>
      <c r="E78" s="1" t="s">
        <v>49</v>
      </c>
      <c r="F78" s="1">
        <v>-5.3920575075598401E-2</v>
      </c>
    </row>
    <row r="79" spans="1:6" x14ac:dyDescent="0.3">
      <c r="A79" s="3" t="s">
        <v>16</v>
      </c>
      <c r="B79" s="3" t="s">
        <v>43</v>
      </c>
      <c r="C79" s="4" t="s">
        <v>12</v>
      </c>
      <c r="D79" s="3" t="s">
        <v>9</v>
      </c>
      <c r="E79" s="3" t="s">
        <v>44</v>
      </c>
      <c r="F79" s="3">
        <v>-48986.12</v>
      </c>
    </row>
    <row r="80" spans="1:6" x14ac:dyDescent="0.3">
      <c r="A80" s="1" t="s">
        <v>16</v>
      </c>
      <c r="B80" s="1" t="s">
        <v>43</v>
      </c>
      <c r="C80" s="2" t="s">
        <v>12</v>
      </c>
      <c r="D80" s="1" t="s">
        <v>9</v>
      </c>
      <c r="E80" s="1" t="s">
        <v>45</v>
      </c>
      <c r="F80" s="1">
        <v>710167.5</v>
      </c>
    </row>
    <row r="81" spans="1:6" x14ac:dyDescent="0.3">
      <c r="A81" s="3" t="s">
        <v>16</v>
      </c>
      <c r="B81" s="3" t="s">
        <v>43</v>
      </c>
      <c r="C81" s="4" t="s">
        <v>12</v>
      </c>
      <c r="D81" s="3" t="s">
        <v>9</v>
      </c>
      <c r="E81" s="3" t="s">
        <v>46</v>
      </c>
      <c r="F81" s="3">
        <v>667800</v>
      </c>
    </row>
    <row r="82" spans="1:6" x14ac:dyDescent="0.3">
      <c r="A82" s="1" t="s">
        <v>16</v>
      </c>
      <c r="B82" s="1" t="s">
        <v>43</v>
      </c>
      <c r="C82" s="2" t="s">
        <v>12</v>
      </c>
      <c r="D82" s="1" t="s">
        <v>9</v>
      </c>
      <c r="E82" s="1" t="s">
        <v>47</v>
      </c>
      <c r="F82" s="1">
        <v>5454.02</v>
      </c>
    </row>
    <row r="83" spans="1:6" x14ac:dyDescent="0.3">
      <c r="A83" s="3" t="s">
        <v>16</v>
      </c>
      <c r="B83" s="3" t="s">
        <v>43</v>
      </c>
      <c r="C83" s="4" t="s">
        <v>12</v>
      </c>
      <c r="D83" s="3" t="s">
        <v>9</v>
      </c>
      <c r="E83" s="3" t="s">
        <v>48</v>
      </c>
      <c r="F83" s="3">
        <v>85899.599999999904</v>
      </c>
    </row>
    <row r="84" spans="1:6" x14ac:dyDescent="0.3">
      <c r="A84" s="1" t="s">
        <v>16</v>
      </c>
      <c r="B84" s="1" t="s">
        <v>43</v>
      </c>
      <c r="C84" s="2" t="s">
        <v>12</v>
      </c>
      <c r="D84" s="1" t="s">
        <v>9</v>
      </c>
      <c r="E84" s="1" t="s">
        <v>49</v>
      </c>
      <c r="F84" s="1">
        <v>-6.8978262170544299E-2</v>
      </c>
    </row>
    <row r="85" spans="1:6" x14ac:dyDescent="0.3">
      <c r="A85" s="3" t="s">
        <v>16</v>
      </c>
      <c r="B85" s="3" t="s">
        <v>43</v>
      </c>
      <c r="C85" s="4" t="s">
        <v>12</v>
      </c>
      <c r="D85" s="3" t="s">
        <v>11</v>
      </c>
      <c r="E85" s="3" t="s">
        <v>44</v>
      </c>
      <c r="F85" s="3">
        <v>-60686.98</v>
      </c>
    </row>
    <row r="86" spans="1:6" x14ac:dyDescent="0.3">
      <c r="A86" s="1" t="s">
        <v>16</v>
      </c>
      <c r="B86" s="1" t="s">
        <v>43</v>
      </c>
      <c r="C86" s="2" t="s">
        <v>12</v>
      </c>
      <c r="D86" s="1" t="s">
        <v>11</v>
      </c>
      <c r="E86" s="1" t="s">
        <v>45</v>
      </c>
      <c r="F86" s="1">
        <v>710167.5</v>
      </c>
    </row>
    <row r="87" spans="1:6" x14ac:dyDescent="0.3">
      <c r="A87" s="3" t="s">
        <v>16</v>
      </c>
      <c r="B87" s="3" t="s">
        <v>43</v>
      </c>
      <c r="C87" s="4" t="s">
        <v>12</v>
      </c>
      <c r="D87" s="3" t="s">
        <v>11</v>
      </c>
      <c r="E87" s="3" t="s">
        <v>46</v>
      </c>
      <c r="F87" s="3">
        <v>678090</v>
      </c>
    </row>
    <row r="88" spans="1:6" x14ac:dyDescent="0.3">
      <c r="A88" s="1" t="s">
        <v>16</v>
      </c>
      <c r="B88" s="1" t="s">
        <v>43</v>
      </c>
      <c r="C88" s="2" t="s">
        <v>12</v>
      </c>
      <c r="D88" s="1" t="s">
        <v>11</v>
      </c>
      <c r="E88" s="1" t="s">
        <v>47</v>
      </c>
      <c r="F88" s="1">
        <v>6864.88</v>
      </c>
    </row>
    <row r="89" spans="1:6" x14ac:dyDescent="0.3">
      <c r="A89" s="3" t="s">
        <v>16</v>
      </c>
      <c r="B89" s="3" t="s">
        <v>43</v>
      </c>
      <c r="C89" s="4" t="s">
        <v>12</v>
      </c>
      <c r="D89" s="3" t="s">
        <v>11</v>
      </c>
      <c r="E89" s="3" t="s">
        <v>48</v>
      </c>
      <c r="F89" s="3">
        <v>85899.599999999904</v>
      </c>
    </row>
    <row r="90" spans="1:6" x14ac:dyDescent="0.3">
      <c r="A90" s="1" t="s">
        <v>16</v>
      </c>
      <c r="B90" s="1" t="s">
        <v>43</v>
      </c>
      <c r="C90" s="2" t="s">
        <v>12</v>
      </c>
      <c r="D90" s="1" t="s">
        <v>11</v>
      </c>
      <c r="E90" s="1" t="s">
        <v>49</v>
      </c>
      <c r="F90" s="1">
        <v>-8.54544596873274E-2</v>
      </c>
    </row>
    <row r="91" spans="1:6" x14ac:dyDescent="0.3">
      <c r="A91" s="3" t="s">
        <v>16</v>
      </c>
      <c r="B91" s="3" t="s">
        <v>43</v>
      </c>
      <c r="C91" s="4" t="s">
        <v>12</v>
      </c>
      <c r="D91" s="3" t="s">
        <v>1</v>
      </c>
      <c r="E91" s="3" t="s">
        <v>44</v>
      </c>
      <c r="F91" s="3">
        <v>603643.38</v>
      </c>
    </row>
    <row r="92" spans="1:6" x14ac:dyDescent="0.3">
      <c r="A92" s="1" t="s">
        <v>16</v>
      </c>
      <c r="B92" s="1" t="s">
        <v>43</v>
      </c>
      <c r="C92" s="2" t="s">
        <v>12</v>
      </c>
      <c r="D92" s="1" t="s">
        <v>1</v>
      </c>
      <c r="E92" s="1" t="s">
        <v>45</v>
      </c>
      <c r="F92" s="1">
        <v>603643.38</v>
      </c>
    </row>
    <row r="93" spans="1:6" x14ac:dyDescent="0.3">
      <c r="A93" s="3" t="s">
        <v>16</v>
      </c>
      <c r="B93" s="3" t="s">
        <v>43</v>
      </c>
      <c r="C93" s="4" t="s">
        <v>12</v>
      </c>
      <c r="D93" s="3" t="s">
        <v>1</v>
      </c>
      <c r="E93" s="3" t="s">
        <v>49</v>
      </c>
      <c r="F93" s="3">
        <v>1</v>
      </c>
    </row>
    <row r="94" spans="1:6" x14ac:dyDescent="0.3">
      <c r="A94" s="1" t="s">
        <v>16</v>
      </c>
      <c r="B94" s="1" t="s">
        <v>43</v>
      </c>
      <c r="C94" s="2" t="s">
        <v>12</v>
      </c>
      <c r="D94" s="1" t="s">
        <v>6</v>
      </c>
      <c r="E94" s="1" t="s">
        <v>44</v>
      </c>
      <c r="F94" s="1">
        <v>603643.38</v>
      </c>
    </row>
    <row r="95" spans="1:6" x14ac:dyDescent="0.3">
      <c r="A95" s="3" t="s">
        <v>16</v>
      </c>
      <c r="B95" s="3" t="s">
        <v>43</v>
      </c>
      <c r="C95" s="4" t="s">
        <v>12</v>
      </c>
      <c r="D95" s="3" t="s">
        <v>6</v>
      </c>
      <c r="E95" s="3" t="s">
        <v>45</v>
      </c>
      <c r="F95" s="3">
        <v>603643.38</v>
      </c>
    </row>
    <row r="96" spans="1:6" x14ac:dyDescent="0.3">
      <c r="A96" s="1" t="s">
        <v>16</v>
      </c>
      <c r="B96" s="1" t="s">
        <v>43</v>
      </c>
      <c r="C96" s="2" t="s">
        <v>12</v>
      </c>
      <c r="D96" s="1" t="s">
        <v>6</v>
      </c>
      <c r="E96" s="1" t="s">
        <v>49</v>
      </c>
      <c r="F96" s="1">
        <v>1</v>
      </c>
    </row>
    <row r="97" spans="1:6" x14ac:dyDescent="0.3">
      <c r="A97" s="3" t="s">
        <v>16</v>
      </c>
      <c r="B97" s="3" t="s">
        <v>43</v>
      </c>
      <c r="C97" s="4" t="s">
        <v>12</v>
      </c>
      <c r="D97" s="3" t="s">
        <v>9</v>
      </c>
      <c r="E97" s="3" t="s">
        <v>44</v>
      </c>
      <c r="F97" s="3">
        <v>603643.38</v>
      </c>
    </row>
    <row r="98" spans="1:6" x14ac:dyDescent="0.3">
      <c r="A98" s="1" t="s">
        <v>16</v>
      </c>
      <c r="B98" s="1" t="s">
        <v>43</v>
      </c>
      <c r="C98" s="2" t="s">
        <v>12</v>
      </c>
      <c r="D98" s="1" t="s">
        <v>9</v>
      </c>
      <c r="E98" s="1" t="s">
        <v>45</v>
      </c>
      <c r="F98" s="1">
        <v>603643.38</v>
      </c>
    </row>
    <row r="99" spans="1:6" x14ac:dyDescent="0.3">
      <c r="A99" s="3" t="s">
        <v>16</v>
      </c>
      <c r="B99" s="3" t="s">
        <v>43</v>
      </c>
      <c r="C99" s="4" t="s">
        <v>12</v>
      </c>
      <c r="D99" s="3" t="s">
        <v>9</v>
      </c>
      <c r="E99" s="3" t="s">
        <v>49</v>
      </c>
      <c r="F99" s="3">
        <v>1</v>
      </c>
    </row>
    <row r="100" spans="1:6" x14ac:dyDescent="0.3">
      <c r="A100" s="1" t="s">
        <v>16</v>
      </c>
      <c r="B100" s="1" t="s">
        <v>43</v>
      </c>
      <c r="C100" s="2" t="s">
        <v>12</v>
      </c>
      <c r="D100" s="1" t="s">
        <v>11</v>
      </c>
      <c r="E100" s="1" t="s">
        <v>44</v>
      </c>
      <c r="F100" s="1">
        <v>603643.38</v>
      </c>
    </row>
    <row r="101" spans="1:6" x14ac:dyDescent="0.3">
      <c r="A101" s="3" t="s">
        <v>16</v>
      </c>
      <c r="B101" s="3" t="s">
        <v>43</v>
      </c>
      <c r="C101" s="4" t="s">
        <v>12</v>
      </c>
      <c r="D101" s="3" t="s">
        <v>11</v>
      </c>
      <c r="E101" s="3" t="s">
        <v>45</v>
      </c>
      <c r="F101" s="3">
        <v>603643.38</v>
      </c>
    </row>
    <row r="102" spans="1:6" x14ac:dyDescent="0.3">
      <c r="A102" s="1" t="s">
        <v>16</v>
      </c>
      <c r="B102" s="1" t="s">
        <v>43</v>
      </c>
      <c r="C102" s="2" t="s">
        <v>12</v>
      </c>
      <c r="D102" s="1" t="s">
        <v>11</v>
      </c>
      <c r="E102" s="1" t="s">
        <v>49</v>
      </c>
      <c r="F102" s="1">
        <v>1</v>
      </c>
    </row>
    <row r="103" spans="1:6" x14ac:dyDescent="0.3">
      <c r="A103" s="3" t="s">
        <v>16</v>
      </c>
      <c r="B103" s="3" t="s">
        <v>43</v>
      </c>
      <c r="C103" s="4" t="s">
        <v>12</v>
      </c>
      <c r="D103" s="3" t="s">
        <v>1</v>
      </c>
      <c r="E103" s="3" t="s">
        <v>44</v>
      </c>
      <c r="F103" s="3">
        <v>4568.68</v>
      </c>
    </row>
    <row r="104" spans="1:6" x14ac:dyDescent="0.3">
      <c r="A104" s="1" t="s">
        <v>16</v>
      </c>
      <c r="B104" s="1" t="s">
        <v>43</v>
      </c>
      <c r="C104" s="2" t="s">
        <v>12</v>
      </c>
      <c r="D104" s="1" t="s">
        <v>1</v>
      </c>
      <c r="E104" s="1" t="s">
        <v>45</v>
      </c>
      <c r="F104" s="1">
        <v>319576.38</v>
      </c>
    </row>
    <row r="105" spans="1:6" x14ac:dyDescent="0.3">
      <c r="A105" s="3" t="s">
        <v>16</v>
      </c>
      <c r="B105" s="3" t="s">
        <v>43</v>
      </c>
      <c r="C105" s="4" t="s">
        <v>12</v>
      </c>
      <c r="D105" s="3" t="s">
        <v>1</v>
      </c>
      <c r="E105" s="3" t="s">
        <v>46</v>
      </c>
      <c r="F105" s="3">
        <v>221226.6</v>
      </c>
    </row>
    <row r="106" spans="1:6" x14ac:dyDescent="0.3">
      <c r="A106" s="1" t="s">
        <v>16</v>
      </c>
      <c r="B106" s="1" t="s">
        <v>43</v>
      </c>
      <c r="C106" s="2" t="s">
        <v>12</v>
      </c>
      <c r="D106" s="1" t="s">
        <v>1</v>
      </c>
      <c r="E106" s="1" t="s">
        <v>47</v>
      </c>
      <c r="F106" s="1">
        <v>7881.5</v>
      </c>
    </row>
    <row r="107" spans="1:6" x14ac:dyDescent="0.3">
      <c r="A107" s="3" t="s">
        <v>16</v>
      </c>
      <c r="B107" s="3" t="s">
        <v>43</v>
      </c>
      <c r="C107" s="4" t="s">
        <v>12</v>
      </c>
      <c r="D107" s="3" t="s">
        <v>1</v>
      </c>
      <c r="E107" s="3" t="s">
        <v>48</v>
      </c>
      <c r="F107" s="3">
        <v>85899.599999999904</v>
      </c>
    </row>
    <row r="108" spans="1:6" x14ac:dyDescent="0.3">
      <c r="A108" s="1" t="s">
        <v>16</v>
      </c>
      <c r="B108" s="1" t="s">
        <v>43</v>
      </c>
      <c r="C108" s="2" t="s">
        <v>12</v>
      </c>
      <c r="D108" s="1" t="s">
        <v>1</v>
      </c>
      <c r="E108" s="1" t="s">
        <v>49</v>
      </c>
      <c r="F108" s="1">
        <v>1.4296050290074599E-2</v>
      </c>
    </row>
    <row r="109" spans="1:6" x14ac:dyDescent="0.3">
      <c r="A109" s="3" t="s">
        <v>16</v>
      </c>
      <c r="B109" s="3" t="s">
        <v>43</v>
      </c>
      <c r="C109" s="4" t="s">
        <v>12</v>
      </c>
      <c r="D109" s="3" t="s">
        <v>6</v>
      </c>
      <c r="E109" s="3" t="s">
        <v>44</v>
      </c>
      <c r="F109" s="3">
        <v>162889.179999999</v>
      </c>
    </row>
    <row r="110" spans="1:6" x14ac:dyDescent="0.3">
      <c r="A110" s="1" t="s">
        <v>16</v>
      </c>
      <c r="B110" s="1" t="s">
        <v>43</v>
      </c>
      <c r="C110" s="2" t="s">
        <v>12</v>
      </c>
      <c r="D110" s="1" t="s">
        <v>6</v>
      </c>
      <c r="E110" s="1" t="s">
        <v>45</v>
      </c>
      <c r="F110" s="1">
        <v>479362.55999999901</v>
      </c>
    </row>
    <row r="111" spans="1:6" x14ac:dyDescent="0.3">
      <c r="A111" s="3" t="s">
        <v>16</v>
      </c>
      <c r="B111" s="3" t="s">
        <v>43</v>
      </c>
      <c r="C111" s="4" t="s">
        <v>12</v>
      </c>
      <c r="D111" s="3" t="s">
        <v>6</v>
      </c>
      <c r="E111" s="3" t="s">
        <v>46</v>
      </c>
      <c r="F111" s="3">
        <v>221573.799999999</v>
      </c>
    </row>
    <row r="112" spans="1:6" x14ac:dyDescent="0.3">
      <c r="A112" s="1" t="s">
        <v>16</v>
      </c>
      <c r="B112" s="1" t="s">
        <v>43</v>
      </c>
      <c r="C112" s="2" t="s">
        <v>12</v>
      </c>
      <c r="D112" s="1" t="s">
        <v>6</v>
      </c>
      <c r="E112" s="1" t="s">
        <v>47</v>
      </c>
      <c r="F112" s="1">
        <v>8999.9799999999905</v>
      </c>
    </row>
    <row r="113" spans="1:6" x14ac:dyDescent="0.3">
      <c r="A113" s="3" t="s">
        <v>16</v>
      </c>
      <c r="B113" s="3" t="s">
        <v>43</v>
      </c>
      <c r="C113" s="4" t="s">
        <v>12</v>
      </c>
      <c r="D113" s="3" t="s">
        <v>6</v>
      </c>
      <c r="E113" s="3" t="s">
        <v>48</v>
      </c>
      <c r="F113" s="3">
        <v>85899.599999999904</v>
      </c>
    </row>
    <row r="114" spans="1:6" x14ac:dyDescent="0.3">
      <c r="A114" s="1" t="s">
        <v>16</v>
      </c>
      <c r="B114" s="1" t="s">
        <v>43</v>
      </c>
      <c r="C114" s="2" t="s">
        <v>12</v>
      </c>
      <c r="D114" s="1" t="s">
        <v>6</v>
      </c>
      <c r="E114" s="1" t="s">
        <v>49</v>
      </c>
      <c r="F114" s="1">
        <v>0.33980371767039902</v>
      </c>
    </row>
    <row r="115" spans="1:6" x14ac:dyDescent="0.3">
      <c r="A115" s="3" t="s">
        <v>16</v>
      </c>
      <c r="B115" s="3" t="s">
        <v>43</v>
      </c>
      <c r="C115" s="4" t="s">
        <v>12</v>
      </c>
      <c r="D115" s="3" t="s">
        <v>9</v>
      </c>
      <c r="E115" s="3" t="s">
        <v>44</v>
      </c>
      <c r="F115" s="3">
        <v>320259.489999999</v>
      </c>
    </row>
    <row r="116" spans="1:6" x14ac:dyDescent="0.3">
      <c r="A116" s="1" t="s">
        <v>16</v>
      </c>
      <c r="B116" s="1" t="s">
        <v>43</v>
      </c>
      <c r="C116" s="2" t="s">
        <v>12</v>
      </c>
      <c r="D116" s="1" t="s">
        <v>9</v>
      </c>
      <c r="E116" s="1" t="s">
        <v>45</v>
      </c>
      <c r="F116" s="1">
        <v>639150.75</v>
      </c>
    </row>
    <row r="117" spans="1:6" x14ac:dyDescent="0.3">
      <c r="A117" s="3" t="s">
        <v>16</v>
      </c>
      <c r="B117" s="3" t="s">
        <v>43</v>
      </c>
      <c r="C117" s="4" t="s">
        <v>12</v>
      </c>
      <c r="D117" s="3" t="s">
        <v>9</v>
      </c>
      <c r="E117" s="3" t="s">
        <v>46</v>
      </c>
      <c r="F117" s="3">
        <v>222268.2</v>
      </c>
    </row>
    <row r="118" spans="1:6" x14ac:dyDescent="0.3">
      <c r="A118" s="1" t="s">
        <v>16</v>
      </c>
      <c r="B118" s="1" t="s">
        <v>43</v>
      </c>
      <c r="C118" s="2" t="s">
        <v>12</v>
      </c>
      <c r="D118" s="1" t="s">
        <v>9</v>
      </c>
      <c r="E118" s="1" t="s">
        <v>47</v>
      </c>
      <c r="F118" s="1">
        <v>10723.46</v>
      </c>
    </row>
    <row r="119" spans="1:6" x14ac:dyDescent="0.3">
      <c r="A119" s="3" t="s">
        <v>16</v>
      </c>
      <c r="B119" s="3" t="s">
        <v>43</v>
      </c>
      <c r="C119" s="4" t="s">
        <v>12</v>
      </c>
      <c r="D119" s="3" t="s">
        <v>9</v>
      </c>
      <c r="E119" s="3" t="s">
        <v>48</v>
      </c>
      <c r="F119" s="3">
        <v>85899.599999999904</v>
      </c>
    </row>
    <row r="120" spans="1:6" x14ac:dyDescent="0.3">
      <c r="A120" s="1" t="s">
        <v>16</v>
      </c>
      <c r="B120" s="1" t="s">
        <v>43</v>
      </c>
      <c r="C120" s="2" t="s">
        <v>12</v>
      </c>
      <c r="D120" s="1" t="s">
        <v>9</v>
      </c>
      <c r="E120" s="1" t="s">
        <v>49</v>
      </c>
      <c r="F120" s="1">
        <v>0.50107034999176603</v>
      </c>
    </row>
    <row r="121" spans="1:6" x14ac:dyDescent="0.3">
      <c r="A121" s="3" t="s">
        <v>16</v>
      </c>
      <c r="B121" s="3" t="s">
        <v>43</v>
      </c>
      <c r="C121" s="4" t="s">
        <v>12</v>
      </c>
      <c r="D121" s="3" t="s">
        <v>11</v>
      </c>
      <c r="E121" s="3" t="s">
        <v>44</v>
      </c>
      <c r="F121" s="3">
        <v>477316.81999999902</v>
      </c>
    </row>
    <row r="122" spans="1:6" x14ac:dyDescent="0.3">
      <c r="A122" s="1" t="s">
        <v>16</v>
      </c>
      <c r="B122" s="1" t="s">
        <v>43</v>
      </c>
      <c r="C122" s="2" t="s">
        <v>12</v>
      </c>
      <c r="D122" s="1" t="s">
        <v>11</v>
      </c>
      <c r="E122" s="1" t="s">
        <v>45</v>
      </c>
      <c r="F122" s="1">
        <v>798938.93999999901</v>
      </c>
    </row>
    <row r="123" spans="1:6" x14ac:dyDescent="0.3">
      <c r="A123" s="3" t="s">
        <v>16</v>
      </c>
      <c r="B123" s="3" t="s">
        <v>43</v>
      </c>
      <c r="C123" s="4" t="s">
        <v>12</v>
      </c>
      <c r="D123" s="3" t="s">
        <v>11</v>
      </c>
      <c r="E123" s="3" t="s">
        <v>46</v>
      </c>
      <c r="F123" s="3">
        <v>222268.2</v>
      </c>
    </row>
    <row r="124" spans="1:6" x14ac:dyDescent="0.3">
      <c r="A124" s="1" t="s">
        <v>16</v>
      </c>
      <c r="B124" s="1" t="s">
        <v>43</v>
      </c>
      <c r="C124" s="2" t="s">
        <v>12</v>
      </c>
      <c r="D124" s="1" t="s">
        <v>11</v>
      </c>
      <c r="E124" s="1" t="s">
        <v>47</v>
      </c>
      <c r="F124" s="1">
        <v>13454.32</v>
      </c>
    </row>
    <row r="125" spans="1:6" x14ac:dyDescent="0.3">
      <c r="A125" s="3" t="s">
        <v>16</v>
      </c>
      <c r="B125" s="3" t="s">
        <v>43</v>
      </c>
      <c r="C125" s="4" t="s">
        <v>12</v>
      </c>
      <c r="D125" s="3" t="s">
        <v>11</v>
      </c>
      <c r="E125" s="3" t="s">
        <v>48</v>
      </c>
      <c r="F125" s="3">
        <v>85899.599999999904</v>
      </c>
    </row>
    <row r="126" spans="1:6" x14ac:dyDescent="0.3">
      <c r="A126" s="1" t="s">
        <v>16</v>
      </c>
      <c r="B126" s="1" t="s">
        <v>43</v>
      </c>
      <c r="C126" s="2" t="s">
        <v>12</v>
      </c>
      <c r="D126" s="1" t="s">
        <v>11</v>
      </c>
      <c r="E126" s="1" t="s">
        <v>49</v>
      </c>
      <c r="F126" s="1">
        <v>0.59743842251574297</v>
      </c>
    </row>
    <row r="127" spans="1:6" x14ac:dyDescent="0.3">
      <c r="A127" s="3" t="s">
        <v>16</v>
      </c>
      <c r="B127" s="3" t="s">
        <v>50</v>
      </c>
      <c r="C127" s="4" t="s">
        <v>12</v>
      </c>
      <c r="D127" s="3" t="s">
        <v>1</v>
      </c>
      <c r="E127" s="3" t="s">
        <v>44</v>
      </c>
      <c r="F127" s="3">
        <v>8936800</v>
      </c>
    </row>
    <row r="128" spans="1:6" x14ac:dyDescent="0.3">
      <c r="A128" s="1" t="s">
        <v>16</v>
      </c>
      <c r="B128" s="1" t="s">
        <v>50</v>
      </c>
      <c r="C128" s="2" t="s">
        <v>12</v>
      </c>
      <c r="D128" s="1" t="s">
        <v>1</v>
      </c>
      <c r="E128" s="1" t="s">
        <v>45</v>
      </c>
      <c r="F128" s="1">
        <v>8936800</v>
      </c>
    </row>
    <row r="129" spans="1:6" x14ac:dyDescent="0.3">
      <c r="A129" s="3" t="s">
        <v>16</v>
      </c>
      <c r="B129" s="3" t="s">
        <v>50</v>
      </c>
      <c r="C129" s="4" t="s">
        <v>12</v>
      </c>
      <c r="D129" s="3" t="s">
        <v>1</v>
      </c>
      <c r="E129" s="3" t="s">
        <v>49</v>
      </c>
      <c r="F129" s="3">
        <v>1</v>
      </c>
    </row>
    <row r="130" spans="1:6" x14ac:dyDescent="0.3">
      <c r="A130" s="1" t="s">
        <v>16</v>
      </c>
      <c r="B130" s="1" t="s">
        <v>50</v>
      </c>
      <c r="C130" s="2" t="s">
        <v>12</v>
      </c>
      <c r="D130" s="1" t="s">
        <v>6</v>
      </c>
      <c r="E130" s="1" t="s">
        <v>44</v>
      </c>
      <c r="F130" s="1">
        <v>8526640</v>
      </c>
    </row>
    <row r="131" spans="1:6" x14ac:dyDescent="0.3">
      <c r="A131" s="3" t="s">
        <v>16</v>
      </c>
      <c r="B131" s="3" t="s">
        <v>50</v>
      </c>
      <c r="C131" s="4" t="s">
        <v>12</v>
      </c>
      <c r="D131" s="3" t="s">
        <v>6</v>
      </c>
      <c r="E131" s="3" t="s">
        <v>45</v>
      </c>
      <c r="F131" s="3">
        <v>8526640</v>
      </c>
    </row>
    <row r="132" spans="1:6" x14ac:dyDescent="0.3">
      <c r="A132" s="1" t="s">
        <v>16</v>
      </c>
      <c r="B132" s="1" t="s">
        <v>50</v>
      </c>
      <c r="C132" s="2" t="s">
        <v>12</v>
      </c>
      <c r="D132" s="1" t="s">
        <v>6</v>
      </c>
      <c r="E132" s="1" t="s">
        <v>49</v>
      </c>
      <c r="F132" s="1">
        <v>1</v>
      </c>
    </row>
    <row r="133" spans="1:6" x14ac:dyDescent="0.3">
      <c r="A133" s="3" t="s">
        <v>16</v>
      </c>
      <c r="B133" s="3" t="s">
        <v>50</v>
      </c>
      <c r="C133" s="4" t="s">
        <v>12</v>
      </c>
      <c r="D133" s="3" t="s">
        <v>9</v>
      </c>
      <c r="E133" s="3" t="s">
        <v>44</v>
      </c>
      <c r="F133" s="3">
        <v>8910360</v>
      </c>
    </row>
    <row r="134" spans="1:6" x14ac:dyDescent="0.3">
      <c r="A134" s="1" t="s">
        <v>16</v>
      </c>
      <c r="B134" s="1" t="s">
        <v>50</v>
      </c>
      <c r="C134" s="2" t="s">
        <v>12</v>
      </c>
      <c r="D134" s="1" t="s">
        <v>9</v>
      </c>
      <c r="E134" s="1" t="s">
        <v>45</v>
      </c>
      <c r="F134" s="1">
        <v>8910360</v>
      </c>
    </row>
    <row r="135" spans="1:6" x14ac:dyDescent="0.3">
      <c r="A135" s="3" t="s">
        <v>16</v>
      </c>
      <c r="B135" s="3" t="s">
        <v>50</v>
      </c>
      <c r="C135" s="4" t="s">
        <v>12</v>
      </c>
      <c r="D135" s="3" t="s">
        <v>9</v>
      </c>
      <c r="E135" s="3" t="s">
        <v>49</v>
      </c>
      <c r="F135" s="3">
        <v>1</v>
      </c>
    </row>
    <row r="136" spans="1:6" x14ac:dyDescent="0.3">
      <c r="A136" s="1" t="s">
        <v>16</v>
      </c>
      <c r="B136" s="1" t="s">
        <v>50</v>
      </c>
      <c r="C136" s="2" t="s">
        <v>12</v>
      </c>
      <c r="D136" s="1" t="s">
        <v>11</v>
      </c>
      <c r="E136" s="1" t="s">
        <v>44</v>
      </c>
      <c r="F136" s="1">
        <v>10067080</v>
      </c>
    </row>
    <row r="137" spans="1:6" x14ac:dyDescent="0.3">
      <c r="A137" s="3" t="s">
        <v>16</v>
      </c>
      <c r="B137" s="3" t="s">
        <v>50</v>
      </c>
      <c r="C137" s="4" t="s">
        <v>12</v>
      </c>
      <c r="D137" s="3" t="s">
        <v>11</v>
      </c>
      <c r="E137" s="3" t="s">
        <v>45</v>
      </c>
      <c r="F137" s="3">
        <v>10067080</v>
      </c>
    </row>
    <row r="138" spans="1:6" x14ac:dyDescent="0.3">
      <c r="A138" s="1" t="s">
        <v>16</v>
      </c>
      <c r="B138" s="1" t="s">
        <v>50</v>
      </c>
      <c r="C138" s="2" t="s">
        <v>12</v>
      </c>
      <c r="D138" s="1" t="s">
        <v>11</v>
      </c>
      <c r="E138" s="1" t="s">
        <v>49</v>
      </c>
      <c r="F138" s="1">
        <v>1</v>
      </c>
    </row>
    <row r="139" spans="1:6" x14ac:dyDescent="0.3">
      <c r="A139" s="3" t="s">
        <v>16</v>
      </c>
      <c r="B139" s="3" t="s">
        <v>50</v>
      </c>
      <c r="C139" s="4" t="s">
        <v>12</v>
      </c>
      <c r="D139" s="3" t="s">
        <v>1</v>
      </c>
      <c r="E139" s="3" t="s">
        <v>44</v>
      </c>
      <c r="F139" s="3">
        <v>50334.5799999999</v>
      </c>
    </row>
    <row r="140" spans="1:6" x14ac:dyDescent="0.3">
      <c r="A140" s="1" t="s">
        <v>16</v>
      </c>
      <c r="B140" s="1" t="s">
        <v>50</v>
      </c>
      <c r="C140" s="2" t="s">
        <v>12</v>
      </c>
      <c r="D140" s="1" t="s">
        <v>1</v>
      </c>
      <c r="E140" s="1" t="s">
        <v>45</v>
      </c>
      <c r="F140" s="1">
        <v>319576.38</v>
      </c>
    </row>
    <row r="141" spans="1:6" x14ac:dyDescent="0.3">
      <c r="A141" s="3" t="s">
        <v>16</v>
      </c>
      <c r="B141" s="3" t="s">
        <v>50</v>
      </c>
      <c r="C141" s="4" t="s">
        <v>12</v>
      </c>
      <c r="D141" s="3" t="s">
        <v>1</v>
      </c>
      <c r="E141" s="3" t="s">
        <v>46</v>
      </c>
      <c r="F141" s="3">
        <v>77630.399999999907</v>
      </c>
    </row>
    <row r="142" spans="1:6" x14ac:dyDescent="0.3">
      <c r="A142" s="1" t="s">
        <v>16</v>
      </c>
      <c r="B142" s="1" t="s">
        <v>50</v>
      </c>
      <c r="C142" s="2" t="s">
        <v>12</v>
      </c>
      <c r="D142" s="1" t="s">
        <v>1</v>
      </c>
      <c r="E142" s="1" t="s">
        <v>47</v>
      </c>
      <c r="F142" s="1">
        <v>2611.3999999999901</v>
      </c>
    </row>
    <row r="143" spans="1:6" x14ac:dyDescent="0.3">
      <c r="A143" s="3" t="s">
        <v>16</v>
      </c>
      <c r="B143" s="3" t="s">
        <v>50</v>
      </c>
      <c r="C143" s="4" t="s">
        <v>12</v>
      </c>
      <c r="D143" s="3" t="s">
        <v>1</v>
      </c>
      <c r="E143" s="3" t="s">
        <v>48</v>
      </c>
      <c r="F143" s="3">
        <v>189000</v>
      </c>
    </row>
    <row r="144" spans="1:6" x14ac:dyDescent="0.3">
      <c r="A144" s="1" t="s">
        <v>16</v>
      </c>
      <c r="B144" s="1" t="s">
        <v>50</v>
      </c>
      <c r="C144" s="2" t="s">
        <v>12</v>
      </c>
      <c r="D144" s="1" t="s">
        <v>1</v>
      </c>
      <c r="E144" s="1" t="s">
        <v>49</v>
      </c>
      <c r="F144" s="1">
        <v>0.15750406835448799</v>
      </c>
    </row>
    <row r="145" spans="1:6" x14ac:dyDescent="0.3">
      <c r="A145" s="3" t="s">
        <v>16</v>
      </c>
      <c r="B145" s="3" t="s">
        <v>50</v>
      </c>
      <c r="C145" s="4" t="s">
        <v>12</v>
      </c>
      <c r="D145" s="3" t="s">
        <v>6</v>
      </c>
      <c r="E145" s="3" t="s">
        <v>44</v>
      </c>
      <c r="F145" s="3">
        <v>53374.459999999897</v>
      </c>
    </row>
    <row r="146" spans="1:6" x14ac:dyDescent="0.3">
      <c r="A146" s="1" t="s">
        <v>16</v>
      </c>
      <c r="B146" s="1" t="s">
        <v>50</v>
      </c>
      <c r="C146" s="2" t="s">
        <v>12</v>
      </c>
      <c r="D146" s="1" t="s">
        <v>6</v>
      </c>
      <c r="E146" s="1" t="s">
        <v>45</v>
      </c>
      <c r="F146" s="1">
        <v>319576.38</v>
      </c>
    </row>
    <row r="147" spans="1:6" x14ac:dyDescent="0.3">
      <c r="A147" s="3" t="s">
        <v>16</v>
      </c>
      <c r="B147" s="3" t="s">
        <v>50</v>
      </c>
      <c r="C147" s="4" t="s">
        <v>12</v>
      </c>
      <c r="D147" s="3" t="s">
        <v>6</v>
      </c>
      <c r="E147" s="3" t="s">
        <v>46</v>
      </c>
      <c r="F147" s="3">
        <v>74690.399999999907</v>
      </c>
    </row>
    <row r="148" spans="1:6" x14ac:dyDescent="0.3">
      <c r="A148" s="1" t="s">
        <v>16</v>
      </c>
      <c r="B148" s="1" t="s">
        <v>50</v>
      </c>
      <c r="C148" s="2" t="s">
        <v>12</v>
      </c>
      <c r="D148" s="1" t="s">
        <v>6</v>
      </c>
      <c r="E148" s="1" t="s">
        <v>47</v>
      </c>
      <c r="F148" s="1">
        <v>2511.52</v>
      </c>
    </row>
    <row r="149" spans="1:6" x14ac:dyDescent="0.3">
      <c r="A149" s="3" t="s">
        <v>16</v>
      </c>
      <c r="B149" s="3" t="s">
        <v>50</v>
      </c>
      <c r="C149" s="4" t="s">
        <v>12</v>
      </c>
      <c r="D149" s="3" t="s">
        <v>6</v>
      </c>
      <c r="E149" s="3" t="s">
        <v>48</v>
      </c>
      <c r="F149" s="3">
        <v>189000</v>
      </c>
    </row>
    <row r="150" spans="1:6" x14ac:dyDescent="0.3">
      <c r="A150" s="1" t="s">
        <v>16</v>
      </c>
      <c r="B150" s="1" t="s">
        <v>50</v>
      </c>
      <c r="C150" s="2" t="s">
        <v>12</v>
      </c>
      <c r="D150" s="1" t="s">
        <v>6</v>
      </c>
      <c r="E150" s="1" t="s">
        <v>49</v>
      </c>
      <c r="F150" s="1">
        <v>0.16701628574677499</v>
      </c>
    </row>
    <row r="151" spans="1:6" x14ac:dyDescent="0.3">
      <c r="A151" s="3" t="s">
        <v>16</v>
      </c>
      <c r="B151" s="3" t="s">
        <v>50</v>
      </c>
      <c r="C151" s="4" t="s">
        <v>12</v>
      </c>
      <c r="D151" s="3" t="s">
        <v>9</v>
      </c>
      <c r="E151" s="3" t="s">
        <v>44</v>
      </c>
      <c r="F151" s="3">
        <v>47293.82</v>
      </c>
    </row>
    <row r="152" spans="1:6" x14ac:dyDescent="0.3">
      <c r="A152" s="1" t="s">
        <v>16</v>
      </c>
      <c r="B152" s="1" t="s">
        <v>50</v>
      </c>
      <c r="C152" s="2" t="s">
        <v>12</v>
      </c>
      <c r="D152" s="1" t="s">
        <v>9</v>
      </c>
      <c r="E152" s="1" t="s">
        <v>45</v>
      </c>
      <c r="F152" s="1">
        <v>319576.38</v>
      </c>
    </row>
    <row r="153" spans="1:6" x14ac:dyDescent="0.3">
      <c r="A153" s="3" t="s">
        <v>16</v>
      </c>
      <c r="B153" s="3" t="s">
        <v>50</v>
      </c>
      <c r="C153" s="4" t="s">
        <v>12</v>
      </c>
      <c r="D153" s="3" t="s">
        <v>9</v>
      </c>
      <c r="E153" s="3" t="s">
        <v>46</v>
      </c>
      <c r="F153" s="3">
        <v>80570.399999999907</v>
      </c>
    </row>
    <row r="154" spans="1:6" x14ac:dyDescent="0.3">
      <c r="A154" s="1" t="s">
        <v>16</v>
      </c>
      <c r="B154" s="1" t="s">
        <v>50</v>
      </c>
      <c r="C154" s="2" t="s">
        <v>12</v>
      </c>
      <c r="D154" s="1" t="s">
        <v>9</v>
      </c>
      <c r="E154" s="1" t="s">
        <v>47</v>
      </c>
      <c r="F154" s="1">
        <v>2712.1599999999899</v>
      </c>
    </row>
    <row r="155" spans="1:6" x14ac:dyDescent="0.3">
      <c r="A155" s="3" t="s">
        <v>16</v>
      </c>
      <c r="B155" s="3" t="s">
        <v>50</v>
      </c>
      <c r="C155" s="4" t="s">
        <v>12</v>
      </c>
      <c r="D155" s="3" t="s">
        <v>9</v>
      </c>
      <c r="E155" s="3" t="s">
        <v>48</v>
      </c>
      <c r="F155" s="3">
        <v>189000</v>
      </c>
    </row>
    <row r="156" spans="1:6" x14ac:dyDescent="0.3">
      <c r="A156" s="1" t="s">
        <v>16</v>
      </c>
      <c r="B156" s="1" t="s">
        <v>50</v>
      </c>
      <c r="C156" s="2" t="s">
        <v>12</v>
      </c>
      <c r="D156" s="1" t="s">
        <v>9</v>
      </c>
      <c r="E156" s="1" t="s">
        <v>49</v>
      </c>
      <c r="F156" s="1">
        <v>0.147989097316891</v>
      </c>
    </row>
    <row r="157" spans="1:6" x14ac:dyDescent="0.3">
      <c r="A157" s="3" t="s">
        <v>16</v>
      </c>
      <c r="B157" s="3" t="s">
        <v>50</v>
      </c>
      <c r="C157" s="4" t="s">
        <v>12</v>
      </c>
      <c r="D157" s="3" t="s">
        <v>11</v>
      </c>
      <c r="E157" s="3" t="s">
        <v>44</v>
      </c>
      <c r="F157" s="3">
        <v>26014.219999999899</v>
      </c>
    </row>
    <row r="158" spans="1:6" x14ac:dyDescent="0.3">
      <c r="A158" s="1" t="s">
        <v>16</v>
      </c>
      <c r="B158" s="1" t="s">
        <v>50</v>
      </c>
      <c r="C158" s="2" t="s">
        <v>12</v>
      </c>
      <c r="D158" s="1" t="s">
        <v>11</v>
      </c>
      <c r="E158" s="1" t="s">
        <v>45</v>
      </c>
      <c r="F158" s="1">
        <v>319576.38</v>
      </c>
    </row>
    <row r="159" spans="1:6" x14ac:dyDescent="0.3">
      <c r="A159" s="3" t="s">
        <v>16</v>
      </c>
      <c r="B159" s="3" t="s">
        <v>50</v>
      </c>
      <c r="C159" s="4" t="s">
        <v>12</v>
      </c>
      <c r="D159" s="3" t="s">
        <v>11</v>
      </c>
      <c r="E159" s="3" t="s">
        <v>46</v>
      </c>
      <c r="F159" s="3">
        <v>101150.399999999</v>
      </c>
    </row>
    <row r="160" spans="1:6" x14ac:dyDescent="0.3">
      <c r="A160" s="1" t="s">
        <v>16</v>
      </c>
      <c r="B160" s="1" t="s">
        <v>50</v>
      </c>
      <c r="C160" s="2" t="s">
        <v>12</v>
      </c>
      <c r="D160" s="1" t="s">
        <v>11</v>
      </c>
      <c r="E160" s="1" t="s">
        <v>47</v>
      </c>
      <c r="F160" s="1">
        <v>3411.7599999999902</v>
      </c>
    </row>
    <row r="161" spans="1:6" x14ac:dyDescent="0.3">
      <c r="A161" s="3" t="s">
        <v>16</v>
      </c>
      <c r="B161" s="3" t="s">
        <v>50</v>
      </c>
      <c r="C161" s="4" t="s">
        <v>12</v>
      </c>
      <c r="D161" s="3" t="s">
        <v>11</v>
      </c>
      <c r="E161" s="3" t="s">
        <v>48</v>
      </c>
      <c r="F161" s="3">
        <v>189000</v>
      </c>
    </row>
    <row r="162" spans="1:6" x14ac:dyDescent="0.3">
      <c r="A162" s="1" t="s">
        <v>16</v>
      </c>
      <c r="B162" s="1" t="s">
        <v>50</v>
      </c>
      <c r="C162" s="2" t="s">
        <v>12</v>
      </c>
      <c r="D162" s="1" t="s">
        <v>11</v>
      </c>
      <c r="E162" s="1" t="s">
        <v>49</v>
      </c>
      <c r="F162" s="1">
        <v>8.1402198748230403E-2</v>
      </c>
    </row>
    <row r="163" spans="1:6" x14ac:dyDescent="0.3">
      <c r="A163" s="3" t="s">
        <v>16</v>
      </c>
      <c r="B163" s="3" t="s">
        <v>50</v>
      </c>
      <c r="C163" s="4" t="s">
        <v>12</v>
      </c>
      <c r="D163" s="3" t="s">
        <v>1</v>
      </c>
      <c r="E163" s="3" t="s">
        <v>44</v>
      </c>
      <c r="F163" s="3">
        <v>-1316078.05999999</v>
      </c>
    </row>
    <row r="164" spans="1:6" x14ac:dyDescent="0.3">
      <c r="A164" s="1" t="s">
        <v>16</v>
      </c>
      <c r="B164" s="1" t="s">
        <v>50</v>
      </c>
      <c r="C164" s="2" t="s">
        <v>12</v>
      </c>
      <c r="D164" s="1" t="s">
        <v>1</v>
      </c>
      <c r="E164" s="1" t="s">
        <v>45</v>
      </c>
      <c r="F164" s="1">
        <v>271641</v>
      </c>
    </row>
    <row r="165" spans="1:6" x14ac:dyDescent="0.3">
      <c r="A165" s="3" t="s">
        <v>16</v>
      </c>
      <c r="B165" s="3" t="s">
        <v>50</v>
      </c>
      <c r="C165" s="4" t="s">
        <v>12</v>
      </c>
      <c r="D165" s="3" t="s">
        <v>1</v>
      </c>
      <c r="E165" s="3" t="s">
        <v>46</v>
      </c>
      <c r="F165" s="3">
        <v>109313.399999999</v>
      </c>
    </row>
    <row r="166" spans="1:6" x14ac:dyDescent="0.3">
      <c r="A166" s="1" t="s">
        <v>16</v>
      </c>
      <c r="B166" s="1" t="s">
        <v>50</v>
      </c>
      <c r="C166" s="2" t="s">
        <v>12</v>
      </c>
      <c r="D166" s="1" t="s">
        <v>1</v>
      </c>
      <c r="E166" s="1" t="s">
        <v>47</v>
      </c>
      <c r="F166" s="1">
        <v>5252.0599999999904</v>
      </c>
    </row>
    <row r="167" spans="1:6" x14ac:dyDescent="0.3">
      <c r="A167" s="3" t="s">
        <v>16</v>
      </c>
      <c r="B167" s="3" t="s">
        <v>50</v>
      </c>
      <c r="C167" s="4" t="s">
        <v>12</v>
      </c>
      <c r="D167" s="3" t="s">
        <v>1</v>
      </c>
      <c r="E167" s="3" t="s">
        <v>48</v>
      </c>
      <c r="F167" s="3">
        <v>1473153.5999999901</v>
      </c>
    </row>
    <row r="168" spans="1:6" x14ac:dyDescent="0.3">
      <c r="A168" s="1" t="s">
        <v>16</v>
      </c>
      <c r="B168" s="1" t="s">
        <v>50</v>
      </c>
      <c r="C168" s="2" t="s">
        <v>12</v>
      </c>
      <c r="D168" s="1" t="s">
        <v>1</v>
      </c>
      <c r="E168" s="1" t="s">
        <v>49</v>
      </c>
      <c r="F168" s="1">
        <v>-4.8449168571754599</v>
      </c>
    </row>
    <row r="169" spans="1:6" x14ac:dyDescent="0.3">
      <c r="A169" s="3" t="s">
        <v>16</v>
      </c>
      <c r="B169" s="3" t="s">
        <v>50</v>
      </c>
      <c r="C169" s="4" t="s">
        <v>12</v>
      </c>
      <c r="D169" s="3" t="s">
        <v>6</v>
      </c>
      <c r="E169" s="3" t="s">
        <v>44</v>
      </c>
      <c r="F169" s="3">
        <v>-1387770.3999999899</v>
      </c>
    </row>
    <row r="170" spans="1:6" x14ac:dyDescent="0.3">
      <c r="A170" s="1" t="s">
        <v>16</v>
      </c>
      <c r="B170" s="1" t="s">
        <v>50</v>
      </c>
      <c r="C170" s="2" t="s">
        <v>12</v>
      </c>
      <c r="D170" s="1" t="s">
        <v>6</v>
      </c>
      <c r="E170" s="1" t="s">
        <v>45</v>
      </c>
      <c r="F170" s="1">
        <v>407458.14</v>
      </c>
    </row>
    <row r="171" spans="1:6" x14ac:dyDescent="0.3">
      <c r="A171" s="3" t="s">
        <v>16</v>
      </c>
      <c r="B171" s="3" t="s">
        <v>50</v>
      </c>
      <c r="C171" s="4" t="s">
        <v>12</v>
      </c>
      <c r="D171" s="3" t="s">
        <v>6</v>
      </c>
      <c r="E171" s="3" t="s">
        <v>46</v>
      </c>
      <c r="F171" s="3">
        <v>121606.8</v>
      </c>
    </row>
    <row r="172" spans="1:6" x14ac:dyDescent="0.3">
      <c r="A172" s="1" t="s">
        <v>16</v>
      </c>
      <c r="B172" s="1" t="s">
        <v>50</v>
      </c>
      <c r="C172" s="2" t="s">
        <v>12</v>
      </c>
      <c r="D172" s="1" t="s">
        <v>6</v>
      </c>
      <c r="E172" s="1" t="s">
        <v>47</v>
      </c>
      <c r="F172" s="1">
        <v>5050.53999999999</v>
      </c>
    </row>
    <row r="173" spans="1:6" x14ac:dyDescent="0.3">
      <c r="A173" s="3" t="s">
        <v>16</v>
      </c>
      <c r="B173" s="3" t="s">
        <v>50</v>
      </c>
      <c r="C173" s="4" t="s">
        <v>12</v>
      </c>
      <c r="D173" s="3" t="s">
        <v>6</v>
      </c>
      <c r="E173" s="3" t="s">
        <v>48</v>
      </c>
      <c r="F173" s="3">
        <v>1668571.1999999899</v>
      </c>
    </row>
    <row r="174" spans="1:6" x14ac:dyDescent="0.3">
      <c r="A174" s="1" t="s">
        <v>16</v>
      </c>
      <c r="B174" s="1" t="s">
        <v>50</v>
      </c>
      <c r="C174" s="2" t="s">
        <v>12</v>
      </c>
      <c r="D174" s="1" t="s">
        <v>6</v>
      </c>
      <c r="E174" s="1" t="s">
        <v>49</v>
      </c>
      <c r="F174" s="1">
        <v>-3.4059214033618201</v>
      </c>
    </row>
    <row r="175" spans="1:6" x14ac:dyDescent="0.3">
      <c r="A175" s="3" t="s">
        <v>16</v>
      </c>
      <c r="B175" s="3" t="s">
        <v>50</v>
      </c>
      <c r="C175" s="4" t="s">
        <v>12</v>
      </c>
      <c r="D175" s="3" t="s">
        <v>9</v>
      </c>
      <c r="E175" s="3" t="s">
        <v>44</v>
      </c>
      <c r="F175" s="3">
        <v>-1354307.78</v>
      </c>
    </row>
    <row r="176" spans="1:6" x14ac:dyDescent="0.3">
      <c r="A176" s="1" t="s">
        <v>16</v>
      </c>
      <c r="B176" s="1" t="s">
        <v>50</v>
      </c>
      <c r="C176" s="2" t="s">
        <v>12</v>
      </c>
      <c r="D176" s="1" t="s">
        <v>9</v>
      </c>
      <c r="E176" s="1" t="s">
        <v>45</v>
      </c>
      <c r="F176" s="1">
        <v>543278.64</v>
      </c>
    </row>
    <row r="177" spans="1:6" x14ac:dyDescent="0.3">
      <c r="A177" s="3" t="s">
        <v>16</v>
      </c>
      <c r="B177" s="3" t="s">
        <v>50</v>
      </c>
      <c r="C177" s="4" t="s">
        <v>12</v>
      </c>
      <c r="D177" s="3" t="s">
        <v>9</v>
      </c>
      <c r="E177" s="3" t="s">
        <v>46</v>
      </c>
      <c r="F177" s="3">
        <v>133366.799999999</v>
      </c>
    </row>
    <row r="178" spans="1:6" x14ac:dyDescent="0.3">
      <c r="A178" s="1" t="s">
        <v>16</v>
      </c>
      <c r="B178" s="1" t="s">
        <v>50</v>
      </c>
      <c r="C178" s="2" t="s">
        <v>12</v>
      </c>
      <c r="D178" s="1" t="s">
        <v>9</v>
      </c>
      <c r="E178" s="1" t="s">
        <v>47</v>
      </c>
      <c r="F178" s="1">
        <v>5454.02</v>
      </c>
    </row>
    <row r="179" spans="1:6" x14ac:dyDescent="0.3">
      <c r="A179" s="3" t="s">
        <v>16</v>
      </c>
      <c r="B179" s="3" t="s">
        <v>50</v>
      </c>
      <c r="C179" s="4" t="s">
        <v>12</v>
      </c>
      <c r="D179" s="3" t="s">
        <v>9</v>
      </c>
      <c r="E179" s="3" t="s">
        <v>48</v>
      </c>
      <c r="F179" s="3">
        <v>1758765.5999999901</v>
      </c>
    </row>
    <row r="180" spans="1:6" x14ac:dyDescent="0.3">
      <c r="A180" s="1" t="s">
        <v>16</v>
      </c>
      <c r="B180" s="1" t="s">
        <v>50</v>
      </c>
      <c r="C180" s="2" t="s">
        <v>12</v>
      </c>
      <c r="D180" s="1" t="s">
        <v>9</v>
      </c>
      <c r="E180" s="1" t="s">
        <v>49</v>
      </c>
      <c r="F180" s="1">
        <v>-2.4928419420281198</v>
      </c>
    </row>
    <row r="181" spans="1:6" x14ac:dyDescent="0.3">
      <c r="A181" s="3" t="s">
        <v>16</v>
      </c>
      <c r="B181" s="3" t="s">
        <v>50</v>
      </c>
      <c r="C181" s="4" t="s">
        <v>12</v>
      </c>
      <c r="D181" s="3" t="s">
        <v>11</v>
      </c>
      <c r="E181" s="3" t="s">
        <v>44</v>
      </c>
      <c r="F181" s="3">
        <v>-1394735.74</v>
      </c>
    </row>
    <row r="182" spans="1:6" x14ac:dyDescent="0.3">
      <c r="A182" s="1" t="s">
        <v>16</v>
      </c>
      <c r="B182" s="1" t="s">
        <v>50</v>
      </c>
      <c r="C182" s="2" t="s">
        <v>12</v>
      </c>
      <c r="D182" s="1" t="s">
        <v>11</v>
      </c>
      <c r="E182" s="1" t="s">
        <v>45</v>
      </c>
      <c r="F182" s="1">
        <v>679099.13999999897</v>
      </c>
    </row>
    <row r="183" spans="1:6" x14ac:dyDescent="0.3">
      <c r="A183" s="3" t="s">
        <v>16</v>
      </c>
      <c r="B183" s="3" t="s">
        <v>50</v>
      </c>
      <c r="C183" s="4" t="s">
        <v>12</v>
      </c>
      <c r="D183" s="3" t="s">
        <v>11</v>
      </c>
      <c r="E183" s="3" t="s">
        <v>46</v>
      </c>
      <c r="F183" s="3">
        <v>112786.8</v>
      </c>
    </row>
    <row r="184" spans="1:6" x14ac:dyDescent="0.3">
      <c r="A184" s="1" t="s">
        <v>16</v>
      </c>
      <c r="B184" s="1" t="s">
        <v>50</v>
      </c>
      <c r="C184" s="2" t="s">
        <v>12</v>
      </c>
      <c r="D184" s="1" t="s">
        <v>11</v>
      </c>
      <c r="E184" s="1" t="s">
        <v>47</v>
      </c>
      <c r="F184" s="1">
        <v>6864.88</v>
      </c>
    </row>
    <row r="185" spans="1:6" x14ac:dyDescent="0.3">
      <c r="A185" s="3" t="s">
        <v>16</v>
      </c>
      <c r="B185" s="3" t="s">
        <v>50</v>
      </c>
      <c r="C185" s="4" t="s">
        <v>12</v>
      </c>
      <c r="D185" s="3" t="s">
        <v>11</v>
      </c>
      <c r="E185" s="3" t="s">
        <v>48</v>
      </c>
      <c r="F185" s="3">
        <v>1954183.1999999899</v>
      </c>
    </row>
    <row r="186" spans="1:6" x14ac:dyDescent="0.3">
      <c r="A186" s="1" t="s">
        <v>16</v>
      </c>
      <c r="B186" s="1" t="s">
        <v>50</v>
      </c>
      <c r="C186" s="2" t="s">
        <v>12</v>
      </c>
      <c r="D186" s="1" t="s">
        <v>11</v>
      </c>
      <c r="E186" s="1" t="s">
        <v>49</v>
      </c>
      <c r="F186" s="1">
        <v>-2.0538028365048402</v>
      </c>
    </row>
    <row r="187" spans="1:6" x14ac:dyDescent="0.3">
      <c r="A187" s="3" t="s">
        <v>16</v>
      </c>
      <c r="B187" s="3" t="s">
        <v>50</v>
      </c>
      <c r="C187" s="4" t="s">
        <v>12</v>
      </c>
      <c r="D187" s="3" t="s">
        <v>1</v>
      </c>
      <c r="E187" s="3" t="s">
        <v>44</v>
      </c>
      <c r="F187" s="3">
        <v>-2189735.9099999899</v>
      </c>
    </row>
    <row r="188" spans="1:6" x14ac:dyDescent="0.3">
      <c r="A188" s="1" t="s">
        <v>16</v>
      </c>
      <c r="B188" s="1" t="s">
        <v>50</v>
      </c>
      <c r="C188" s="2" t="s">
        <v>12</v>
      </c>
      <c r="D188" s="1" t="s">
        <v>1</v>
      </c>
      <c r="E188" s="1" t="s">
        <v>45</v>
      </c>
      <c r="F188" s="1">
        <v>124953.81</v>
      </c>
    </row>
    <row r="189" spans="1:6" x14ac:dyDescent="0.3">
      <c r="A189" s="3" t="s">
        <v>16</v>
      </c>
      <c r="B189" s="3" t="s">
        <v>50</v>
      </c>
      <c r="C189" s="4" t="s">
        <v>12</v>
      </c>
      <c r="D189" s="3" t="s">
        <v>1</v>
      </c>
      <c r="E189" s="3" t="s">
        <v>46</v>
      </c>
      <c r="F189" s="3">
        <v>264600</v>
      </c>
    </row>
    <row r="190" spans="1:6" x14ac:dyDescent="0.3">
      <c r="A190" s="1" t="s">
        <v>16</v>
      </c>
      <c r="B190" s="1" t="s">
        <v>50</v>
      </c>
      <c r="C190" s="2" t="s">
        <v>12</v>
      </c>
      <c r="D190" s="1" t="s">
        <v>1</v>
      </c>
      <c r="E190" s="1" t="s">
        <v>47</v>
      </c>
      <c r="F190" s="1">
        <v>20744.519999999899</v>
      </c>
    </row>
    <row r="191" spans="1:6" x14ac:dyDescent="0.3">
      <c r="A191" s="3" t="s">
        <v>16</v>
      </c>
      <c r="B191" s="3" t="s">
        <v>50</v>
      </c>
      <c r="C191" s="4" t="s">
        <v>12</v>
      </c>
      <c r="D191" s="3" t="s">
        <v>1</v>
      </c>
      <c r="E191" s="3" t="s">
        <v>48</v>
      </c>
      <c r="F191" s="3">
        <v>2029345.1999999899</v>
      </c>
    </row>
    <row r="192" spans="1:6" x14ac:dyDescent="0.3">
      <c r="A192" s="1" t="s">
        <v>16</v>
      </c>
      <c r="B192" s="1" t="s">
        <v>50</v>
      </c>
      <c r="C192" s="2" t="s">
        <v>12</v>
      </c>
      <c r="D192" s="1" t="s">
        <v>1</v>
      </c>
      <c r="E192" s="1" t="s">
        <v>49</v>
      </c>
      <c r="F192" s="1">
        <v>-17.524362882572301</v>
      </c>
    </row>
    <row r="193" spans="1:6" x14ac:dyDescent="0.3">
      <c r="A193" s="3" t="s">
        <v>16</v>
      </c>
      <c r="B193" s="3" t="s">
        <v>50</v>
      </c>
      <c r="C193" s="4" t="s">
        <v>12</v>
      </c>
      <c r="D193" s="3" t="s">
        <v>6</v>
      </c>
      <c r="E193" s="3" t="s">
        <v>44</v>
      </c>
      <c r="F193" s="3">
        <v>-2196078.12</v>
      </c>
    </row>
    <row r="194" spans="1:6" x14ac:dyDescent="0.3">
      <c r="A194" s="1" t="s">
        <v>16</v>
      </c>
      <c r="B194" s="1" t="s">
        <v>50</v>
      </c>
      <c r="C194" s="2" t="s">
        <v>12</v>
      </c>
      <c r="D194" s="1" t="s">
        <v>6</v>
      </c>
      <c r="E194" s="1" t="s">
        <v>45</v>
      </c>
      <c r="F194" s="1">
        <v>124953.81</v>
      </c>
    </row>
    <row r="195" spans="1:6" x14ac:dyDescent="0.3">
      <c r="A195" s="3" t="s">
        <v>16</v>
      </c>
      <c r="B195" s="3" t="s">
        <v>50</v>
      </c>
      <c r="C195" s="4" t="s">
        <v>12</v>
      </c>
      <c r="D195" s="3" t="s">
        <v>6</v>
      </c>
      <c r="E195" s="3" t="s">
        <v>46</v>
      </c>
      <c r="F195" s="3">
        <v>267540</v>
      </c>
    </row>
    <row r="196" spans="1:6" x14ac:dyDescent="0.3">
      <c r="A196" s="1" t="s">
        <v>16</v>
      </c>
      <c r="B196" s="1" t="s">
        <v>50</v>
      </c>
      <c r="C196" s="2" t="s">
        <v>12</v>
      </c>
      <c r="D196" s="1" t="s">
        <v>6</v>
      </c>
      <c r="E196" s="1" t="s">
        <v>47</v>
      </c>
      <c r="F196" s="1">
        <v>24146.729999999901</v>
      </c>
    </row>
    <row r="197" spans="1:6" x14ac:dyDescent="0.3">
      <c r="A197" s="3" t="s">
        <v>16</v>
      </c>
      <c r="B197" s="3" t="s">
        <v>50</v>
      </c>
      <c r="C197" s="4" t="s">
        <v>12</v>
      </c>
      <c r="D197" s="3" t="s">
        <v>6</v>
      </c>
      <c r="E197" s="3" t="s">
        <v>48</v>
      </c>
      <c r="F197" s="3">
        <v>2029345.1999999899</v>
      </c>
    </row>
    <row r="198" spans="1:6" x14ac:dyDescent="0.3">
      <c r="A198" s="1" t="s">
        <v>16</v>
      </c>
      <c r="B198" s="1" t="s">
        <v>50</v>
      </c>
      <c r="C198" s="2" t="s">
        <v>12</v>
      </c>
      <c r="D198" s="1" t="s">
        <v>6</v>
      </c>
      <c r="E198" s="1" t="s">
        <v>49</v>
      </c>
      <c r="F198" s="1">
        <v>-17.575119318090401</v>
      </c>
    </row>
    <row r="199" spans="1:6" x14ac:dyDescent="0.3">
      <c r="A199" s="3" t="s">
        <v>16</v>
      </c>
      <c r="B199" s="3" t="s">
        <v>50</v>
      </c>
      <c r="C199" s="4" t="s">
        <v>12</v>
      </c>
      <c r="D199" s="3" t="s">
        <v>9</v>
      </c>
      <c r="E199" s="3" t="s">
        <v>44</v>
      </c>
      <c r="F199" s="3">
        <v>-2123550.6999999899</v>
      </c>
    </row>
    <row r="200" spans="1:6" x14ac:dyDescent="0.3">
      <c r="A200" s="1" t="s">
        <v>16</v>
      </c>
      <c r="B200" s="1" t="s">
        <v>50</v>
      </c>
      <c r="C200" s="2" t="s">
        <v>12</v>
      </c>
      <c r="D200" s="1" t="s">
        <v>9</v>
      </c>
      <c r="E200" s="1" t="s">
        <v>45</v>
      </c>
      <c r="F200" s="1">
        <v>208257.25</v>
      </c>
    </row>
    <row r="201" spans="1:6" x14ac:dyDescent="0.3">
      <c r="A201" s="3" t="s">
        <v>16</v>
      </c>
      <c r="B201" s="3" t="s">
        <v>50</v>
      </c>
      <c r="C201" s="4" t="s">
        <v>12</v>
      </c>
      <c r="D201" s="3" t="s">
        <v>9</v>
      </c>
      <c r="E201" s="3" t="s">
        <v>46</v>
      </c>
      <c r="F201" s="3">
        <v>273420</v>
      </c>
    </row>
    <row r="202" spans="1:6" x14ac:dyDescent="0.3">
      <c r="A202" s="1" t="s">
        <v>16</v>
      </c>
      <c r="B202" s="1" t="s">
        <v>50</v>
      </c>
      <c r="C202" s="2" t="s">
        <v>12</v>
      </c>
      <c r="D202" s="1" t="s">
        <v>9</v>
      </c>
      <c r="E202" s="1" t="s">
        <v>47</v>
      </c>
      <c r="F202" s="1">
        <v>29042.75</v>
      </c>
    </row>
    <row r="203" spans="1:6" x14ac:dyDescent="0.3">
      <c r="A203" s="3" t="s">
        <v>16</v>
      </c>
      <c r="B203" s="3" t="s">
        <v>50</v>
      </c>
      <c r="C203" s="4" t="s">
        <v>12</v>
      </c>
      <c r="D203" s="3" t="s">
        <v>9</v>
      </c>
      <c r="E203" s="3" t="s">
        <v>48</v>
      </c>
      <c r="F203" s="3">
        <v>2029345.1999999899</v>
      </c>
    </row>
    <row r="204" spans="1:6" x14ac:dyDescent="0.3">
      <c r="A204" s="1" t="s">
        <v>16</v>
      </c>
      <c r="B204" s="1" t="s">
        <v>50</v>
      </c>
      <c r="C204" s="2" t="s">
        <v>12</v>
      </c>
      <c r="D204" s="1" t="s">
        <v>9</v>
      </c>
      <c r="E204" s="1" t="s">
        <v>49</v>
      </c>
      <c r="F204" s="1">
        <v>-10.1967672193885</v>
      </c>
    </row>
    <row r="205" spans="1:6" x14ac:dyDescent="0.3">
      <c r="A205" s="3" t="s">
        <v>16</v>
      </c>
      <c r="B205" s="3" t="s">
        <v>50</v>
      </c>
      <c r="C205" s="4" t="s">
        <v>12</v>
      </c>
      <c r="D205" s="3" t="s">
        <v>11</v>
      </c>
      <c r="E205" s="3" t="s">
        <v>44</v>
      </c>
      <c r="F205" s="3">
        <v>-2095163.73</v>
      </c>
    </row>
    <row r="206" spans="1:6" x14ac:dyDescent="0.3">
      <c r="A206" s="1" t="s">
        <v>16</v>
      </c>
      <c r="B206" s="1" t="s">
        <v>50</v>
      </c>
      <c r="C206" s="2" t="s">
        <v>12</v>
      </c>
      <c r="D206" s="1" t="s">
        <v>11</v>
      </c>
      <c r="E206" s="1" t="s">
        <v>45</v>
      </c>
      <c r="F206" s="1">
        <v>249908.96999999901</v>
      </c>
    </row>
    <row r="207" spans="1:6" x14ac:dyDescent="0.3">
      <c r="A207" s="3" t="s">
        <v>16</v>
      </c>
      <c r="B207" s="3" t="s">
        <v>50</v>
      </c>
      <c r="C207" s="4" t="s">
        <v>12</v>
      </c>
      <c r="D207" s="3" t="s">
        <v>11</v>
      </c>
      <c r="E207" s="3" t="s">
        <v>46</v>
      </c>
      <c r="F207" s="3">
        <v>279300</v>
      </c>
    </row>
    <row r="208" spans="1:6" x14ac:dyDescent="0.3">
      <c r="A208" s="1" t="s">
        <v>16</v>
      </c>
      <c r="B208" s="1" t="s">
        <v>50</v>
      </c>
      <c r="C208" s="2" t="s">
        <v>12</v>
      </c>
      <c r="D208" s="1" t="s">
        <v>11</v>
      </c>
      <c r="E208" s="1" t="s">
        <v>47</v>
      </c>
      <c r="F208" s="1">
        <v>36427.5</v>
      </c>
    </row>
    <row r="209" spans="1:6" x14ac:dyDescent="0.3">
      <c r="A209" s="3" t="s">
        <v>16</v>
      </c>
      <c r="B209" s="3" t="s">
        <v>50</v>
      </c>
      <c r="C209" s="4" t="s">
        <v>12</v>
      </c>
      <c r="D209" s="3" t="s">
        <v>11</v>
      </c>
      <c r="E209" s="3" t="s">
        <v>48</v>
      </c>
      <c r="F209" s="3">
        <v>2029345.1999999899</v>
      </c>
    </row>
    <row r="210" spans="1:6" x14ac:dyDescent="0.3">
      <c r="A210" s="1" t="s">
        <v>16</v>
      </c>
      <c r="B210" s="1" t="s">
        <v>50</v>
      </c>
      <c r="C210" s="2" t="s">
        <v>12</v>
      </c>
      <c r="D210" s="1" t="s">
        <v>11</v>
      </c>
      <c r="E210" s="1" t="s">
        <v>49</v>
      </c>
      <c r="F210" s="1">
        <v>-8.3837075956097102</v>
      </c>
    </row>
    <row r="211" spans="1:6" x14ac:dyDescent="0.3">
      <c r="A211" s="3" t="s">
        <v>16</v>
      </c>
      <c r="B211" s="3" t="s">
        <v>50</v>
      </c>
      <c r="C211" s="4" t="s">
        <v>12</v>
      </c>
      <c r="D211" s="3" t="s">
        <v>1</v>
      </c>
      <c r="E211" s="3" t="s">
        <v>44</v>
      </c>
      <c r="F211" s="3">
        <v>130670.82</v>
      </c>
    </row>
    <row r="212" spans="1:6" x14ac:dyDescent="0.3">
      <c r="A212" s="1" t="s">
        <v>16</v>
      </c>
      <c r="B212" s="1" t="s">
        <v>50</v>
      </c>
      <c r="C212" s="2" t="s">
        <v>12</v>
      </c>
      <c r="D212" s="1" t="s">
        <v>1</v>
      </c>
      <c r="E212" s="1" t="s">
        <v>45</v>
      </c>
      <c r="F212" s="1">
        <v>130670.82</v>
      </c>
    </row>
    <row r="213" spans="1:6" x14ac:dyDescent="0.3">
      <c r="A213" s="3" t="s">
        <v>16</v>
      </c>
      <c r="B213" s="3" t="s">
        <v>50</v>
      </c>
      <c r="C213" s="4" t="s">
        <v>12</v>
      </c>
      <c r="D213" s="3" t="s">
        <v>1</v>
      </c>
      <c r="E213" s="3" t="s">
        <v>49</v>
      </c>
      <c r="F213" s="3">
        <v>1</v>
      </c>
    </row>
    <row r="214" spans="1:6" x14ac:dyDescent="0.3">
      <c r="A214" s="1" t="s">
        <v>16</v>
      </c>
      <c r="B214" s="1" t="s">
        <v>50</v>
      </c>
      <c r="C214" s="2" t="s">
        <v>12</v>
      </c>
      <c r="D214" s="1" t="s">
        <v>6</v>
      </c>
      <c r="E214" s="1" t="s">
        <v>44</v>
      </c>
      <c r="F214" s="1">
        <v>130670.82</v>
      </c>
    </row>
    <row r="215" spans="1:6" x14ac:dyDescent="0.3">
      <c r="A215" s="3" t="s">
        <v>16</v>
      </c>
      <c r="B215" s="3" t="s">
        <v>50</v>
      </c>
      <c r="C215" s="4" t="s">
        <v>12</v>
      </c>
      <c r="D215" s="3" t="s">
        <v>6</v>
      </c>
      <c r="E215" s="3" t="s">
        <v>45</v>
      </c>
      <c r="F215" s="3">
        <v>130670.82</v>
      </c>
    </row>
    <row r="216" spans="1:6" x14ac:dyDescent="0.3">
      <c r="A216" s="1" t="s">
        <v>16</v>
      </c>
      <c r="B216" s="1" t="s">
        <v>50</v>
      </c>
      <c r="C216" s="2" t="s">
        <v>12</v>
      </c>
      <c r="D216" s="1" t="s">
        <v>6</v>
      </c>
      <c r="E216" s="1" t="s">
        <v>49</v>
      </c>
      <c r="F216" s="1">
        <v>1</v>
      </c>
    </row>
    <row r="217" spans="1:6" x14ac:dyDescent="0.3">
      <c r="A217" s="3" t="s">
        <v>16</v>
      </c>
      <c r="B217" s="3" t="s">
        <v>50</v>
      </c>
      <c r="C217" s="4" t="s">
        <v>12</v>
      </c>
      <c r="D217" s="3" t="s">
        <v>9</v>
      </c>
      <c r="E217" s="3" t="s">
        <v>44</v>
      </c>
      <c r="F217" s="3">
        <v>217784.7</v>
      </c>
    </row>
    <row r="218" spans="1:6" x14ac:dyDescent="0.3">
      <c r="A218" s="1" t="s">
        <v>16</v>
      </c>
      <c r="B218" s="1" t="s">
        <v>50</v>
      </c>
      <c r="C218" s="2" t="s">
        <v>12</v>
      </c>
      <c r="D218" s="1" t="s">
        <v>9</v>
      </c>
      <c r="E218" s="1" t="s">
        <v>45</v>
      </c>
      <c r="F218" s="1">
        <v>217784.7</v>
      </c>
    </row>
    <row r="219" spans="1:6" x14ac:dyDescent="0.3">
      <c r="A219" s="3" t="s">
        <v>16</v>
      </c>
      <c r="B219" s="3" t="s">
        <v>50</v>
      </c>
      <c r="C219" s="4" t="s">
        <v>12</v>
      </c>
      <c r="D219" s="3" t="s">
        <v>9</v>
      </c>
      <c r="E219" s="3" t="s">
        <v>49</v>
      </c>
      <c r="F219" s="3">
        <v>1</v>
      </c>
    </row>
    <row r="220" spans="1:6" x14ac:dyDescent="0.3">
      <c r="A220" s="1" t="s">
        <v>16</v>
      </c>
      <c r="B220" s="1" t="s">
        <v>50</v>
      </c>
      <c r="C220" s="2" t="s">
        <v>12</v>
      </c>
      <c r="D220" s="1" t="s">
        <v>11</v>
      </c>
      <c r="E220" s="1" t="s">
        <v>44</v>
      </c>
      <c r="F220" s="1">
        <v>261341.64</v>
      </c>
    </row>
    <row r="221" spans="1:6" x14ac:dyDescent="0.3">
      <c r="A221" s="3" t="s">
        <v>16</v>
      </c>
      <c r="B221" s="3" t="s">
        <v>50</v>
      </c>
      <c r="C221" s="4" t="s">
        <v>12</v>
      </c>
      <c r="D221" s="3" t="s">
        <v>11</v>
      </c>
      <c r="E221" s="3" t="s">
        <v>45</v>
      </c>
      <c r="F221" s="3">
        <v>261341.64</v>
      </c>
    </row>
    <row r="222" spans="1:6" x14ac:dyDescent="0.3">
      <c r="A222" s="1" t="s">
        <v>16</v>
      </c>
      <c r="B222" s="1" t="s">
        <v>50</v>
      </c>
      <c r="C222" s="2" t="s">
        <v>12</v>
      </c>
      <c r="D222" s="1" t="s">
        <v>11</v>
      </c>
      <c r="E222" s="1" t="s">
        <v>49</v>
      </c>
      <c r="F222" s="1">
        <v>1</v>
      </c>
    </row>
    <row r="223" spans="1:6" x14ac:dyDescent="0.3">
      <c r="A223" s="3" t="s">
        <v>16</v>
      </c>
      <c r="B223" s="3" t="s">
        <v>50</v>
      </c>
      <c r="C223" s="4" t="s">
        <v>12</v>
      </c>
      <c r="D223" s="3" t="s">
        <v>1</v>
      </c>
      <c r="E223" s="3" t="s">
        <v>44</v>
      </c>
      <c r="F223" s="3">
        <v>-1342222.8999999899</v>
      </c>
    </row>
    <row r="224" spans="1:6" x14ac:dyDescent="0.3">
      <c r="A224" s="1" t="s">
        <v>16</v>
      </c>
      <c r="B224" s="1" t="s">
        <v>50</v>
      </c>
      <c r="C224" s="2" t="s">
        <v>12</v>
      </c>
      <c r="D224" s="1" t="s">
        <v>1</v>
      </c>
      <c r="E224" s="1" t="s">
        <v>45</v>
      </c>
      <c r="F224" s="1">
        <v>284067</v>
      </c>
    </row>
    <row r="225" spans="1:6" x14ac:dyDescent="0.3">
      <c r="A225" s="3" t="s">
        <v>16</v>
      </c>
      <c r="B225" s="3" t="s">
        <v>50</v>
      </c>
      <c r="C225" s="4" t="s">
        <v>12</v>
      </c>
      <c r="D225" s="3" t="s">
        <v>1</v>
      </c>
      <c r="E225" s="3" t="s">
        <v>46</v>
      </c>
      <c r="F225" s="3">
        <v>40195.199999999903</v>
      </c>
    </row>
    <row r="226" spans="1:6" x14ac:dyDescent="0.3">
      <c r="A226" s="1" t="s">
        <v>16</v>
      </c>
      <c r="B226" s="1" t="s">
        <v>50</v>
      </c>
      <c r="C226" s="2" t="s">
        <v>12</v>
      </c>
      <c r="D226" s="1" t="s">
        <v>1</v>
      </c>
      <c r="E226" s="1" t="s">
        <v>47</v>
      </c>
      <c r="F226" s="1">
        <v>7715.5</v>
      </c>
    </row>
    <row r="227" spans="1:6" x14ac:dyDescent="0.3">
      <c r="A227" s="3" t="s">
        <v>16</v>
      </c>
      <c r="B227" s="3" t="s">
        <v>50</v>
      </c>
      <c r="C227" s="4" t="s">
        <v>12</v>
      </c>
      <c r="D227" s="3" t="s">
        <v>1</v>
      </c>
      <c r="E227" s="3" t="s">
        <v>48</v>
      </c>
      <c r="F227" s="3">
        <v>1578379.1999999899</v>
      </c>
    </row>
    <row r="228" spans="1:6" x14ac:dyDescent="0.3">
      <c r="A228" s="1" t="s">
        <v>16</v>
      </c>
      <c r="B228" s="1" t="s">
        <v>50</v>
      </c>
      <c r="C228" s="2" t="s">
        <v>12</v>
      </c>
      <c r="D228" s="1" t="s">
        <v>1</v>
      </c>
      <c r="E228" s="1" t="s">
        <v>49</v>
      </c>
      <c r="F228" s="1">
        <v>-4.7250222658738901</v>
      </c>
    </row>
    <row r="229" spans="1:6" x14ac:dyDescent="0.3">
      <c r="A229" s="3" t="s">
        <v>16</v>
      </c>
      <c r="B229" s="3" t="s">
        <v>50</v>
      </c>
      <c r="C229" s="4" t="s">
        <v>12</v>
      </c>
      <c r="D229" s="3" t="s">
        <v>6</v>
      </c>
      <c r="E229" s="3" t="s">
        <v>44</v>
      </c>
      <c r="F229" s="3">
        <v>-1443298.1999999899</v>
      </c>
    </row>
    <row r="230" spans="1:6" x14ac:dyDescent="0.3">
      <c r="A230" s="1" t="s">
        <v>16</v>
      </c>
      <c r="B230" s="1" t="s">
        <v>50</v>
      </c>
      <c r="C230" s="2" t="s">
        <v>12</v>
      </c>
      <c r="D230" s="1" t="s">
        <v>6</v>
      </c>
      <c r="E230" s="1" t="s">
        <v>45</v>
      </c>
      <c r="F230" s="1">
        <v>284067</v>
      </c>
    </row>
    <row r="231" spans="1:6" x14ac:dyDescent="0.3">
      <c r="A231" s="3" t="s">
        <v>16</v>
      </c>
      <c r="B231" s="3" t="s">
        <v>50</v>
      </c>
      <c r="C231" s="4" t="s">
        <v>12</v>
      </c>
      <c r="D231" s="3" t="s">
        <v>6</v>
      </c>
      <c r="E231" s="3" t="s">
        <v>46</v>
      </c>
      <c r="F231" s="3">
        <v>51373.599999999897</v>
      </c>
    </row>
    <row r="232" spans="1:6" x14ac:dyDescent="0.3">
      <c r="A232" s="1" t="s">
        <v>16</v>
      </c>
      <c r="B232" s="1" t="s">
        <v>50</v>
      </c>
      <c r="C232" s="2" t="s">
        <v>12</v>
      </c>
      <c r="D232" s="1" t="s">
        <v>6</v>
      </c>
      <c r="E232" s="1" t="s">
        <v>47</v>
      </c>
      <c r="F232" s="1">
        <v>7420.3999999999896</v>
      </c>
    </row>
    <row r="233" spans="1:6" x14ac:dyDescent="0.3">
      <c r="A233" s="3" t="s">
        <v>16</v>
      </c>
      <c r="B233" s="3" t="s">
        <v>50</v>
      </c>
      <c r="C233" s="4" t="s">
        <v>12</v>
      </c>
      <c r="D233" s="3" t="s">
        <v>6</v>
      </c>
      <c r="E233" s="3" t="s">
        <v>48</v>
      </c>
      <c r="F233" s="3">
        <v>1668571.1999999899</v>
      </c>
    </row>
    <row r="234" spans="1:6" x14ac:dyDescent="0.3">
      <c r="A234" s="1" t="s">
        <v>16</v>
      </c>
      <c r="B234" s="1" t="s">
        <v>50</v>
      </c>
      <c r="C234" s="2" t="s">
        <v>12</v>
      </c>
      <c r="D234" s="1" t="s">
        <v>6</v>
      </c>
      <c r="E234" s="1" t="s">
        <v>49</v>
      </c>
      <c r="F234" s="1">
        <v>-5.0808372672644104</v>
      </c>
    </row>
    <row r="235" spans="1:6" x14ac:dyDescent="0.3">
      <c r="A235" s="3" t="s">
        <v>16</v>
      </c>
      <c r="B235" s="3" t="s">
        <v>50</v>
      </c>
      <c r="C235" s="4" t="s">
        <v>12</v>
      </c>
      <c r="D235" s="3" t="s">
        <v>9</v>
      </c>
      <c r="E235" s="3" t="s">
        <v>44</v>
      </c>
      <c r="F235" s="3">
        <v>-1590558.1999999899</v>
      </c>
    </row>
    <row r="236" spans="1:6" x14ac:dyDescent="0.3">
      <c r="A236" s="1" t="s">
        <v>16</v>
      </c>
      <c r="B236" s="1" t="s">
        <v>50</v>
      </c>
      <c r="C236" s="2" t="s">
        <v>12</v>
      </c>
      <c r="D236" s="1" t="s">
        <v>9</v>
      </c>
      <c r="E236" s="1" t="s">
        <v>45</v>
      </c>
      <c r="F236" s="1">
        <v>284067</v>
      </c>
    </row>
    <row r="237" spans="1:6" x14ac:dyDescent="0.3">
      <c r="A237" s="3" t="s">
        <v>16</v>
      </c>
      <c r="B237" s="3" t="s">
        <v>50</v>
      </c>
      <c r="C237" s="4" t="s">
        <v>12</v>
      </c>
      <c r="D237" s="3" t="s">
        <v>9</v>
      </c>
      <c r="E237" s="3" t="s">
        <v>46</v>
      </c>
      <c r="F237" s="3">
        <v>62750.400000000001</v>
      </c>
    </row>
    <row r="238" spans="1:6" x14ac:dyDescent="0.3">
      <c r="A238" s="1" t="s">
        <v>16</v>
      </c>
      <c r="B238" s="1" t="s">
        <v>50</v>
      </c>
      <c r="C238" s="2" t="s">
        <v>12</v>
      </c>
      <c r="D238" s="1" t="s">
        <v>9</v>
      </c>
      <c r="E238" s="1" t="s">
        <v>47</v>
      </c>
      <c r="F238" s="1">
        <v>8013.1999999999898</v>
      </c>
    </row>
    <row r="239" spans="1:6" x14ac:dyDescent="0.3">
      <c r="A239" s="3" t="s">
        <v>16</v>
      </c>
      <c r="B239" s="3" t="s">
        <v>50</v>
      </c>
      <c r="C239" s="4" t="s">
        <v>12</v>
      </c>
      <c r="D239" s="3" t="s">
        <v>9</v>
      </c>
      <c r="E239" s="3" t="s">
        <v>48</v>
      </c>
      <c r="F239" s="3">
        <v>1803861.5999999901</v>
      </c>
    </row>
    <row r="240" spans="1:6" x14ac:dyDescent="0.3">
      <c r="A240" s="1" t="s">
        <v>16</v>
      </c>
      <c r="B240" s="1" t="s">
        <v>50</v>
      </c>
      <c r="C240" s="2" t="s">
        <v>12</v>
      </c>
      <c r="D240" s="1" t="s">
        <v>9</v>
      </c>
      <c r="E240" s="1" t="s">
        <v>49</v>
      </c>
      <c r="F240" s="1">
        <v>-5.5992360957098102</v>
      </c>
    </row>
    <row r="241" spans="1:6" x14ac:dyDescent="0.3">
      <c r="A241" s="3" t="s">
        <v>16</v>
      </c>
      <c r="B241" s="3" t="s">
        <v>50</v>
      </c>
      <c r="C241" s="4" t="s">
        <v>12</v>
      </c>
      <c r="D241" s="3" t="s">
        <v>11</v>
      </c>
      <c r="E241" s="3" t="s">
        <v>44</v>
      </c>
      <c r="F241" s="3">
        <v>-1678765.99999999</v>
      </c>
    </row>
    <row r="242" spans="1:6" x14ac:dyDescent="0.3">
      <c r="A242" s="1" t="s">
        <v>16</v>
      </c>
      <c r="B242" s="1" t="s">
        <v>50</v>
      </c>
      <c r="C242" s="2" t="s">
        <v>12</v>
      </c>
      <c r="D242" s="1" t="s">
        <v>11</v>
      </c>
      <c r="E242" s="1" t="s">
        <v>45</v>
      </c>
      <c r="F242" s="1">
        <v>284067</v>
      </c>
    </row>
    <row r="243" spans="1:6" x14ac:dyDescent="0.3">
      <c r="A243" s="3" t="s">
        <v>16</v>
      </c>
      <c r="B243" s="3" t="s">
        <v>50</v>
      </c>
      <c r="C243" s="4" t="s">
        <v>12</v>
      </c>
      <c r="D243" s="3" t="s">
        <v>11</v>
      </c>
      <c r="E243" s="3" t="s">
        <v>46</v>
      </c>
      <c r="F243" s="3">
        <v>73730.399999999907</v>
      </c>
    </row>
    <row r="244" spans="1:6" x14ac:dyDescent="0.3">
      <c r="A244" s="1" t="s">
        <v>16</v>
      </c>
      <c r="B244" s="1" t="s">
        <v>50</v>
      </c>
      <c r="C244" s="2" t="s">
        <v>12</v>
      </c>
      <c r="D244" s="1" t="s">
        <v>11</v>
      </c>
      <c r="E244" s="1" t="s">
        <v>47</v>
      </c>
      <c r="F244" s="1">
        <v>10080.200000000001</v>
      </c>
    </row>
    <row r="245" spans="1:6" x14ac:dyDescent="0.3">
      <c r="A245" s="3" t="s">
        <v>16</v>
      </c>
      <c r="B245" s="3" t="s">
        <v>50</v>
      </c>
      <c r="C245" s="4" t="s">
        <v>12</v>
      </c>
      <c r="D245" s="3" t="s">
        <v>11</v>
      </c>
      <c r="E245" s="3" t="s">
        <v>48</v>
      </c>
      <c r="F245" s="3">
        <v>1879022.3999999899</v>
      </c>
    </row>
    <row r="246" spans="1:6" x14ac:dyDescent="0.3">
      <c r="A246" s="1" t="s">
        <v>16</v>
      </c>
      <c r="B246" s="1" t="s">
        <v>50</v>
      </c>
      <c r="C246" s="2" t="s">
        <v>12</v>
      </c>
      <c r="D246" s="1" t="s">
        <v>11</v>
      </c>
      <c r="E246" s="1" t="s">
        <v>49</v>
      </c>
      <c r="F246" s="1">
        <v>-5.9097536848701102</v>
      </c>
    </row>
    <row r="247" spans="1:6" x14ac:dyDescent="0.3">
      <c r="A247" s="3" t="s">
        <v>16</v>
      </c>
      <c r="B247" s="3" t="s">
        <v>51</v>
      </c>
      <c r="C247" s="4" t="s">
        <v>12</v>
      </c>
      <c r="D247" s="3" t="s">
        <v>1</v>
      </c>
      <c r="E247" s="3" t="s">
        <v>44</v>
      </c>
      <c r="F247" s="3">
        <v>-109052.17</v>
      </c>
    </row>
    <row r="248" spans="1:6" x14ac:dyDescent="0.3">
      <c r="A248" s="1" t="s">
        <v>16</v>
      </c>
      <c r="B248" s="1" t="s">
        <v>51</v>
      </c>
      <c r="C248" s="2" t="s">
        <v>12</v>
      </c>
      <c r="D248" s="1" t="s">
        <v>1</v>
      </c>
      <c r="E248" s="1" t="s">
        <v>45</v>
      </c>
      <c r="F248" s="1">
        <v>111070.499999999</v>
      </c>
    </row>
    <row r="249" spans="1:6" x14ac:dyDescent="0.3">
      <c r="A249" s="3" t="s">
        <v>16</v>
      </c>
      <c r="B249" s="3" t="s">
        <v>51</v>
      </c>
      <c r="C249" s="4" t="s">
        <v>12</v>
      </c>
      <c r="D249" s="3" t="s">
        <v>1</v>
      </c>
      <c r="E249" s="3" t="s">
        <v>46</v>
      </c>
      <c r="F249" s="3">
        <v>168605.22</v>
      </c>
    </row>
    <row r="250" spans="1:6" x14ac:dyDescent="0.3">
      <c r="A250" s="1" t="s">
        <v>16</v>
      </c>
      <c r="B250" s="1" t="s">
        <v>51</v>
      </c>
      <c r="C250" s="2" t="s">
        <v>12</v>
      </c>
      <c r="D250" s="1" t="s">
        <v>1</v>
      </c>
      <c r="E250" s="1" t="s">
        <v>47</v>
      </c>
      <c r="F250" s="1">
        <v>15517.449999999901</v>
      </c>
    </row>
    <row r="251" spans="1:6" x14ac:dyDescent="0.3">
      <c r="A251" s="3" t="s">
        <v>16</v>
      </c>
      <c r="B251" s="3" t="s">
        <v>51</v>
      </c>
      <c r="C251" s="4" t="s">
        <v>12</v>
      </c>
      <c r="D251" s="3" t="s">
        <v>1</v>
      </c>
      <c r="E251" s="3" t="s">
        <v>48</v>
      </c>
      <c r="F251" s="3">
        <v>36000</v>
      </c>
    </row>
    <row r="252" spans="1:6" x14ac:dyDescent="0.3">
      <c r="A252" s="1" t="s">
        <v>16</v>
      </c>
      <c r="B252" s="1" t="s">
        <v>51</v>
      </c>
      <c r="C252" s="2" t="s">
        <v>12</v>
      </c>
      <c r="D252" s="1" t="s">
        <v>1</v>
      </c>
      <c r="E252" s="1" t="s">
        <v>49</v>
      </c>
      <c r="F252" s="1">
        <v>-0.98182838827591501</v>
      </c>
    </row>
    <row r="253" spans="1:6" x14ac:dyDescent="0.3">
      <c r="A253" s="3" t="s">
        <v>16</v>
      </c>
      <c r="B253" s="3" t="s">
        <v>51</v>
      </c>
      <c r="C253" s="4" t="s">
        <v>12</v>
      </c>
      <c r="D253" s="3" t="s">
        <v>6</v>
      </c>
      <c r="E253" s="3" t="s">
        <v>44</v>
      </c>
      <c r="F253" s="3">
        <v>-108456.77</v>
      </c>
    </row>
    <row r="254" spans="1:6" x14ac:dyDescent="0.3">
      <c r="A254" s="1" t="s">
        <v>16</v>
      </c>
      <c r="B254" s="1" t="s">
        <v>51</v>
      </c>
      <c r="C254" s="2" t="s">
        <v>12</v>
      </c>
      <c r="D254" s="1" t="s">
        <v>6</v>
      </c>
      <c r="E254" s="1" t="s">
        <v>45</v>
      </c>
      <c r="F254" s="1">
        <v>111070.499999999</v>
      </c>
    </row>
    <row r="255" spans="1:6" x14ac:dyDescent="0.3">
      <c r="A255" s="3" t="s">
        <v>16</v>
      </c>
      <c r="B255" s="3" t="s">
        <v>51</v>
      </c>
      <c r="C255" s="4" t="s">
        <v>12</v>
      </c>
      <c r="D255" s="3" t="s">
        <v>6</v>
      </c>
      <c r="E255" s="3" t="s">
        <v>46</v>
      </c>
      <c r="F255" s="3">
        <v>168605.22</v>
      </c>
    </row>
    <row r="256" spans="1:6" x14ac:dyDescent="0.3">
      <c r="A256" s="1" t="s">
        <v>16</v>
      </c>
      <c r="B256" s="1" t="s">
        <v>51</v>
      </c>
      <c r="C256" s="2" t="s">
        <v>12</v>
      </c>
      <c r="D256" s="1" t="s">
        <v>6</v>
      </c>
      <c r="E256" s="1" t="s">
        <v>47</v>
      </c>
      <c r="F256" s="1">
        <v>14922.049999999899</v>
      </c>
    </row>
    <row r="257" spans="1:6" x14ac:dyDescent="0.3">
      <c r="A257" s="3" t="s">
        <v>16</v>
      </c>
      <c r="B257" s="3" t="s">
        <v>51</v>
      </c>
      <c r="C257" s="4" t="s">
        <v>12</v>
      </c>
      <c r="D257" s="3" t="s">
        <v>6</v>
      </c>
      <c r="E257" s="3" t="s">
        <v>48</v>
      </c>
      <c r="F257" s="3">
        <v>36000</v>
      </c>
    </row>
    <row r="258" spans="1:6" x14ac:dyDescent="0.3">
      <c r="A258" s="1" t="s">
        <v>16</v>
      </c>
      <c r="B258" s="1" t="s">
        <v>51</v>
      </c>
      <c r="C258" s="2" t="s">
        <v>12</v>
      </c>
      <c r="D258" s="1" t="s">
        <v>6</v>
      </c>
      <c r="E258" s="1" t="s">
        <v>49</v>
      </c>
      <c r="F258" s="1">
        <v>-0.97646782899149598</v>
      </c>
    </row>
    <row r="259" spans="1:6" x14ac:dyDescent="0.3">
      <c r="A259" s="3" t="s">
        <v>16</v>
      </c>
      <c r="B259" s="3" t="s">
        <v>51</v>
      </c>
      <c r="C259" s="4" t="s">
        <v>12</v>
      </c>
      <c r="D259" s="3" t="s">
        <v>9</v>
      </c>
      <c r="E259" s="3" t="s">
        <v>44</v>
      </c>
      <c r="F259" s="3">
        <v>-145584.07</v>
      </c>
    </row>
    <row r="260" spans="1:6" x14ac:dyDescent="0.3">
      <c r="A260" s="1" t="s">
        <v>16</v>
      </c>
      <c r="B260" s="1" t="s">
        <v>51</v>
      </c>
      <c r="C260" s="2" t="s">
        <v>12</v>
      </c>
      <c r="D260" s="1" t="s">
        <v>9</v>
      </c>
      <c r="E260" s="1" t="s">
        <v>45</v>
      </c>
      <c r="F260" s="1">
        <v>185118.299999999</v>
      </c>
    </row>
    <row r="261" spans="1:6" x14ac:dyDescent="0.3">
      <c r="A261" s="3" t="s">
        <v>16</v>
      </c>
      <c r="B261" s="3" t="s">
        <v>51</v>
      </c>
      <c r="C261" s="4" t="s">
        <v>12</v>
      </c>
      <c r="D261" s="3" t="s">
        <v>9</v>
      </c>
      <c r="E261" s="3" t="s">
        <v>46</v>
      </c>
      <c r="F261" s="3">
        <v>278588.21999999898</v>
      </c>
    </row>
    <row r="262" spans="1:6" x14ac:dyDescent="0.3">
      <c r="A262" s="1" t="s">
        <v>16</v>
      </c>
      <c r="B262" s="1" t="s">
        <v>51</v>
      </c>
      <c r="C262" s="2" t="s">
        <v>12</v>
      </c>
      <c r="D262" s="1" t="s">
        <v>9</v>
      </c>
      <c r="E262" s="1" t="s">
        <v>47</v>
      </c>
      <c r="F262" s="1">
        <v>16114.15</v>
      </c>
    </row>
    <row r="263" spans="1:6" x14ac:dyDescent="0.3">
      <c r="A263" s="3" t="s">
        <v>16</v>
      </c>
      <c r="B263" s="3" t="s">
        <v>51</v>
      </c>
      <c r="C263" s="4" t="s">
        <v>12</v>
      </c>
      <c r="D263" s="3" t="s">
        <v>9</v>
      </c>
      <c r="E263" s="3" t="s">
        <v>48</v>
      </c>
      <c r="F263" s="3">
        <v>36000</v>
      </c>
    </row>
    <row r="264" spans="1:6" x14ac:dyDescent="0.3">
      <c r="A264" s="1" t="s">
        <v>16</v>
      </c>
      <c r="B264" s="1" t="s">
        <v>51</v>
      </c>
      <c r="C264" s="2" t="s">
        <v>12</v>
      </c>
      <c r="D264" s="1" t="s">
        <v>9</v>
      </c>
      <c r="E264" s="1" t="s">
        <v>49</v>
      </c>
      <c r="F264" s="1">
        <v>-0.78643802368539395</v>
      </c>
    </row>
    <row r="265" spans="1:6" x14ac:dyDescent="0.3">
      <c r="A265" s="3" t="s">
        <v>16</v>
      </c>
      <c r="B265" s="3" t="s">
        <v>51</v>
      </c>
      <c r="C265" s="4" t="s">
        <v>12</v>
      </c>
      <c r="D265" s="3" t="s">
        <v>11</v>
      </c>
      <c r="E265" s="3" t="s">
        <v>44</v>
      </c>
      <c r="F265" s="3">
        <v>-167720.12</v>
      </c>
    </row>
    <row r="266" spans="1:6" x14ac:dyDescent="0.3">
      <c r="A266" s="1" t="s">
        <v>16</v>
      </c>
      <c r="B266" s="1" t="s">
        <v>51</v>
      </c>
      <c r="C266" s="2" t="s">
        <v>12</v>
      </c>
      <c r="D266" s="1" t="s">
        <v>11</v>
      </c>
      <c r="E266" s="1" t="s">
        <v>45</v>
      </c>
      <c r="F266" s="1">
        <v>222142.19999999899</v>
      </c>
    </row>
    <row r="267" spans="1:6" x14ac:dyDescent="0.3">
      <c r="A267" s="3" t="s">
        <v>16</v>
      </c>
      <c r="B267" s="3" t="s">
        <v>51</v>
      </c>
      <c r="C267" s="4" t="s">
        <v>12</v>
      </c>
      <c r="D267" s="3" t="s">
        <v>11</v>
      </c>
      <c r="E267" s="3" t="s">
        <v>46</v>
      </c>
      <c r="F267" s="3">
        <v>333579.71999999898</v>
      </c>
    </row>
    <row r="268" spans="1:6" x14ac:dyDescent="0.3">
      <c r="A268" s="1" t="s">
        <v>16</v>
      </c>
      <c r="B268" s="1" t="s">
        <v>51</v>
      </c>
      <c r="C268" s="2" t="s">
        <v>12</v>
      </c>
      <c r="D268" s="1" t="s">
        <v>11</v>
      </c>
      <c r="E268" s="1" t="s">
        <v>47</v>
      </c>
      <c r="F268" s="1">
        <v>20282.599999999999</v>
      </c>
    </row>
    <row r="269" spans="1:6" x14ac:dyDescent="0.3">
      <c r="A269" s="3" t="s">
        <v>16</v>
      </c>
      <c r="B269" s="3" t="s">
        <v>51</v>
      </c>
      <c r="C269" s="4" t="s">
        <v>12</v>
      </c>
      <c r="D269" s="3" t="s">
        <v>11</v>
      </c>
      <c r="E269" s="3" t="s">
        <v>48</v>
      </c>
      <c r="F269" s="3">
        <v>36000</v>
      </c>
    </row>
    <row r="270" spans="1:6" x14ac:dyDescent="0.3">
      <c r="A270" s="1" t="s">
        <v>16</v>
      </c>
      <c r="B270" s="1" t="s">
        <v>51</v>
      </c>
      <c r="C270" s="2" t="s">
        <v>12</v>
      </c>
      <c r="D270" s="1" t="s">
        <v>11</v>
      </c>
      <c r="E270" s="1" t="s">
        <v>49</v>
      </c>
      <c r="F270" s="1">
        <v>-0.75501241997243196</v>
      </c>
    </row>
    <row r="271" spans="1:6" x14ac:dyDescent="0.3">
      <c r="A271" s="3" t="s">
        <v>16</v>
      </c>
      <c r="B271" s="3" t="s">
        <v>51</v>
      </c>
      <c r="C271" s="4" t="s">
        <v>12</v>
      </c>
      <c r="D271" s="3" t="s">
        <v>1</v>
      </c>
      <c r="E271" s="3" t="s">
        <v>44</v>
      </c>
      <c r="F271" s="3">
        <v>-1015334.17</v>
      </c>
    </row>
    <row r="272" spans="1:6" x14ac:dyDescent="0.3">
      <c r="A272" s="1" t="s">
        <v>16</v>
      </c>
      <c r="B272" s="1" t="s">
        <v>51</v>
      </c>
      <c r="C272" s="2" t="s">
        <v>12</v>
      </c>
      <c r="D272" s="1" t="s">
        <v>1</v>
      </c>
      <c r="E272" s="1" t="s">
        <v>45</v>
      </c>
      <c r="F272" s="1">
        <v>241457.549999999</v>
      </c>
    </row>
    <row r="273" spans="1:6" x14ac:dyDescent="0.3">
      <c r="A273" s="3" t="s">
        <v>16</v>
      </c>
      <c r="B273" s="3" t="s">
        <v>51</v>
      </c>
      <c r="C273" s="4" t="s">
        <v>12</v>
      </c>
      <c r="D273" s="3" t="s">
        <v>1</v>
      </c>
      <c r="E273" s="3" t="s">
        <v>46</v>
      </c>
      <c r="F273" s="3">
        <v>331575.87</v>
      </c>
    </row>
    <row r="274" spans="1:6" x14ac:dyDescent="0.3">
      <c r="A274" s="1" t="s">
        <v>16</v>
      </c>
      <c r="B274" s="1" t="s">
        <v>51</v>
      </c>
      <c r="C274" s="2" t="s">
        <v>12</v>
      </c>
      <c r="D274" s="1" t="s">
        <v>1</v>
      </c>
      <c r="E274" s="1" t="s">
        <v>47</v>
      </c>
      <c r="F274" s="1">
        <v>23286.25</v>
      </c>
    </row>
    <row r="275" spans="1:6" x14ac:dyDescent="0.3">
      <c r="A275" s="3" t="s">
        <v>16</v>
      </c>
      <c r="B275" s="3" t="s">
        <v>51</v>
      </c>
      <c r="C275" s="4" t="s">
        <v>12</v>
      </c>
      <c r="D275" s="3" t="s">
        <v>1</v>
      </c>
      <c r="E275" s="3" t="s">
        <v>48</v>
      </c>
      <c r="F275" s="3">
        <v>901929.59999999905</v>
      </c>
    </row>
    <row r="276" spans="1:6" x14ac:dyDescent="0.3">
      <c r="A276" s="1" t="s">
        <v>16</v>
      </c>
      <c r="B276" s="1" t="s">
        <v>51</v>
      </c>
      <c r="C276" s="2" t="s">
        <v>12</v>
      </c>
      <c r="D276" s="1" t="s">
        <v>1</v>
      </c>
      <c r="E276" s="1" t="s">
        <v>49</v>
      </c>
      <c r="F276" s="1">
        <v>-4.20502142094956</v>
      </c>
    </row>
    <row r="277" spans="1:6" x14ac:dyDescent="0.3">
      <c r="A277" s="3" t="s">
        <v>16</v>
      </c>
      <c r="B277" s="3" t="s">
        <v>51</v>
      </c>
      <c r="C277" s="4" t="s">
        <v>12</v>
      </c>
      <c r="D277" s="3" t="s">
        <v>6</v>
      </c>
      <c r="E277" s="3" t="s">
        <v>44</v>
      </c>
      <c r="F277" s="3">
        <v>-1034582.84</v>
      </c>
    </row>
    <row r="278" spans="1:6" x14ac:dyDescent="0.3">
      <c r="A278" s="1" t="s">
        <v>16</v>
      </c>
      <c r="B278" s="1" t="s">
        <v>51</v>
      </c>
      <c r="C278" s="2" t="s">
        <v>12</v>
      </c>
      <c r="D278" s="1" t="s">
        <v>6</v>
      </c>
      <c r="E278" s="1" t="s">
        <v>45</v>
      </c>
      <c r="F278" s="1">
        <v>241457.549999999</v>
      </c>
    </row>
    <row r="279" spans="1:6" x14ac:dyDescent="0.3">
      <c r="A279" s="3" t="s">
        <v>16</v>
      </c>
      <c r="B279" s="3" t="s">
        <v>51</v>
      </c>
      <c r="C279" s="4" t="s">
        <v>12</v>
      </c>
      <c r="D279" s="3" t="s">
        <v>6</v>
      </c>
      <c r="E279" s="3" t="s">
        <v>46</v>
      </c>
      <c r="F279" s="3">
        <v>333202.739999999</v>
      </c>
    </row>
    <row r="280" spans="1:6" x14ac:dyDescent="0.3">
      <c r="A280" s="1" t="s">
        <v>16</v>
      </c>
      <c r="B280" s="1" t="s">
        <v>51</v>
      </c>
      <c r="C280" s="2" t="s">
        <v>12</v>
      </c>
      <c r="D280" s="1" t="s">
        <v>6</v>
      </c>
      <c r="E280" s="1" t="s">
        <v>47</v>
      </c>
      <c r="F280" s="1">
        <v>26590.8499999999</v>
      </c>
    </row>
    <row r="281" spans="1:6" x14ac:dyDescent="0.3">
      <c r="A281" s="3" t="s">
        <v>16</v>
      </c>
      <c r="B281" s="3" t="s">
        <v>51</v>
      </c>
      <c r="C281" s="4" t="s">
        <v>12</v>
      </c>
      <c r="D281" s="3" t="s">
        <v>6</v>
      </c>
      <c r="E281" s="3" t="s">
        <v>48</v>
      </c>
      <c r="F281" s="3">
        <v>916246.799999999</v>
      </c>
    </row>
    <row r="282" spans="1:6" x14ac:dyDescent="0.3">
      <c r="A282" s="1" t="s">
        <v>16</v>
      </c>
      <c r="B282" s="1" t="s">
        <v>51</v>
      </c>
      <c r="C282" s="2" t="s">
        <v>12</v>
      </c>
      <c r="D282" s="1" t="s">
        <v>6</v>
      </c>
      <c r="E282" s="1" t="s">
        <v>49</v>
      </c>
      <c r="F282" s="1">
        <v>-4.2847400712878896</v>
      </c>
    </row>
    <row r="283" spans="1:6" x14ac:dyDescent="0.3">
      <c r="A283" s="3" t="s">
        <v>16</v>
      </c>
      <c r="B283" s="3" t="s">
        <v>51</v>
      </c>
      <c r="C283" s="4" t="s">
        <v>12</v>
      </c>
      <c r="D283" s="3" t="s">
        <v>9</v>
      </c>
      <c r="E283" s="3" t="s">
        <v>44</v>
      </c>
      <c r="F283" s="3">
        <v>-1096941.3399999901</v>
      </c>
    </row>
    <row r="284" spans="1:6" x14ac:dyDescent="0.3">
      <c r="A284" s="1" t="s">
        <v>16</v>
      </c>
      <c r="B284" s="1" t="s">
        <v>51</v>
      </c>
      <c r="C284" s="2" t="s">
        <v>12</v>
      </c>
      <c r="D284" s="1" t="s">
        <v>9</v>
      </c>
      <c r="E284" s="1" t="s">
        <v>45</v>
      </c>
      <c r="F284" s="1">
        <v>241457.549999999</v>
      </c>
    </row>
    <row r="285" spans="1:6" x14ac:dyDescent="0.3">
      <c r="A285" s="3" t="s">
        <v>16</v>
      </c>
      <c r="B285" s="3" t="s">
        <v>51</v>
      </c>
      <c r="C285" s="4" t="s">
        <v>12</v>
      </c>
      <c r="D285" s="3" t="s">
        <v>9</v>
      </c>
      <c r="E285" s="3" t="s">
        <v>46</v>
      </c>
      <c r="F285" s="3">
        <v>333202.739999999</v>
      </c>
    </row>
    <row r="286" spans="1:6" x14ac:dyDescent="0.3">
      <c r="A286" s="1" t="s">
        <v>16</v>
      </c>
      <c r="B286" s="1" t="s">
        <v>51</v>
      </c>
      <c r="C286" s="2" t="s">
        <v>12</v>
      </c>
      <c r="D286" s="1" t="s">
        <v>9</v>
      </c>
      <c r="E286" s="1" t="s">
        <v>47</v>
      </c>
      <c r="F286" s="1">
        <v>31682.95</v>
      </c>
    </row>
    <row r="287" spans="1:6" x14ac:dyDescent="0.3">
      <c r="A287" s="3" t="s">
        <v>16</v>
      </c>
      <c r="B287" s="3" t="s">
        <v>51</v>
      </c>
      <c r="C287" s="4" t="s">
        <v>12</v>
      </c>
      <c r="D287" s="3" t="s">
        <v>9</v>
      </c>
      <c r="E287" s="3" t="s">
        <v>48</v>
      </c>
      <c r="F287" s="3">
        <v>973513.19999999902</v>
      </c>
    </row>
    <row r="288" spans="1:6" x14ac:dyDescent="0.3">
      <c r="A288" s="1" t="s">
        <v>16</v>
      </c>
      <c r="B288" s="1" t="s">
        <v>51</v>
      </c>
      <c r="C288" s="2" t="s">
        <v>12</v>
      </c>
      <c r="D288" s="1" t="s">
        <v>9</v>
      </c>
      <c r="E288" s="1" t="s">
        <v>49</v>
      </c>
      <c r="F288" s="1">
        <v>-4.5429987175799598</v>
      </c>
    </row>
    <row r="289" spans="1:6" x14ac:dyDescent="0.3">
      <c r="A289" s="3" t="s">
        <v>16</v>
      </c>
      <c r="B289" s="3" t="s">
        <v>51</v>
      </c>
      <c r="C289" s="4" t="s">
        <v>12</v>
      </c>
      <c r="D289" s="3" t="s">
        <v>11</v>
      </c>
      <c r="E289" s="3" t="s">
        <v>44</v>
      </c>
      <c r="F289" s="3">
        <v>-1162273.79</v>
      </c>
    </row>
    <row r="290" spans="1:6" x14ac:dyDescent="0.3">
      <c r="A290" s="1" t="s">
        <v>16</v>
      </c>
      <c r="B290" s="1" t="s">
        <v>51</v>
      </c>
      <c r="C290" s="2" t="s">
        <v>12</v>
      </c>
      <c r="D290" s="1" t="s">
        <v>11</v>
      </c>
      <c r="E290" s="1" t="s">
        <v>45</v>
      </c>
      <c r="F290" s="1">
        <v>241457.549999999</v>
      </c>
    </row>
    <row r="291" spans="1:6" x14ac:dyDescent="0.3">
      <c r="A291" s="3" t="s">
        <v>16</v>
      </c>
      <c r="B291" s="3" t="s">
        <v>51</v>
      </c>
      <c r="C291" s="4" t="s">
        <v>12</v>
      </c>
      <c r="D291" s="3" t="s">
        <v>11</v>
      </c>
      <c r="E291" s="3" t="s">
        <v>46</v>
      </c>
      <c r="F291" s="3">
        <v>333202.739999999</v>
      </c>
    </row>
    <row r="292" spans="1:6" x14ac:dyDescent="0.3">
      <c r="A292" s="1" t="s">
        <v>16</v>
      </c>
      <c r="B292" s="1" t="s">
        <v>51</v>
      </c>
      <c r="C292" s="2" t="s">
        <v>12</v>
      </c>
      <c r="D292" s="1" t="s">
        <v>11</v>
      </c>
      <c r="E292" s="1" t="s">
        <v>47</v>
      </c>
      <c r="F292" s="1">
        <v>39751.4</v>
      </c>
    </row>
    <row r="293" spans="1:6" x14ac:dyDescent="0.3">
      <c r="A293" s="3" t="s">
        <v>16</v>
      </c>
      <c r="B293" s="3" t="s">
        <v>51</v>
      </c>
      <c r="C293" s="4" t="s">
        <v>12</v>
      </c>
      <c r="D293" s="3" t="s">
        <v>11</v>
      </c>
      <c r="E293" s="3" t="s">
        <v>48</v>
      </c>
      <c r="F293" s="3">
        <v>1030777.1999999901</v>
      </c>
    </row>
    <row r="294" spans="1:6" x14ac:dyDescent="0.3">
      <c r="A294" s="1" t="s">
        <v>16</v>
      </c>
      <c r="B294" s="1" t="s">
        <v>51</v>
      </c>
      <c r="C294" s="2" t="s">
        <v>12</v>
      </c>
      <c r="D294" s="1" t="s">
        <v>11</v>
      </c>
      <c r="E294" s="1" t="s">
        <v>49</v>
      </c>
      <c r="F294" s="1">
        <v>-4.8135740216033804</v>
      </c>
    </row>
    <row r="295" spans="1:6" x14ac:dyDescent="0.3">
      <c r="A295" s="3" t="s">
        <v>16</v>
      </c>
      <c r="B295" s="3" t="s">
        <v>51</v>
      </c>
      <c r="C295" s="4" t="s">
        <v>12</v>
      </c>
      <c r="D295" s="3" t="s">
        <v>1</v>
      </c>
      <c r="E295" s="3" t="s">
        <v>44</v>
      </c>
      <c r="F295" s="3">
        <v>-338681.35</v>
      </c>
    </row>
    <row r="296" spans="1:6" x14ac:dyDescent="0.3">
      <c r="A296" s="1" t="s">
        <v>16</v>
      </c>
      <c r="B296" s="1" t="s">
        <v>51</v>
      </c>
      <c r="C296" s="2" t="s">
        <v>12</v>
      </c>
      <c r="D296" s="1" t="s">
        <v>1</v>
      </c>
      <c r="E296" s="1" t="s">
        <v>45</v>
      </c>
      <c r="F296" s="1">
        <v>127830.75</v>
      </c>
    </row>
    <row r="297" spans="1:6" x14ac:dyDescent="0.3">
      <c r="A297" s="3" t="s">
        <v>16</v>
      </c>
      <c r="B297" s="3" t="s">
        <v>51</v>
      </c>
      <c r="C297" s="4" t="s">
        <v>12</v>
      </c>
      <c r="D297" s="3" t="s">
        <v>1</v>
      </c>
      <c r="E297" s="3" t="s">
        <v>46</v>
      </c>
      <c r="F297" s="3">
        <v>329949</v>
      </c>
    </row>
    <row r="298" spans="1:6" x14ac:dyDescent="0.3">
      <c r="A298" s="1" t="s">
        <v>16</v>
      </c>
      <c r="B298" s="1" t="s">
        <v>51</v>
      </c>
      <c r="C298" s="2" t="s">
        <v>12</v>
      </c>
      <c r="D298" s="1" t="s">
        <v>1</v>
      </c>
      <c r="E298" s="1" t="s">
        <v>47</v>
      </c>
      <c r="F298" s="1">
        <v>7715.5</v>
      </c>
    </row>
    <row r="299" spans="1:6" x14ac:dyDescent="0.3">
      <c r="A299" s="3" t="s">
        <v>16</v>
      </c>
      <c r="B299" s="3" t="s">
        <v>51</v>
      </c>
      <c r="C299" s="4" t="s">
        <v>12</v>
      </c>
      <c r="D299" s="3" t="s">
        <v>1</v>
      </c>
      <c r="E299" s="3" t="s">
        <v>48</v>
      </c>
      <c r="F299" s="3">
        <v>128847.599999999</v>
      </c>
    </row>
    <row r="300" spans="1:6" x14ac:dyDescent="0.3">
      <c r="A300" s="1" t="s">
        <v>16</v>
      </c>
      <c r="B300" s="1" t="s">
        <v>51</v>
      </c>
      <c r="C300" s="2" t="s">
        <v>12</v>
      </c>
      <c r="D300" s="1" t="s">
        <v>1</v>
      </c>
      <c r="E300" s="1" t="s">
        <v>49</v>
      </c>
      <c r="F300" s="1">
        <v>-2.6494513252875298</v>
      </c>
    </row>
    <row r="301" spans="1:6" x14ac:dyDescent="0.3">
      <c r="A301" s="3" t="s">
        <v>16</v>
      </c>
      <c r="B301" s="3" t="s">
        <v>51</v>
      </c>
      <c r="C301" s="4" t="s">
        <v>12</v>
      </c>
      <c r="D301" s="3" t="s">
        <v>6</v>
      </c>
      <c r="E301" s="3" t="s">
        <v>44</v>
      </c>
      <c r="F301" s="3">
        <v>-274473.08</v>
      </c>
    </row>
    <row r="302" spans="1:6" x14ac:dyDescent="0.3">
      <c r="A302" s="1" t="s">
        <v>16</v>
      </c>
      <c r="B302" s="1" t="s">
        <v>51</v>
      </c>
      <c r="C302" s="2" t="s">
        <v>12</v>
      </c>
      <c r="D302" s="1" t="s">
        <v>6</v>
      </c>
      <c r="E302" s="1" t="s">
        <v>45</v>
      </c>
      <c r="F302" s="1">
        <v>191743.92</v>
      </c>
    </row>
    <row r="303" spans="1:6" x14ac:dyDescent="0.3">
      <c r="A303" s="3" t="s">
        <v>16</v>
      </c>
      <c r="B303" s="3" t="s">
        <v>51</v>
      </c>
      <c r="C303" s="4" t="s">
        <v>12</v>
      </c>
      <c r="D303" s="3" t="s">
        <v>6</v>
      </c>
      <c r="E303" s="3" t="s">
        <v>46</v>
      </c>
      <c r="F303" s="3">
        <v>329949</v>
      </c>
    </row>
    <row r="304" spans="1:6" x14ac:dyDescent="0.3">
      <c r="A304" s="1" t="s">
        <v>16</v>
      </c>
      <c r="B304" s="1" t="s">
        <v>51</v>
      </c>
      <c r="C304" s="2" t="s">
        <v>12</v>
      </c>
      <c r="D304" s="1" t="s">
        <v>6</v>
      </c>
      <c r="E304" s="1" t="s">
        <v>47</v>
      </c>
      <c r="F304" s="1">
        <v>7420.3999999999896</v>
      </c>
    </row>
    <row r="305" spans="1:6" x14ac:dyDescent="0.3">
      <c r="A305" s="3" t="s">
        <v>16</v>
      </c>
      <c r="B305" s="3" t="s">
        <v>51</v>
      </c>
      <c r="C305" s="4" t="s">
        <v>12</v>
      </c>
      <c r="D305" s="3" t="s">
        <v>6</v>
      </c>
      <c r="E305" s="3" t="s">
        <v>48</v>
      </c>
      <c r="F305" s="3">
        <v>128847.599999999</v>
      </c>
    </row>
    <row r="306" spans="1:6" x14ac:dyDescent="0.3">
      <c r="A306" s="1" t="s">
        <v>16</v>
      </c>
      <c r="B306" s="1" t="s">
        <v>51</v>
      </c>
      <c r="C306" s="2" t="s">
        <v>12</v>
      </c>
      <c r="D306" s="1" t="s">
        <v>6</v>
      </c>
      <c r="E306" s="1" t="s">
        <v>49</v>
      </c>
      <c r="F306" s="1">
        <v>-1.43145649676923</v>
      </c>
    </row>
    <row r="307" spans="1:6" x14ac:dyDescent="0.3">
      <c r="A307" s="3" t="s">
        <v>16</v>
      </c>
      <c r="B307" s="3" t="s">
        <v>51</v>
      </c>
      <c r="C307" s="4" t="s">
        <v>12</v>
      </c>
      <c r="D307" s="3" t="s">
        <v>9</v>
      </c>
      <c r="E307" s="3" t="s">
        <v>44</v>
      </c>
      <c r="F307" s="3">
        <v>-211149.5</v>
      </c>
    </row>
    <row r="308" spans="1:6" x14ac:dyDescent="0.3">
      <c r="A308" s="1" t="s">
        <v>16</v>
      </c>
      <c r="B308" s="1" t="s">
        <v>51</v>
      </c>
      <c r="C308" s="2" t="s">
        <v>12</v>
      </c>
      <c r="D308" s="1" t="s">
        <v>9</v>
      </c>
      <c r="E308" s="1" t="s">
        <v>45</v>
      </c>
      <c r="F308" s="1">
        <v>255660.299999999</v>
      </c>
    </row>
    <row r="309" spans="1:6" x14ac:dyDescent="0.3">
      <c r="A309" s="3" t="s">
        <v>16</v>
      </c>
      <c r="B309" s="3" t="s">
        <v>51</v>
      </c>
      <c r="C309" s="4" t="s">
        <v>12</v>
      </c>
      <c r="D309" s="3" t="s">
        <v>9</v>
      </c>
      <c r="E309" s="3" t="s">
        <v>46</v>
      </c>
      <c r="F309" s="3">
        <v>329949</v>
      </c>
    </row>
    <row r="310" spans="1:6" x14ac:dyDescent="0.3">
      <c r="A310" s="1" t="s">
        <v>16</v>
      </c>
      <c r="B310" s="1" t="s">
        <v>51</v>
      </c>
      <c r="C310" s="2" t="s">
        <v>12</v>
      </c>
      <c r="D310" s="1" t="s">
        <v>9</v>
      </c>
      <c r="E310" s="1" t="s">
        <v>47</v>
      </c>
      <c r="F310" s="1">
        <v>8013.1999999999898</v>
      </c>
    </row>
    <row r="311" spans="1:6" x14ac:dyDescent="0.3">
      <c r="A311" s="3" t="s">
        <v>16</v>
      </c>
      <c r="B311" s="3" t="s">
        <v>51</v>
      </c>
      <c r="C311" s="4" t="s">
        <v>12</v>
      </c>
      <c r="D311" s="3" t="s">
        <v>9</v>
      </c>
      <c r="E311" s="3" t="s">
        <v>48</v>
      </c>
      <c r="F311" s="3">
        <v>128847.599999999</v>
      </c>
    </row>
    <row r="312" spans="1:6" x14ac:dyDescent="0.3">
      <c r="A312" s="1" t="s">
        <v>16</v>
      </c>
      <c r="B312" s="1" t="s">
        <v>51</v>
      </c>
      <c r="C312" s="2" t="s">
        <v>12</v>
      </c>
      <c r="D312" s="1" t="s">
        <v>9</v>
      </c>
      <c r="E312" s="1" t="s">
        <v>49</v>
      </c>
      <c r="F312" s="1">
        <v>-0.82589866318704896</v>
      </c>
    </row>
    <row r="313" spans="1:6" x14ac:dyDescent="0.3">
      <c r="A313" s="3" t="s">
        <v>16</v>
      </c>
      <c r="B313" s="3" t="s">
        <v>51</v>
      </c>
      <c r="C313" s="4" t="s">
        <v>12</v>
      </c>
      <c r="D313" s="3" t="s">
        <v>11</v>
      </c>
      <c r="E313" s="3" t="s">
        <v>44</v>
      </c>
      <c r="F313" s="3">
        <v>-149300.12</v>
      </c>
    </row>
    <row r="314" spans="1:6" x14ac:dyDescent="0.3">
      <c r="A314" s="1" t="s">
        <v>16</v>
      </c>
      <c r="B314" s="1" t="s">
        <v>51</v>
      </c>
      <c r="C314" s="2" t="s">
        <v>12</v>
      </c>
      <c r="D314" s="1" t="s">
        <v>11</v>
      </c>
      <c r="E314" s="1" t="s">
        <v>45</v>
      </c>
      <c r="F314" s="1">
        <v>319576.679999999</v>
      </c>
    </row>
    <row r="315" spans="1:6" x14ac:dyDescent="0.3">
      <c r="A315" s="3" t="s">
        <v>16</v>
      </c>
      <c r="B315" s="3" t="s">
        <v>51</v>
      </c>
      <c r="C315" s="4" t="s">
        <v>12</v>
      </c>
      <c r="D315" s="3" t="s">
        <v>11</v>
      </c>
      <c r="E315" s="3" t="s">
        <v>46</v>
      </c>
      <c r="F315" s="3">
        <v>329949</v>
      </c>
    </row>
    <row r="316" spans="1:6" x14ac:dyDescent="0.3">
      <c r="A316" s="1" t="s">
        <v>16</v>
      </c>
      <c r="B316" s="1" t="s">
        <v>51</v>
      </c>
      <c r="C316" s="2" t="s">
        <v>12</v>
      </c>
      <c r="D316" s="1" t="s">
        <v>11</v>
      </c>
      <c r="E316" s="1" t="s">
        <v>47</v>
      </c>
      <c r="F316" s="1">
        <v>10080.200000000001</v>
      </c>
    </row>
    <row r="317" spans="1:6" x14ac:dyDescent="0.3">
      <c r="A317" s="3" t="s">
        <v>16</v>
      </c>
      <c r="B317" s="3" t="s">
        <v>51</v>
      </c>
      <c r="C317" s="4" t="s">
        <v>12</v>
      </c>
      <c r="D317" s="3" t="s">
        <v>11</v>
      </c>
      <c r="E317" s="3" t="s">
        <v>48</v>
      </c>
      <c r="F317" s="3">
        <v>128847.599999999</v>
      </c>
    </row>
    <row r="318" spans="1:6" x14ac:dyDescent="0.3">
      <c r="A318" s="1" t="s">
        <v>16</v>
      </c>
      <c r="B318" s="1" t="s">
        <v>51</v>
      </c>
      <c r="C318" s="2" t="s">
        <v>12</v>
      </c>
      <c r="D318" s="1" t="s">
        <v>11</v>
      </c>
      <c r="E318" s="1" t="s">
        <v>49</v>
      </c>
      <c r="F318" s="1">
        <v>-0.46718089692902498</v>
      </c>
    </row>
    <row r="319" spans="1:6" x14ac:dyDescent="0.3">
      <c r="A319" s="3" t="s">
        <v>16</v>
      </c>
      <c r="B319" s="3" t="s">
        <v>51</v>
      </c>
      <c r="C319" s="4" t="s">
        <v>12</v>
      </c>
      <c r="D319" s="3" t="s">
        <v>1</v>
      </c>
      <c r="E319" s="3" t="s">
        <v>44</v>
      </c>
      <c r="F319" s="3">
        <v>108656.879999999</v>
      </c>
    </row>
    <row r="320" spans="1:6" x14ac:dyDescent="0.3">
      <c r="A320" s="1" t="s">
        <v>16</v>
      </c>
      <c r="B320" s="1" t="s">
        <v>51</v>
      </c>
      <c r="C320" s="2" t="s">
        <v>12</v>
      </c>
      <c r="D320" s="1" t="s">
        <v>1</v>
      </c>
      <c r="E320" s="1" t="s">
        <v>45</v>
      </c>
      <c r="F320" s="1">
        <v>108656.879999999</v>
      </c>
    </row>
    <row r="321" spans="1:6" x14ac:dyDescent="0.3">
      <c r="A321" s="3" t="s">
        <v>16</v>
      </c>
      <c r="B321" s="3" t="s">
        <v>51</v>
      </c>
      <c r="C321" s="4" t="s">
        <v>12</v>
      </c>
      <c r="D321" s="3" t="s">
        <v>1</v>
      </c>
      <c r="E321" s="3" t="s">
        <v>49</v>
      </c>
      <c r="F321" s="3">
        <v>1</v>
      </c>
    </row>
    <row r="322" spans="1:6" x14ac:dyDescent="0.3">
      <c r="A322" s="1" t="s">
        <v>16</v>
      </c>
      <c r="B322" s="1" t="s">
        <v>51</v>
      </c>
      <c r="C322" s="2" t="s">
        <v>12</v>
      </c>
      <c r="D322" s="1" t="s">
        <v>6</v>
      </c>
      <c r="E322" s="1" t="s">
        <v>44</v>
      </c>
      <c r="F322" s="1">
        <v>162984.12</v>
      </c>
    </row>
    <row r="323" spans="1:6" x14ac:dyDescent="0.3">
      <c r="A323" s="3" t="s">
        <v>16</v>
      </c>
      <c r="B323" s="3" t="s">
        <v>51</v>
      </c>
      <c r="C323" s="4" t="s">
        <v>12</v>
      </c>
      <c r="D323" s="3" t="s">
        <v>6</v>
      </c>
      <c r="E323" s="3" t="s">
        <v>45</v>
      </c>
      <c r="F323" s="3">
        <v>162984.12</v>
      </c>
    </row>
    <row r="324" spans="1:6" x14ac:dyDescent="0.3">
      <c r="A324" s="1" t="s">
        <v>16</v>
      </c>
      <c r="B324" s="1" t="s">
        <v>51</v>
      </c>
      <c r="C324" s="2" t="s">
        <v>12</v>
      </c>
      <c r="D324" s="1" t="s">
        <v>6</v>
      </c>
      <c r="E324" s="1" t="s">
        <v>49</v>
      </c>
      <c r="F324" s="1">
        <v>1</v>
      </c>
    </row>
    <row r="325" spans="1:6" x14ac:dyDescent="0.3">
      <c r="A325" s="3" t="s">
        <v>16</v>
      </c>
      <c r="B325" s="3" t="s">
        <v>51</v>
      </c>
      <c r="C325" s="4" t="s">
        <v>12</v>
      </c>
      <c r="D325" s="3" t="s">
        <v>9</v>
      </c>
      <c r="E325" s="3" t="s">
        <v>44</v>
      </c>
      <c r="F325" s="3">
        <v>217312.56</v>
      </c>
    </row>
    <row r="326" spans="1:6" x14ac:dyDescent="0.3">
      <c r="A326" s="1" t="s">
        <v>16</v>
      </c>
      <c r="B326" s="1" t="s">
        <v>51</v>
      </c>
      <c r="C326" s="2" t="s">
        <v>12</v>
      </c>
      <c r="D326" s="1" t="s">
        <v>9</v>
      </c>
      <c r="E326" s="1" t="s">
        <v>45</v>
      </c>
      <c r="F326" s="1">
        <v>217312.56</v>
      </c>
    </row>
    <row r="327" spans="1:6" x14ac:dyDescent="0.3">
      <c r="A327" s="3" t="s">
        <v>16</v>
      </c>
      <c r="B327" s="3" t="s">
        <v>51</v>
      </c>
      <c r="C327" s="4" t="s">
        <v>12</v>
      </c>
      <c r="D327" s="3" t="s">
        <v>9</v>
      </c>
      <c r="E327" s="3" t="s">
        <v>49</v>
      </c>
      <c r="F327" s="3">
        <v>1</v>
      </c>
    </row>
    <row r="328" spans="1:6" x14ac:dyDescent="0.3">
      <c r="A328" s="1" t="s">
        <v>16</v>
      </c>
      <c r="B328" s="1" t="s">
        <v>51</v>
      </c>
      <c r="C328" s="2" t="s">
        <v>12</v>
      </c>
      <c r="D328" s="1" t="s">
        <v>11</v>
      </c>
      <c r="E328" s="1" t="s">
        <v>44</v>
      </c>
      <c r="F328" s="1">
        <v>271641</v>
      </c>
    </row>
    <row r="329" spans="1:6" x14ac:dyDescent="0.3">
      <c r="A329" s="3" t="s">
        <v>16</v>
      </c>
      <c r="B329" s="3" t="s">
        <v>51</v>
      </c>
      <c r="C329" s="4" t="s">
        <v>12</v>
      </c>
      <c r="D329" s="3" t="s">
        <v>11</v>
      </c>
      <c r="E329" s="3" t="s">
        <v>45</v>
      </c>
      <c r="F329" s="3">
        <v>271641</v>
      </c>
    </row>
    <row r="330" spans="1:6" x14ac:dyDescent="0.3">
      <c r="A330" s="1" t="s">
        <v>16</v>
      </c>
      <c r="B330" s="1" t="s">
        <v>51</v>
      </c>
      <c r="C330" s="2" t="s">
        <v>12</v>
      </c>
      <c r="D330" s="1" t="s">
        <v>11</v>
      </c>
      <c r="E330" s="1" t="s">
        <v>49</v>
      </c>
      <c r="F330" s="1">
        <v>1</v>
      </c>
    </row>
    <row r="331" spans="1:6" x14ac:dyDescent="0.3">
      <c r="A331" s="3" t="s">
        <v>16</v>
      </c>
      <c r="B331" s="3" t="s">
        <v>51</v>
      </c>
      <c r="C331" s="4" t="s">
        <v>12</v>
      </c>
      <c r="D331" s="3" t="s">
        <v>1</v>
      </c>
      <c r="E331" s="3" t="s">
        <v>44</v>
      </c>
      <c r="F331" s="3">
        <v>-278186.57999999903</v>
      </c>
    </row>
    <row r="332" spans="1:6" x14ac:dyDescent="0.3">
      <c r="A332" s="1" t="s">
        <v>16</v>
      </c>
      <c r="B332" s="1" t="s">
        <v>51</v>
      </c>
      <c r="C332" s="2" t="s">
        <v>12</v>
      </c>
      <c r="D332" s="1" t="s">
        <v>1</v>
      </c>
      <c r="E332" s="1" t="s">
        <v>45</v>
      </c>
      <c r="F332" s="1">
        <v>49980.959999999897</v>
      </c>
    </row>
    <row r="333" spans="1:6" x14ac:dyDescent="0.3">
      <c r="A333" s="3" t="s">
        <v>16</v>
      </c>
      <c r="B333" s="3" t="s">
        <v>51</v>
      </c>
      <c r="C333" s="4" t="s">
        <v>12</v>
      </c>
      <c r="D333" s="3" t="s">
        <v>1</v>
      </c>
      <c r="E333" s="3" t="s">
        <v>46</v>
      </c>
      <c r="F333" s="3">
        <v>269463.359999999</v>
      </c>
    </row>
    <row r="334" spans="1:6" x14ac:dyDescent="0.3">
      <c r="A334" s="1" t="s">
        <v>16</v>
      </c>
      <c r="B334" s="1" t="s">
        <v>51</v>
      </c>
      <c r="C334" s="2" t="s">
        <v>12</v>
      </c>
      <c r="D334" s="1" t="s">
        <v>1</v>
      </c>
      <c r="E334" s="1" t="s">
        <v>47</v>
      </c>
      <c r="F334" s="1">
        <v>15756.18</v>
      </c>
    </row>
    <row r="335" spans="1:6" x14ac:dyDescent="0.3">
      <c r="A335" s="3" t="s">
        <v>16</v>
      </c>
      <c r="B335" s="3" t="s">
        <v>51</v>
      </c>
      <c r="C335" s="4" t="s">
        <v>12</v>
      </c>
      <c r="D335" s="3" t="s">
        <v>1</v>
      </c>
      <c r="E335" s="3" t="s">
        <v>48</v>
      </c>
      <c r="F335" s="3">
        <v>42948</v>
      </c>
    </row>
    <row r="336" spans="1:6" x14ac:dyDescent="0.3">
      <c r="A336" s="1" t="s">
        <v>16</v>
      </c>
      <c r="B336" s="1" t="s">
        <v>51</v>
      </c>
      <c r="C336" s="2" t="s">
        <v>12</v>
      </c>
      <c r="D336" s="1" t="s">
        <v>1</v>
      </c>
      <c r="E336" s="1" t="s">
        <v>49</v>
      </c>
      <c r="F336" s="1">
        <v>-5.5658510760897704</v>
      </c>
    </row>
    <row r="337" spans="1:6" x14ac:dyDescent="0.3">
      <c r="A337" s="3" t="s">
        <v>16</v>
      </c>
      <c r="B337" s="3" t="s">
        <v>51</v>
      </c>
      <c r="C337" s="4" t="s">
        <v>12</v>
      </c>
      <c r="D337" s="3" t="s">
        <v>6</v>
      </c>
      <c r="E337" s="3" t="s">
        <v>44</v>
      </c>
      <c r="F337" s="3">
        <v>-280299.13999999902</v>
      </c>
    </row>
    <row r="338" spans="1:6" x14ac:dyDescent="0.3">
      <c r="A338" s="1" t="s">
        <v>16</v>
      </c>
      <c r="B338" s="1" t="s">
        <v>51</v>
      </c>
      <c r="C338" s="2" t="s">
        <v>12</v>
      </c>
      <c r="D338" s="1" t="s">
        <v>6</v>
      </c>
      <c r="E338" s="1" t="s">
        <v>45</v>
      </c>
      <c r="F338" s="1">
        <v>49980.959999999897</v>
      </c>
    </row>
    <row r="339" spans="1:6" x14ac:dyDescent="0.3">
      <c r="A339" s="3" t="s">
        <v>16</v>
      </c>
      <c r="B339" s="3" t="s">
        <v>51</v>
      </c>
      <c r="C339" s="4" t="s">
        <v>12</v>
      </c>
      <c r="D339" s="3" t="s">
        <v>6</v>
      </c>
      <c r="E339" s="3" t="s">
        <v>46</v>
      </c>
      <c r="F339" s="3">
        <v>272180.47999999899</v>
      </c>
    </row>
    <row r="340" spans="1:6" x14ac:dyDescent="0.3">
      <c r="A340" s="1" t="s">
        <v>16</v>
      </c>
      <c r="B340" s="1" t="s">
        <v>51</v>
      </c>
      <c r="C340" s="2" t="s">
        <v>12</v>
      </c>
      <c r="D340" s="1" t="s">
        <v>6</v>
      </c>
      <c r="E340" s="1" t="s">
        <v>47</v>
      </c>
      <c r="F340" s="1">
        <v>15151.619999999901</v>
      </c>
    </row>
    <row r="341" spans="1:6" x14ac:dyDescent="0.3">
      <c r="A341" s="3" t="s">
        <v>16</v>
      </c>
      <c r="B341" s="3" t="s">
        <v>51</v>
      </c>
      <c r="C341" s="4" t="s">
        <v>12</v>
      </c>
      <c r="D341" s="3" t="s">
        <v>6</v>
      </c>
      <c r="E341" s="3" t="s">
        <v>48</v>
      </c>
      <c r="F341" s="3">
        <v>42948</v>
      </c>
    </row>
    <row r="342" spans="1:6" x14ac:dyDescent="0.3">
      <c r="A342" s="1" t="s">
        <v>16</v>
      </c>
      <c r="B342" s="1" t="s">
        <v>51</v>
      </c>
      <c r="C342" s="2" t="s">
        <v>12</v>
      </c>
      <c r="D342" s="1" t="s">
        <v>6</v>
      </c>
      <c r="E342" s="1" t="s">
        <v>49</v>
      </c>
      <c r="F342" s="1">
        <v>-5.6081183714758502</v>
      </c>
    </row>
    <row r="343" spans="1:6" x14ac:dyDescent="0.3">
      <c r="A343" s="3" t="s">
        <v>16</v>
      </c>
      <c r="B343" s="3" t="s">
        <v>51</v>
      </c>
      <c r="C343" s="4" t="s">
        <v>12</v>
      </c>
      <c r="D343" s="3" t="s">
        <v>9</v>
      </c>
      <c r="E343" s="3" t="s">
        <v>44</v>
      </c>
      <c r="F343" s="3">
        <v>-279733.83999999898</v>
      </c>
    </row>
    <row r="344" spans="1:6" x14ac:dyDescent="0.3">
      <c r="A344" s="1" t="s">
        <v>16</v>
      </c>
      <c r="B344" s="1" t="s">
        <v>51</v>
      </c>
      <c r="C344" s="2" t="s">
        <v>12</v>
      </c>
      <c r="D344" s="1" t="s">
        <v>9</v>
      </c>
      <c r="E344" s="1" t="s">
        <v>45</v>
      </c>
      <c r="F344" s="1">
        <v>83302.94</v>
      </c>
    </row>
    <row r="345" spans="1:6" x14ac:dyDescent="0.3">
      <c r="A345" s="3" t="s">
        <v>16</v>
      </c>
      <c r="B345" s="3" t="s">
        <v>51</v>
      </c>
      <c r="C345" s="4" t="s">
        <v>12</v>
      </c>
      <c r="D345" s="3" t="s">
        <v>9</v>
      </c>
      <c r="E345" s="3" t="s">
        <v>46</v>
      </c>
      <c r="F345" s="3">
        <v>303726.71999999898</v>
      </c>
    </row>
    <row r="346" spans="1:6" x14ac:dyDescent="0.3">
      <c r="A346" s="1" t="s">
        <v>16</v>
      </c>
      <c r="B346" s="1" t="s">
        <v>51</v>
      </c>
      <c r="C346" s="2" t="s">
        <v>12</v>
      </c>
      <c r="D346" s="1" t="s">
        <v>9</v>
      </c>
      <c r="E346" s="1" t="s">
        <v>47</v>
      </c>
      <c r="F346" s="1">
        <v>16362.059999999899</v>
      </c>
    </row>
    <row r="347" spans="1:6" x14ac:dyDescent="0.3">
      <c r="A347" s="3" t="s">
        <v>16</v>
      </c>
      <c r="B347" s="3" t="s">
        <v>51</v>
      </c>
      <c r="C347" s="4" t="s">
        <v>12</v>
      </c>
      <c r="D347" s="3" t="s">
        <v>9</v>
      </c>
      <c r="E347" s="3" t="s">
        <v>48</v>
      </c>
      <c r="F347" s="3">
        <v>42948</v>
      </c>
    </row>
    <row r="348" spans="1:6" x14ac:dyDescent="0.3">
      <c r="A348" s="1" t="s">
        <v>16</v>
      </c>
      <c r="B348" s="1" t="s">
        <v>51</v>
      </c>
      <c r="C348" s="2" t="s">
        <v>12</v>
      </c>
      <c r="D348" s="1" t="s">
        <v>9</v>
      </c>
      <c r="E348" s="1" t="s">
        <v>49</v>
      </c>
      <c r="F348" s="1">
        <v>-3.3580308210010301</v>
      </c>
    </row>
    <row r="349" spans="1:6" x14ac:dyDescent="0.3">
      <c r="A349" s="3" t="s">
        <v>16</v>
      </c>
      <c r="B349" s="3" t="s">
        <v>51</v>
      </c>
      <c r="C349" s="4" t="s">
        <v>12</v>
      </c>
      <c r="D349" s="3" t="s">
        <v>11</v>
      </c>
      <c r="E349" s="3" t="s">
        <v>44</v>
      </c>
      <c r="F349" s="3">
        <v>-344681.429999999</v>
      </c>
    </row>
    <row r="350" spans="1:6" x14ac:dyDescent="0.3">
      <c r="A350" s="1" t="s">
        <v>16</v>
      </c>
      <c r="B350" s="1" t="s">
        <v>51</v>
      </c>
      <c r="C350" s="2" t="s">
        <v>12</v>
      </c>
      <c r="D350" s="1" t="s">
        <v>11</v>
      </c>
      <c r="E350" s="1" t="s">
        <v>45</v>
      </c>
      <c r="F350" s="1">
        <v>99963.93</v>
      </c>
    </row>
    <row r="351" spans="1:6" x14ac:dyDescent="0.3">
      <c r="A351" s="3" t="s">
        <v>16</v>
      </c>
      <c r="B351" s="3" t="s">
        <v>51</v>
      </c>
      <c r="C351" s="4" t="s">
        <v>12</v>
      </c>
      <c r="D351" s="3" t="s">
        <v>11</v>
      </c>
      <c r="E351" s="3" t="s">
        <v>46</v>
      </c>
      <c r="F351" s="3">
        <v>381102.71999999898</v>
      </c>
    </row>
    <row r="352" spans="1:6" x14ac:dyDescent="0.3">
      <c r="A352" s="1" t="s">
        <v>16</v>
      </c>
      <c r="B352" s="1" t="s">
        <v>51</v>
      </c>
      <c r="C352" s="2" t="s">
        <v>12</v>
      </c>
      <c r="D352" s="1" t="s">
        <v>11</v>
      </c>
      <c r="E352" s="1" t="s">
        <v>47</v>
      </c>
      <c r="F352" s="1">
        <v>20594.639999999901</v>
      </c>
    </row>
    <row r="353" spans="1:6" x14ac:dyDescent="0.3">
      <c r="A353" s="3" t="s">
        <v>16</v>
      </c>
      <c r="B353" s="3" t="s">
        <v>51</v>
      </c>
      <c r="C353" s="4" t="s">
        <v>12</v>
      </c>
      <c r="D353" s="3" t="s">
        <v>11</v>
      </c>
      <c r="E353" s="3" t="s">
        <v>48</v>
      </c>
      <c r="F353" s="3">
        <v>42948</v>
      </c>
    </row>
    <row r="354" spans="1:6" x14ac:dyDescent="0.3">
      <c r="A354" s="1" t="s">
        <v>16</v>
      </c>
      <c r="B354" s="1" t="s">
        <v>51</v>
      </c>
      <c r="C354" s="2" t="s">
        <v>12</v>
      </c>
      <c r="D354" s="1" t="s">
        <v>11</v>
      </c>
      <c r="E354" s="1" t="s">
        <v>49</v>
      </c>
      <c r="F354" s="1">
        <v>-3.4480580145258299</v>
      </c>
    </row>
    <row r="355" spans="1:6" x14ac:dyDescent="0.3">
      <c r="A355" s="3" t="s">
        <v>16</v>
      </c>
      <c r="B355" s="3" t="s">
        <v>52</v>
      </c>
      <c r="C355" s="4" t="s">
        <v>12</v>
      </c>
      <c r="D355" s="3" t="s">
        <v>1</v>
      </c>
      <c r="E355" s="3" t="s">
        <v>44</v>
      </c>
      <c r="F355" s="3">
        <v>98500</v>
      </c>
    </row>
    <row r="356" spans="1:6" x14ac:dyDescent="0.3">
      <c r="A356" s="1" t="s">
        <v>16</v>
      </c>
      <c r="B356" s="1" t="s">
        <v>52</v>
      </c>
      <c r="C356" s="2" t="s">
        <v>12</v>
      </c>
      <c r="D356" s="1" t="s">
        <v>1</v>
      </c>
      <c r="E356" s="1" t="s">
        <v>45</v>
      </c>
      <c r="F356" s="1">
        <v>98500</v>
      </c>
    </row>
    <row r="357" spans="1:6" x14ac:dyDescent="0.3">
      <c r="A357" s="3" t="s">
        <v>16</v>
      </c>
      <c r="B357" s="3" t="s">
        <v>52</v>
      </c>
      <c r="C357" s="4" t="s">
        <v>12</v>
      </c>
      <c r="D357" s="3" t="s">
        <v>1</v>
      </c>
      <c r="E357" s="3" t="s">
        <v>49</v>
      </c>
      <c r="F357" s="3">
        <v>1</v>
      </c>
    </row>
    <row r="358" spans="1:6" x14ac:dyDescent="0.3">
      <c r="A358" s="1" t="s">
        <v>16</v>
      </c>
      <c r="B358" s="1" t="s">
        <v>52</v>
      </c>
      <c r="C358" s="2" t="s">
        <v>12</v>
      </c>
      <c r="D358" s="1" t="s">
        <v>6</v>
      </c>
      <c r="E358" s="1" t="s">
        <v>44</v>
      </c>
      <c r="F358" s="1">
        <v>84500</v>
      </c>
    </row>
    <row r="359" spans="1:6" x14ac:dyDescent="0.3">
      <c r="A359" s="3" t="s">
        <v>16</v>
      </c>
      <c r="B359" s="3" t="s">
        <v>52</v>
      </c>
      <c r="C359" s="4" t="s">
        <v>12</v>
      </c>
      <c r="D359" s="3" t="s">
        <v>6</v>
      </c>
      <c r="E359" s="3" t="s">
        <v>45</v>
      </c>
      <c r="F359" s="3">
        <v>84500</v>
      </c>
    </row>
    <row r="360" spans="1:6" x14ac:dyDescent="0.3">
      <c r="A360" s="1" t="s">
        <v>16</v>
      </c>
      <c r="B360" s="1" t="s">
        <v>52</v>
      </c>
      <c r="C360" s="2" t="s">
        <v>12</v>
      </c>
      <c r="D360" s="1" t="s">
        <v>6</v>
      </c>
      <c r="E360" s="1" t="s">
        <v>49</v>
      </c>
      <c r="F360" s="1">
        <v>1</v>
      </c>
    </row>
    <row r="361" spans="1:6" x14ac:dyDescent="0.3">
      <c r="A361" s="3" t="s">
        <v>16</v>
      </c>
      <c r="B361" s="3" t="s">
        <v>52</v>
      </c>
      <c r="C361" s="4" t="s">
        <v>12</v>
      </c>
      <c r="D361" s="3" t="s">
        <v>9</v>
      </c>
      <c r="E361" s="3" t="s">
        <v>44</v>
      </c>
      <c r="F361" s="3">
        <v>98500</v>
      </c>
    </row>
    <row r="362" spans="1:6" x14ac:dyDescent="0.3">
      <c r="A362" s="1" t="s">
        <v>16</v>
      </c>
      <c r="B362" s="1" t="s">
        <v>52</v>
      </c>
      <c r="C362" s="2" t="s">
        <v>12</v>
      </c>
      <c r="D362" s="1" t="s">
        <v>9</v>
      </c>
      <c r="E362" s="1" t="s">
        <v>45</v>
      </c>
      <c r="F362" s="1">
        <v>98500</v>
      </c>
    </row>
    <row r="363" spans="1:6" x14ac:dyDescent="0.3">
      <c r="A363" s="3" t="s">
        <v>16</v>
      </c>
      <c r="B363" s="3" t="s">
        <v>52</v>
      </c>
      <c r="C363" s="4" t="s">
        <v>12</v>
      </c>
      <c r="D363" s="3" t="s">
        <v>9</v>
      </c>
      <c r="E363" s="3" t="s">
        <v>49</v>
      </c>
      <c r="F363" s="3">
        <v>1</v>
      </c>
    </row>
    <row r="364" spans="1:6" x14ac:dyDescent="0.3">
      <c r="A364" s="1" t="s">
        <v>16</v>
      </c>
      <c r="B364" s="1" t="s">
        <v>52</v>
      </c>
      <c r="C364" s="2" t="s">
        <v>12</v>
      </c>
      <c r="D364" s="1" t="s">
        <v>11</v>
      </c>
      <c r="E364" s="1" t="s">
        <v>44</v>
      </c>
      <c r="F364" s="1">
        <v>84500</v>
      </c>
    </row>
    <row r="365" spans="1:6" x14ac:dyDescent="0.3">
      <c r="A365" s="3" t="s">
        <v>16</v>
      </c>
      <c r="B365" s="3" t="s">
        <v>52</v>
      </c>
      <c r="C365" s="4" t="s">
        <v>12</v>
      </c>
      <c r="D365" s="3" t="s">
        <v>11</v>
      </c>
      <c r="E365" s="3" t="s">
        <v>45</v>
      </c>
      <c r="F365" s="3">
        <v>84500</v>
      </c>
    </row>
    <row r="366" spans="1:6" x14ac:dyDescent="0.3">
      <c r="A366" s="1" t="s">
        <v>16</v>
      </c>
      <c r="B366" s="1" t="s">
        <v>52</v>
      </c>
      <c r="C366" s="2" t="s">
        <v>12</v>
      </c>
      <c r="D366" s="1" t="s">
        <v>11</v>
      </c>
      <c r="E366" s="1" t="s">
        <v>49</v>
      </c>
      <c r="F366" s="1">
        <v>1</v>
      </c>
    </row>
    <row r="367" spans="1:6" x14ac:dyDescent="0.3">
      <c r="A367" s="3" t="s">
        <v>16</v>
      </c>
      <c r="B367" s="3" t="s">
        <v>52</v>
      </c>
      <c r="C367" s="4" t="s">
        <v>12</v>
      </c>
      <c r="D367" s="3" t="s">
        <v>1</v>
      </c>
      <c r="E367" s="3" t="s">
        <v>44</v>
      </c>
      <c r="F367" s="3">
        <v>-368957.13</v>
      </c>
    </row>
    <row r="368" spans="1:6" x14ac:dyDescent="0.3">
      <c r="A368" s="1" t="s">
        <v>16</v>
      </c>
      <c r="B368" s="1" t="s">
        <v>52</v>
      </c>
      <c r="C368" s="2" t="s">
        <v>12</v>
      </c>
      <c r="D368" s="1" t="s">
        <v>1</v>
      </c>
      <c r="E368" s="1" t="s">
        <v>45</v>
      </c>
      <c r="F368" s="1">
        <v>175767.02999999901</v>
      </c>
    </row>
    <row r="369" spans="1:6" x14ac:dyDescent="0.3">
      <c r="A369" s="3" t="s">
        <v>16</v>
      </c>
      <c r="B369" s="3" t="s">
        <v>52</v>
      </c>
      <c r="C369" s="4" t="s">
        <v>12</v>
      </c>
      <c r="D369" s="3" t="s">
        <v>1</v>
      </c>
      <c r="E369" s="3" t="s">
        <v>46</v>
      </c>
      <c r="F369" s="3">
        <v>521184</v>
      </c>
    </row>
    <row r="370" spans="1:6" x14ac:dyDescent="0.3">
      <c r="A370" s="1" t="s">
        <v>16</v>
      </c>
      <c r="B370" s="1" t="s">
        <v>52</v>
      </c>
      <c r="C370" s="2" t="s">
        <v>12</v>
      </c>
      <c r="D370" s="1" t="s">
        <v>1</v>
      </c>
      <c r="E370" s="1" t="s">
        <v>47</v>
      </c>
      <c r="F370" s="1">
        <v>9140.1599999999908</v>
      </c>
    </row>
    <row r="371" spans="1:6" x14ac:dyDescent="0.3">
      <c r="A371" s="3" t="s">
        <v>16</v>
      </c>
      <c r="B371" s="3" t="s">
        <v>52</v>
      </c>
      <c r="C371" s="4" t="s">
        <v>12</v>
      </c>
      <c r="D371" s="3" t="s">
        <v>1</v>
      </c>
      <c r="E371" s="3" t="s">
        <v>48</v>
      </c>
      <c r="F371" s="3">
        <v>14399.9999999999</v>
      </c>
    </row>
    <row r="372" spans="1:6" x14ac:dyDescent="0.3">
      <c r="A372" s="1" t="s">
        <v>16</v>
      </c>
      <c r="B372" s="1" t="s">
        <v>52</v>
      </c>
      <c r="C372" s="2" t="s">
        <v>12</v>
      </c>
      <c r="D372" s="1" t="s">
        <v>1</v>
      </c>
      <c r="E372" s="1" t="s">
        <v>49</v>
      </c>
      <c r="F372" s="1">
        <v>-2.0991259282244199</v>
      </c>
    </row>
    <row r="373" spans="1:6" x14ac:dyDescent="0.3">
      <c r="A373" s="3" t="s">
        <v>16</v>
      </c>
      <c r="B373" s="3" t="s">
        <v>52</v>
      </c>
      <c r="C373" s="4" t="s">
        <v>12</v>
      </c>
      <c r="D373" s="3" t="s">
        <v>6</v>
      </c>
      <c r="E373" s="3" t="s">
        <v>44</v>
      </c>
      <c r="F373" s="3">
        <v>-320244.84000000003</v>
      </c>
    </row>
    <row r="374" spans="1:6" x14ac:dyDescent="0.3">
      <c r="A374" s="1" t="s">
        <v>16</v>
      </c>
      <c r="B374" s="1" t="s">
        <v>52</v>
      </c>
      <c r="C374" s="2" t="s">
        <v>12</v>
      </c>
      <c r="D374" s="1" t="s">
        <v>6</v>
      </c>
      <c r="E374" s="1" t="s">
        <v>45</v>
      </c>
      <c r="F374" s="1">
        <v>263649.89999999898</v>
      </c>
    </row>
    <row r="375" spans="1:6" x14ac:dyDescent="0.3">
      <c r="A375" s="3" t="s">
        <v>16</v>
      </c>
      <c r="B375" s="3" t="s">
        <v>52</v>
      </c>
      <c r="C375" s="4" t="s">
        <v>12</v>
      </c>
      <c r="D375" s="3" t="s">
        <v>6</v>
      </c>
      <c r="E375" s="3" t="s">
        <v>46</v>
      </c>
      <c r="F375" s="3">
        <v>558816</v>
      </c>
    </row>
    <row r="376" spans="1:6" x14ac:dyDescent="0.3">
      <c r="A376" s="1" t="s">
        <v>16</v>
      </c>
      <c r="B376" s="1" t="s">
        <v>52</v>
      </c>
      <c r="C376" s="2" t="s">
        <v>12</v>
      </c>
      <c r="D376" s="1" t="s">
        <v>6</v>
      </c>
      <c r="E376" s="1" t="s">
        <v>47</v>
      </c>
      <c r="F376" s="1">
        <v>10678.74</v>
      </c>
    </row>
    <row r="377" spans="1:6" x14ac:dyDescent="0.3">
      <c r="A377" s="3" t="s">
        <v>16</v>
      </c>
      <c r="B377" s="3" t="s">
        <v>52</v>
      </c>
      <c r="C377" s="4" t="s">
        <v>12</v>
      </c>
      <c r="D377" s="3" t="s">
        <v>6</v>
      </c>
      <c r="E377" s="3" t="s">
        <v>48</v>
      </c>
      <c r="F377" s="3">
        <v>14399.9999999999</v>
      </c>
    </row>
    <row r="378" spans="1:6" x14ac:dyDescent="0.3">
      <c r="A378" s="1" t="s">
        <v>16</v>
      </c>
      <c r="B378" s="1" t="s">
        <v>52</v>
      </c>
      <c r="C378" s="2" t="s">
        <v>12</v>
      </c>
      <c r="D378" s="1" t="s">
        <v>6</v>
      </c>
      <c r="E378" s="1" t="s">
        <v>49</v>
      </c>
      <c r="F378" s="1">
        <v>-1.2146594404169999</v>
      </c>
    </row>
    <row r="379" spans="1:6" x14ac:dyDescent="0.3">
      <c r="A379" s="3" t="s">
        <v>16</v>
      </c>
      <c r="B379" s="3" t="s">
        <v>52</v>
      </c>
      <c r="C379" s="4" t="s">
        <v>12</v>
      </c>
      <c r="D379" s="3" t="s">
        <v>9</v>
      </c>
      <c r="E379" s="3" t="s">
        <v>44</v>
      </c>
      <c r="F379" s="3">
        <v>-387575.94</v>
      </c>
    </row>
    <row r="380" spans="1:6" x14ac:dyDescent="0.3">
      <c r="A380" s="1" t="s">
        <v>16</v>
      </c>
      <c r="B380" s="1" t="s">
        <v>52</v>
      </c>
      <c r="C380" s="2" t="s">
        <v>12</v>
      </c>
      <c r="D380" s="1" t="s">
        <v>9</v>
      </c>
      <c r="E380" s="1" t="s">
        <v>45</v>
      </c>
      <c r="F380" s="1">
        <v>351532.40999999898</v>
      </c>
    </row>
    <row r="381" spans="1:6" x14ac:dyDescent="0.3">
      <c r="A381" s="3" t="s">
        <v>16</v>
      </c>
      <c r="B381" s="3" t="s">
        <v>52</v>
      </c>
      <c r="C381" s="4" t="s">
        <v>12</v>
      </c>
      <c r="D381" s="3" t="s">
        <v>9</v>
      </c>
      <c r="E381" s="3" t="s">
        <v>46</v>
      </c>
      <c r="F381" s="3">
        <v>711840</v>
      </c>
    </row>
    <row r="382" spans="1:6" x14ac:dyDescent="0.3">
      <c r="A382" s="1" t="s">
        <v>16</v>
      </c>
      <c r="B382" s="1" t="s">
        <v>52</v>
      </c>
      <c r="C382" s="2" t="s">
        <v>12</v>
      </c>
      <c r="D382" s="1" t="s">
        <v>9</v>
      </c>
      <c r="E382" s="1" t="s">
        <v>47</v>
      </c>
      <c r="F382" s="1">
        <v>12868.3499999999</v>
      </c>
    </row>
    <row r="383" spans="1:6" x14ac:dyDescent="0.3">
      <c r="A383" s="3" t="s">
        <v>16</v>
      </c>
      <c r="B383" s="3" t="s">
        <v>52</v>
      </c>
      <c r="C383" s="4" t="s">
        <v>12</v>
      </c>
      <c r="D383" s="3" t="s">
        <v>9</v>
      </c>
      <c r="E383" s="3" t="s">
        <v>48</v>
      </c>
      <c r="F383" s="3">
        <v>14399.9999999999</v>
      </c>
    </row>
    <row r="384" spans="1:6" x14ac:dyDescent="0.3">
      <c r="A384" s="1" t="s">
        <v>16</v>
      </c>
      <c r="B384" s="1" t="s">
        <v>52</v>
      </c>
      <c r="C384" s="2" t="s">
        <v>12</v>
      </c>
      <c r="D384" s="1" t="s">
        <v>9</v>
      </c>
      <c r="E384" s="1" t="s">
        <v>49</v>
      </c>
      <c r="F384" s="1">
        <v>-1.1025325943630599</v>
      </c>
    </row>
    <row r="385" spans="1:6" x14ac:dyDescent="0.3">
      <c r="A385" s="3" t="s">
        <v>16</v>
      </c>
      <c r="B385" s="3" t="s">
        <v>52</v>
      </c>
      <c r="C385" s="4" t="s">
        <v>12</v>
      </c>
      <c r="D385" s="3" t="s">
        <v>11</v>
      </c>
      <c r="E385" s="3" t="s">
        <v>44</v>
      </c>
      <c r="F385" s="3">
        <v>-294801.12</v>
      </c>
    </row>
    <row r="386" spans="1:6" x14ac:dyDescent="0.3">
      <c r="A386" s="1" t="s">
        <v>16</v>
      </c>
      <c r="B386" s="1" t="s">
        <v>52</v>
      </c>
      <c r="C386" s="2" t="s">
        <v>12</v>
      </c>
      <c r="D386" s="1" t="s">
        <v>11</v>
      </c>
      <c r="E386" s="1" t="s">
        <v>45</v>
      </c>
      <c r="F386" s="1">
        <v>439416.929999999</v>
      </c>
    </row>
    <row r="387" spans="1:6" x14ac:dyDescent="0.3">
      <c r="A387" s="3" t="s">
        <v>16</v>
      </c>
      <c r="B387" s="3" t="s">
        <v>52</v>
      </c>
      <c r="C387" s="4" t="s">
        <v>12</v>
      </c>
      <c r="D387" s="3" t="s">
        <v>11</v>
      </c>
      <c r="E387" s="3" t="s">
        <v>46</v>
      </c>
      <c r="F387" s="3">
        <v>703680</v>
      </c>
    </row>
    <row r="388" spans="1:6" x14ac:dyDescent="0.3">
      <c r="A388" s="1" t="s">
        <v>16</v>
      </c>
      <c r="B388" s="1" t="s">
        <v>52</v>
      </c>
      <c r="C388" s="2" t="s">
        <v>12</v>
      </c>
      <c r="D388" s="1" t="s">
        <v>11</v>
      </c>
      <c r="E388" s="1" t="s">
        <v>47</v>
      </c>
      <c r="F388" s="1">
        <v>16138.049999999899</v>
      </c>
    </row>
    <row r="389" spans="1:6" x14ac:dyDescent="0.3">
      <c r="A389" s="3" t="s">
        <v>16</v>
      </c>
      <c r="B389" s="3" t="s">
        <v>52</v>
      </c>
      <c r="C389" s="4" t="s">
        <v>12</v>
      </c>
      <c r="D389" s="3" t="s">
        <v>11</v>
      </c>
      <c r="E389" s="3" t="s">
        <v>48</v>
      </c>
      <c r="F389" s="3">
        <v>14399.9999999999</v>
      </c>
    </row>
    <row r="390" spans="1:6" x14ac:dyDescent="0.3">
      <c r="A390" s="1" t="s">
        <v>16</v>
      </c>
      <c r="B390" s="1" t="s">
        <v>52</v>
      </c>
      <c r="C390" s="2" t="s">
        <v>12</v>
      </c>
      <c r="D390" s="1" t="s">
        <v>11</v>
      </c>
      <c r="E390" s="1" t="s">
        <v>49</v>
      </c>
      <c r="F390" s="1">
        <v>-0.67089158353548195</v>
      </c>
    </row>
    <row r="391" spans="1:6" x14ac:dyDescent="0.3">
      <c r="A391" s="3" t="s">
        <v>16</v>
      </c>
      <c r="B391" s="3" t="s">
        <v>52</v>
      </c>
      <c r="C391" s="4" t="s">
        <v>12</v>
      </c>
      <c r="D391" s="3" t="s">
        <v>1</v>
      </c>
      <c r="E391" s="3" t="s">
        <v>44</v>
      </c>
      <c r="F391" s="3">
        <v>259111</v>
      </c>
    </row>
    <row r="392" spans="1:6" x14ac:dyDescent="0.3">
      <c r="A392" s="1" t="s">
        <v>16</v>
      </c>
      <c r="B392" s="1" t="s">
        <v>52</v>
      </c>
      <c r="C392" s="2" t="s">
        <v>12</v>
      </c>
      <c r="D392" s="1" t="s">
        <v>1</v>
      </c>
      <c r="E392" s="1" t="s">
        <v>45</v>
      </c>
      <c r="F392" s="1">
        <v>259111</v>
      </c>
    </row>
    <row r="393" spans="1:6" x14ac:dyDescent="0.3">
      <c r="A393" s="3" t="s">
        <v>16</v>
      </c>
      <c r="B393" s="3" t="s">
        <v>52</v>
      </c>
      <c r="C393" s="4" t="s">
        <v>12</v>
      </c>
      <c r="D393" s="3" t="s">
        <v>1</v>
      </c>
      <c r="E393" s="3" t="s">
        <v>49</v>
      </c>
      <c r="F393" s="3">
        <v>1</v>
      </c>
    </row>
    <row r="394" spans="1:6" x14ac:dyDescent="0.3">
      <c r="A394" s="1" t="s">
        <v>16</v>
      </c>
      <c r="B394" s="1" t="s">
        <v>52</v>
      </c>
      <c r="C394" s="2" t="s">
        <v>12</v>
      </c>
      <c r="D394" s="1" t="s">
        <v>6</v>
      </c>
      <c r="E394" s="1" t="s">
        <v>44</v>
      </c>
      <c r="F394" s="1">
        <v>146960</v>
      </c>
    </row>
    <row r="395" spans="1:6" x14ac:dyDescent="0.3">
      <c r="A395" s="3" t="s">
        <v>16</v>
      </c>
      <c r="B395" s="3" t="s">
        <v>52</v>
      </c>
      <c r="C395" s="4" t="s">
        <v>12</v>
      </c>
      <c r="D395" s="3" t="s">
        <v>6</v>
      </c>
      <c r="E395" s="3" t="s">
        <v>45</v>
      </c>
      <c r="F395" s="3">
        <v>146960</v>
      </c>
    </row>
    <row r="396" spans="1:6" x14ac:dyDescent="0.3">
      <c r="A396" s="1" t="s">
        <v>16</v>
      </c>
      <c r="B396" s="1" t="s">
        <v>52</v>
      </c>
      <c r="C396" s="2" t="s">
        <v>12</v>
      </c>
      <c r="D396" s="1" t="s">
        <v>6</v>
      </c>
      <c r="E396" s="1" t="s">
        <v>49</v>
      </c>
      <c r="F396" s="1">
        <v>1</v>
      </c>
    </row>
    <row r="397" spans="1:6" x14ac:dyDescent="0.3">
      <c r="A397" s="3" t="s">
        <v>16</v>
      </c>
      <c r="B397" s="3" t="s">
        <v>52</v>
      </c>
      <c r="C397" s="4" t="s">
        <v>12</v>
      </c>
      <c r="D397" s="3" t="s">
        <v>9</v>
      </c>
      <c r="E397" s="3" t="s">
        <v>44</v>
      </c>
      <c r="F397" s="3">
        <v>259111</v>
      </c>
    </row>
    <row r="398" spans="1:6" x14ac:dyDescent="0.3">
      <c r="A398" s="1" t="s">
        <v>16</v>
      </c>
      <c r="B398" s="1" t="s">
        <v>52</v>
      </c>
      <c r="C398" s="2" t="s">
        <v>12</v>
      </c>
      <c r="D398" s="1" t="s">
        <v>9</v>
      </c>
      <c r="E398" s="1" t="s">
        <v>45</v>
      </c>
      <c r="F398" s="1">
        <v>259111</v>
      </c>
    </row>
    <row r="399" spans="1:6" x14ac:dyDescent="0.3">
      <c r="A399" s="3" t="s">
        <v>16</v>
      </c>
      <c r="B399" s="3" t="s">
        <v>52</v>
      </c>
      <c r="C399" s="4" t="s">
        <v>12</v>
      </c>
      <c r="D399" s="3" t="s">
        <v>9</v>
      </c>
      <c r="E399" s="3" t="s">
        <v>49</v>
      </c>
      <c r="F399" s="3">
        <v>1</v>
      </c>
    </row>
    <row r="400" spans="1:6" x14ac:dyDescent="0.3">
      <c r="A400" s="1" t="s">
        <v>16</v>
      </c>
      <c r="B400" s="1" t="s">
        <v>52</v>
      </c>
      <c r="C400" s="2" t="s">
        <v>12</v>
      </c>
      <c r="D400" s="1" t="s">
        <v>11</v>
      </c>
      <c r="E400" s="1" t="s">
        <v>44</v>
      </c>
      <c r="F400" s="1">
        <v>146960</v>
      </c>
    </row>
    <row r="401" spans="1:6" x14ac:dyDescent="0.3">
      <c r="A401" s="3" t="s">
        <v>16</v>
      </c>
      <c r="B401" s="3" t="s">
        <v>52</v>
      </c>
      <c r="C401" s="4" t="s">
        <v>12</v>
      </c>
      <c r="D401" s="3" t="s">
        <v>11</v>
      </c>
      <c r="E401" s="3" t="s">
        <v>45</v>
      </c>
      <c r="F401" s="3">
        <v>146960</v>
      </c>
    </row>
    <row r="402" spans="1:6" x14ac:dyDescent="0.3">
      <c r="A402" s="1" t="s">
        <v>16</v>
      </c>
      <c r="B402" s="1" t="s">
        <v>52</v>
      </c>
      <c r="C402" s="2" t="s">
        <v>12</v>
      </c>
      <c r="D402" s="1" t="s">
        <v>11</v>
      </c>
      <c r="E402" s="1" t="s">
        <v>49</v>
      </c>
      <c r="F402" s="1">
        <v>1</v>
      </c>
    </row>
    <row r="403" spans="1:6" x14ac:dyDescent="0.3">
      <c r="A403" s="3" t="s">
        <v>16</v>
      </c>
      <c r="B403" s="3" t="s">
        <v>52</v>
      </c>
      <c r="C403" s="4" t="s">
        <v>12</v>
      </c>
      <c r="D403" s="3" t="s">
        <v>1</v>
      </c>
      <c r="E403" s="3" t="s">
        <v>44</v>
      </c>
      <c r="F403" s="3">
        <v>-1156748.22</v>
      </c>
    </row>
    <row r="404" spans="1:6" x14ac:dyDescent="0.3">
      <c r="A404" s="1" t="s">
        <v>16</v>
      </c>
      <c r="B404" s="1" t="s">
        <v>52</v>
      </c>
      <c r="C404" s="2" t="s">
        <v>12</v>
      </c>
      <c r="D404" s="1" t="s">
        <v>1</v>
      </c>
      <c r="E404" s="1" t="s">
        <v>45</v>
      </c>
      <c r="F404" s="1">
        <v>80851.679999999993</v>
      </c>
    </row>
    <row r="405" spans="1:6" x14ac:dyDescent="0.3">
      <c r="A405" s="3" t="s">
        <v>16</v>
      </c>
      <c r="B405" s="3" t="s">
        <v>52</v>
      </c>
      <c r="C405" s="4" t="s">
        <v>12</v>
      </c>
      <c r="D405" s="3" t="s">
        <v>1</v>
      </c>
      <c r="E405" s="3" t="s">
        <v>46</v>
      </c>
      <c r="F405" s="3">
        <v>1192896</v>
      </c>
    </row>
    <row r="406" spans="1:6" x14ac:dyDescent="0.3">
      <c r="A406" s="1" t="s">
        <v>16</v>
      </c>
      <c r="B406" s="1" t="s">
        <v>52</v>
      </c>
      <c r="C406" s="2" t="s">
        <v>12</v>
      </c>
      <c r="D406" s="1" t="s">
        <v>1</v>
      </c>
      <c r="E406" s="1" t="s">
        <v>47</v>
      </c>
      <c r="F406" s="1">
        <v>1755.8999999999901</v>
      </c>
    </row>
    <row r="407" spans="1:6" x14ac:dyDescent="0.3">
      <c r="A407" s="3" t="s">
        <v>16</v>
      </c>
      <c r="B407" s="3" t="s">
        <v>52</v>
      </c>
      <c r="C407" s="4" t="s">
        <v>12</v>
      </c>
      <c r="D407" s="3" t="s">
        <v>1</v>
      </c>
      <c r="E407" s="3" t="s">
        <v>48</v>
      </c>
      <c r="F407" s="3">
        <v>42948</v>
      </c>
    </row>
    <row r="408" spans="1:6" x14ac:dyDescent="0.3">
      <c r="A408" s="1" t="s">
        <v>16</v>
      </c>
      <c r="B408" s="1" t="s">
        <v>52</v>
      </c>
      <c r="C408" s="2" t="s">
        <v>12</v>
      </c>
      <c r="D408" s="1" t="s">
        <v>1</v>
      </c>
      <c r="E408" s="1" t="s">
        <v>49</v>
      </c>
      <c r="F408" s="1">
        <v>-14.3070400021372</v>
      </c>
    </row>
    <row r="409" spans="1:6" x14ac:dyDescent="0.3">
      <c r="A409" s="3" t="s">
        <v>16</v>
      </c>
      <c r="B409" s="3" t="s">
        <v>52</v>
      </c>
      <c r="C409" s="4" t="s">
        <v>12</v>
      </c>
      <c r="D409" s="3" t="s">
        <v>6</v>
      </c>
      <c r="E409" s="3" t="s">
        <v>44</v>
      </c>
      <c r="F409" s="3">
        <v>-1166089.6200000001</v>
      </c>
    </row>
    <row r="410" spans="1:6" x14ac:dyDescent="0.3">
      <c r="A410" s="1" t="s">
        <v>16</v>
      </c>
      <c r="B410" s="1" t="s">
        <v>52</v>
      </c>
      <c r="C410" s="2" t="s">
        <v>12</v>
      </c>
      <c r="D410" s="1" t="s">
        <v>6</v>
      </c>
      <c r="E410" s="1" t="s">
        <v>45</v>
      </c>
      <c r="F410" s="1">
        <v>80851.679999999993</v>
      </c>
    </row>
    <row r="411" spans="1:6" x14ac:dyDescent="0.3">
      <c r="A411" s="3" t="s">
        <v>16</v>
      </c>
      <c r="B411" s="3" t="s">
        <v>52</v>
      </c>
      <c r="C411" s="4" t="s">
        <v>12</v>
      </c>
      <c r="D411" s="3" t="s">
        <v>6</v>
      </c>
      <c r="E411" s="3" t="s">
        <v>46</v>
      </c>
      <c r="F411" s="3">
        <v>1202304</v>
      </c>
    </row>
    <row r="412" spans="1:6" x14ac:dyDescent="0.3">
      <c r="A412" s="1" t="s">
        <v>16</v>
      </c>
      <c r="B412" s="1" t="s">
        <v>52</v>
      </c>
      <c r="C412" s="2" t="s">
        <v>12</v>
      </c>
      <c r="D412" s="1" t="s">
        <v>6</v>
      </c>
      <c r="E412" s="1" t="s">
        <v>47</v>
      </c>
      <c r="F412" s="1">
        <v>1689.29999999999</v>
      </c>
    </row>
    <row r="413" spans="1:6" x14ac:dyDescent="0.3">
      <c r="A413" s="3" t="s">
        <v>16</v>
      </c>
      <c r="B413" s="3" t="s">
        <v>52</v>
      </c>
      <c r="C413" s="4" t="s">
        <v>12</v>
      </c>
      <c r="D413" s="3" t="s">
        <v>6</v>
      </c>
      <c r="E413" s="3" t="s">
        <v>48</v>
      </c>
      <c r="F413" s="3">
        <v>42948</v>
      </c>
    </row>
    <row r="414" spans="1:6" x14ac:dyDescent="0.3">
      <c r="A414" s="1" t="s">
        <v>16</v>
      </c>
      <c r="B414" s="1" t="s">
        <v>52</v>
      </c>
      <c r="C414" s="2" t="s">
        <v>12</v>
      </c>
      <c r="D414" s="1" t="s">
        <v>6</v>
      </c>
      <c r="E414" s="1" t="s">
        <v>49</v>
      </c>
      <c r="F414" s="1">
        <v>-14.422577490041</v>
      </c>
    </row>
    <row r="415" spans="1:6" x14ac:dyDescent="0.3">
      <c r="A415" s="3" t="s">
        <v>16</v>
      </c>
      <c r="B415" s="3" t="s">
        <v>52</v>
      </c>
      <c r="C415" s="4" t="s">
        <v>12</v>
      </c>
      <c r="D415" s="3" t="s">
        <v>9</v>
      </c>
      <c r="E415" s="3" t="s">
        <v>44</v>
      </c>
      <c r="F415" s="3">
        <v>-1131135.71</v>
      </c>
    </row>
    <row r="416" spans="1:6" x14ac:dyDescent="0.3">
      <c r="A416" s="1" t="s">
        <v>16</v>
      </c>
      <c r="B416" s="1" t="s">
        <v>52</v>
      </c>
      <c r="C416" s="2" t="s">
        <v>12</v>
      </c>
      <c r="D416" s="1" t="s">
        <v>9</v>
      </c>
      <c r="E416" s="1" t="s">
        <v>45</v>
      </c>
      <c r="F416" s="1">
        <v>134755.239999999</v>
      </c>
    </row>
    <row r="417" spans="1:6" x14ac:dyDescent="0.3">
      <c r="A417" s="3" t="s">
        <v>16</v>
      </c>
      <c r="B417" s="3" t="s">
        <v>52</v>
      </c>
      <c r="C417" s="4" t="s">
        <v>12</v>
      </c>
      <c r="D417" s="3" t="s">
        <v>9</v>
      </c>
      <c r="E417" s="3" t="s">
        <v>46</v>
      </c>
      <c r="F417" s="3">
        <v>1221120</v>
      </c>
    </row>
    <row r="418" spans="1:6" x14ac:dyDescent="0.3">
      <c r="A418" s="1" t="s">
        <v>16</v>
      </c>
      <c r="B418" s="1" t="s">
        <v>52</v>
      </c>
      <c r="C418" s="2" t="s">
        <v>12</v>
      </c>
      <c r="D418" s="1" t="s">
        <v>9</v>
      </c>
      <c r="E418" s="1" t="s">
        <v>47</v>
      </c>
      <c r="F418" s="1">
        <v>1822.94999999999</v>
      </c>
    </row>
    <row r="419" spans="1:6" x14ac:dyDescent="0.3">
      <c r="A419" s="3" t="s">
        <v>16</v>
      </c>
      <c r="B419" s="3" t="s">
        <v>52</v>
      </c>
      <c r="C419" s="4" t="s">
        <v>12</v>
      </c>
      <c r="D419" s="3" t="s">
        <v>9</v>
      </c>
      <c r="E419" s="3" t="s">
        <v>48</v>
      </c>
      <c r="F419" s="3">
        <v>42948</v>
      </c>
    </row>
    <row r="420" spans="1:6" x14ac:dyDescent="0.3">
      <c r="A420" s="1" t="s">
        <v>16</v>
      </c>
      <c r="B420" s="1" t="s">
        <v>52</v>
      </c>
      <c r="C420" s="2" t="s">
        <v>12</v>
      </c>
      <c r="D420" s="1" t="s">
        <v>9</v>
      </c>
      <c r="E420" s="1" t="s">
        <v>49</v>
      </c>
      <c r="F420" s="1">
        <v>-8.3940016729590603</v>
      </c>
    </row>
    <row r="421" spans="1:6" x14ac:dyDescent="0.3">
      <c r="A421" s="3" t="s">
        <v>16</v>
      </c>
      <c r="B421" s="3" t="s">
        <v>52</v>
      </c>
      <c r="C421" s="4" t="s">
        <v>12</v>
      </c>
      <c r="D421" s="3" t="s">
        <v>11</v>
      </c>
      <c r="E421" s="3" t="s">
        <v>44</v>
      </c>
      <c r="F421" s="3">
        <v>-1123465.23</v>
      </c>
    </row>
    <row r="422" spans="1:6" x14ac:dyDescent="0.3">
      <c r="A422" s="1" t="s">
        <v>16</v>
      </c>
      <c r="B422" s="1" t="s">
        <v>52</v>
      </c>
      <c r="C422" s="2" t="s">
        <v>12</v>
      </c>
      <c r="D422" s="1" t="s">
        <v>11</v>
      </c>
      <c r="E422" s="1" t="s">
        <v>45</v>
      </c>
      <c r="F422" s="1">
        <v>161707.01999999999</v>
      </c>
    </row>
    <row r="423" spans="1:6" x14ac:dyDescent="0.3">
      <c r="A423" s="3" t="s">
        <v>16</v>
      </c>
      <c r="B423" s="3" t="s">
        <v>52</v>
      </c>
      <c r="C423" s="4" t="s">
        <v>12</v>
      </c>
      <c r="D423" s="3" t="s">
        <v>11</v>
      </c>
      <c r="E423" s="3" t="s">
        <v>46</v>
      </c>
      <c r="F423" s="3">
        <v>1239936</v>
      </c>
    </row>
    <row r="424" spans="1:6" x14ac:dyDescent="0.3">
      <c r="A424" s="1" t="s">
        <v>16</v>
      </c>
      <c r="B424" s="1" t="s">
        <v>52</v>
      </c>
      <c r="C424" s="2" t="s">
        <v>12</v>
      </c>
      <c r="D424" s="1" t="s">
        <v>11</v>
      </c>
      <c r="E424" s="1" t="s">
        <v>47</v>
      </c>
      <c r="F424" s="1">
        <v>2288.25</v>
      </c>
    </row>
    <row r="425" spans="1:6" x14ac:dyDescent="0.3">
      <c r="A425" s="3" t="s">
        <v>16</v>
      </c>
      <c r="B425" s="3" t="s">
        <v>52</v>
      </c>
      <c r="C425" s="4" t="s">
        <v>12</v>
      </c>
      <c r="D425" s="3" t="s">
        <v>11</v>
      </c>
      <c r="E425" s="3" t="s">
        <v>48</v>
      </c>
      <c r="F425" s="3">
        <v>42948</v>
      </c>
    </row>
    <row r="426" spans="1:6" x14ac:dyDescent="0.3">
      <c r="A426" s="1" t="s">
        <v>16</v>
      </c>
      <c r="B426" s="1" t="s">
        <v>52</v>
      </c>
      <c r="C426" s="2" t="s">
        <v>12</v>
      </c>
      <c r="D426" s="1" t="s">
        <v>11</v>
      </c>
      <c r="E426" s="1" t="s">
        <v>49</v>
      </c>
      <c r="F426" s="1">
        <v>-6.9475353018069299</v>
      </c>
    </row>
    <row r="427" spans="1:6" x14ac:dyDescent="0.3">
      <c r="A427" s="3" t="s">
        <v>16</v>
      </c>
      <c r="B427" s="3" t="s">
        <v>52</v>
      </c>
      <c r="C427" s="4" t="s">
        <v>12</v>
      </c>
      <c r="D427" s="3" t="s">
        <v>1</v>
      </c>
      <c r="E427" s="3" t="s">
        <v>44</v>
      </c>
      <c r="F427" s="3">
        <v>619611</v>
      </c>
    </row>
    <row r="428" spans="1:6" x14ac:dyDescent="0.3">
      <c r="A428" s="1" t="s">
        <v>16</v>
      </c>
      <c r="B428" s="1" t="s">
        <v>52</v>
      </c>
      <c r="C428" s="2" t="s">
        <v>12</v>
      </c>
      <c r="D428" s="1" t="s">
        <v>1</v>
      </c>
      <c r="E428" s="1" t="s">
        <v>45</v>
      </c>
      <c r="F428" s="1">
        <v>619611</v>
      </c>
    </row>
    <row r="429" spans="1:6" x14ac:dyDescent="0.3">
      <c r="A429" s="3" t="s">
        <v>16</v>
      </c>
      <c r="B429" s="3" t="s">
        <v>52</v>
      </c>
      <c r="C429" s="4" t="s">
        <v>12</v>
      </c>
      <c r="D429" s="3" t="s">
        <v>1</v>
      </c>
      <c r="E429" s="3" t="s">
        <v>49</v>
      </c>
      <c r="F429" s="3">
        <v>1</v>
      </c>
    </row>
    <row r="430" spans="1:6" x14ac:dyDescent="0.3">
      <c r="A430" s="1" t="s">
        <v>16</v>
      </c>
      <c r="B430" s="1" t="s">
        <v>52</v>
      </c>
      <c r="C430" s="2" t="s">
        <v>12</v>
      </c>
      <c r="D430" s="1" t="s">
        <v>6</v>
      </c>
      <c r="E430" s="1" t="s">
        <v>44</v>
      </c>
      <c r="F430" s="1">
        <v>507424</v>
      </c>
    </row>
    <row r="431" spans="1:6" x14ac:dyDescent="0.3">
      <c r="A431" s="3" t="s">
        <v>16</v>
      </c>
      <c r="B431" s="3" t="s">
        <v>52</v>
      </c>
      <c r="C431" s="4" t="s">
        <v>12</v>
      </c>
      <c r="D431" s="3" t="s">
        <v>6</v>
      </c>
      <c r="E431" s="3" t="s">
        <v>45</v>
      </c>
      <c r="F431" s="3">
        <v>507424</v>
      </c>
    </row>
    <row r="432" spans="1:6" x14ac:dyDescent="0.3">
      <c r="A432" s="1" t="s">
        <v>16</v>
      </c>
      <c r="B432" s="1" t="s">
        <v>52</v>
      </c>
      <c r="C432" s="2" t="s">
        <v>12</v>
      </c>
      <c r="D432" s="1" t="s">
        <v>6</v>
      </c>
      <c r="E432" s="1" t="s">
        <v>49</v>
      </c>
      <c r="F432" s="1">
        <v>1</v>
      </c>
    </row>
    <row r="433" spans="1:6" x14ac:dyDescent="0.3">
      <c r="A433" s="3" t="s">
        <v>16</v>
      </c>
      <c r="B433" s="3" t="s">
        <v>52</v>
      </c>
      <c r="C433" s="4" t="s">
        <v>12</v>
      </c>
      <c r="D433" s="3" t="s">
        <v>9</v>
      </c>
      <c r="E433" s="3" t="s">
        <v>44</v>
      </c>
      <c r="F433" s="3">
        <v>2189214</v>
      </c>
    </row>
    <row r="434" spans="1:6" x14ac:dyDescent="0.3">
      <c r="A434" s="1" t="s">
        <v>16</v>
      </c>
      <c r="B434" s="1" t="s">
        <v>52</v>
      </c>
      <c r="C434" s="2" t="s">
        <v>12</v>
      </c>
      <c r="D434" s="1" t="s">
        <v>9</v>
      </c>
      <c r="E434" s="1" t="s">
        <v>45</v>
      </c>
      <c r="F434" s="1">
        <v>2189214</v>
      </c>
    </row>
    <row r="435" spans="1:6" x14ac:dyDescent="0.3">
      <c r="A435" s="3" t="s">
        <v>16</v>
      </c>
      <c r="B435" s="3" t="s">
        <v>52</v>
      </c>
      <c r="C435" s="4" t="s">
        <v>12</v>
      </c>
      <c r="D435" s="3" t="s">
        <v>9</v>
      </c>
      <c r="E435" s="3" t="s">
        <v>49</v>
      </c>
      <c r="F435" s="3">
        <v>1</v>
      </c>
    </row>
    <row r="436" spans="1:6" x14ac:dyDescent="0.3">
      <c r="A436" s="1" t="s">
        <v>16</v>
      </c>
      <c r="B436" s="1" t="s">
        <v>52</v>
      </c>
      <c r="C436" s="2" t="s">
        <v>12</v>
      </c>
      <c r="D436" s="1" t="s">
        <v>11</v>
      </c>
      <c r="E436" s="1" t="s">
        <v>44</v>
      </c>
      <c r="F436" s="1">
        <v>1587024</v>
      </c>
    </row>
    <row r="437" spans="1:6" x14ac:dyDescent="0.3">
      <c r="A437" s="3" t="s">
        <v>16</v>
      </c>
      <c r="B437" s="3" t="s">
        <v>52</v>
      </c>
      <c r="C437" s="4" t="s">
        <v>12</v>
      </c>
      <c r="D437" s="3" t="s">
        <v>11</v>
      </c>
      <c r="E437" s="3" t="s">
        <v>45</v>
      </c>
      <c r="F437" s="3">
        <v>1587024</v>
      </c>
    </row>
    <row r="438" spans="1:6" x14ac:dyDescent="0.3">
      <c r="A438" s="1" t="s">
        <v>16</v>
      </c>
      <c r="B438" s="1" t="s">
        <v>52</v>
      </c>
      <c r="C438" s="2" t="s">
        <v>12</v>
      </c>
      <c r="D438" s="1" t="s">
        <v>11</v>
      </c>
      <c r="E438" s="1" t="s">
        <v>49</v>
      </c>
      <c r="F438" s="1">
        <v>1</v>
      </c>
    </row>
    <row r="439" spans="1:6" x14ac:dyDescent="0.3">
      <c r="A439" s="3" t="s">
        <v>16</v>
      </c>
      <c r="B439" s="3" t="s">
        <v>52</v>
      </c>
      <c r="C439" s="4" t="s">
        <v>12</v>
      </c>
      <c r="D439" s="3" t="s">
        <v>1</v>
      </c>
      <c r="E439" s="3" t="s">
        <v>44</v>
      </c>
      <c r="F439" s="3">
        <v>-321520.32</v>
      </c>
    </row>
    <row r="440" spans="1:6" x14ac:dyDescent="0.3">
      <c r="A440" s="1" t="s">
        <v>16</v>
      </c>
      <c r="B440" s="1" t="s">
        <v>52</v>
      </c>
      <c r="C440" s="2" t="s">
        <v>12</v>
      </c>
      <c r="D440" s="1" t="s">
        <v>1</v>
      </c>
      <c r="E440" s="1" t="s">
        <v>45</v>
      </c>
      <c r="F440" s="1">
        <v>175767.02999999901</v>
      </c>
    </row>
    <row r="441" spans="1:6" x14ac:dyDescent="0.3">
      <c r="A441" s="3" t="s">
        <v>16</v>
      </c>
      <c r="B441" s="3" t="s">
        <v>52</v>
      </c>
      <c r="C441" s="4" t="s">
        <v>12</v>
      </c>
      <c r="D441" s="3" t="s">
        <v>1</v>
      </c>
      <c r="E441" s="3" t="s">
        <v>46</v>
      </c>
      <c r="F441" s="3">
        <v>402624</v>
      </c>
    </row>
    <row r="442" spans="1:6" x14ac:dyDescent="0.3">
      <c r="A442" s="1" t="s">
        <v>16</v>
      </c>
      <c r="B442" s="1" t="s">
        <v>52</v>
      </c>
      <c r="C442" s="2" t="s">
        <v>12</v>
      </c>
      <c r="D442" s="1" t="s">
        <v>1</v>
      </c>
      <c r="E442" s="1" t="s">
        <v>47</v>
      </c>
      <c r="F442" s="1">
        <v>8763.75</v>
      </c>
    </row>
    <row r="443" spans="1:6" x14ac:dyDescent="0.3">
      <c r="A443" s="3" t="s">
        <v>16</v>
      </c>
      <c r="B443" s="3" t="s">
        <v>52</v>
      </c>
      <c r="C443" s="4" t="s">
        <v>12</v>
      </c>
      <c r="D443" s="3" t="s">
        <v>1</v>
      </c>
      <c r="E443" s="3" t="s">
        <v>48</v>
      </c>
      <c r="F443" s="3">
        <v>85899.599999999904</v>
      </c>
    </row>
    <row r="444" spans="1:6" x14ac:dyDescent="0.3">
      <c r="A444" s="1" t="s">
        <v>16</v>
      </c>
      <c r="B444" s="1" t="s">
        <v>52</v>
      </c>
      <c r="C444" s="2" t="s">
        <v>12</v>
      </c>
      <c r="D444" s="1" t="s">
        <v>1</v>
      </c>
      <c r="E444" s="1" t="s">
        <v>49</v>
      </c>
      <c r="F444" s="1">
        <v>-1.8292413543085899</v>
      </c>
    </row>
    <row r="445" spans="1:6" x14ac:dyDescent="0.3">
      <c r="A445" s="3" t="s">
        <v>16</v>
      </c>
      <c r="B445" s="3" t="s">
        <v>52</v>
      </c>
      <c r="C445" s="4" t="s">
        <v>12</v>
      </c>
      <c r="D445" s="3" t="s">
        <v>6</v>
      </c>
      <c r="E445" s="3" t="s">
        <v>44</v>
      </c>
      <c r="F445" s="3">
        <v>-323073.71999999997</v>
      </c>
    </row>
    <row r="446" spans="1:6" x14ac:dyDescent="0.3">
      <c r="A446" s="1" t="s">
        <v>16</v>
      </c>
      <c r="B446" s="1" t="s">
        <v>52</v>
      </c>
      <c r="C446" s="2" t="s">
        <v>12</v>
      </c>
      <c r="D446" s="1" t="s">
        <v>6</v>
      </c>
      <c r="E446" s="1" t="s">
        <v>45</v>
      </c>
      <c r="F446" s="1">
        <v>175767.02999999901</v>
      </c>
    </row>
    <row r="447" spans="1:6" x14ac:dyDescent="0.3">
      <c r="A447" s="3" t="s">
        <v>16</v>
      </c>
      <c r="B447" s="3" t="s">
        <v>52</v>
      </c>
      <c r="C447" s="4" t="s">
        <v>12</v>
      </c>
      <c r="D447" s="3" t="s">
        <v>6</v>
      </c>
      <c r="E447" s="3" t="s">
        <v>46</v>
      </c>
      <c r="F447" s="3">
        <v>402624</v>
      </c>
    </row>
    <row r="448" spans="1:6" x14ac:dyDescent="0.3">
      <c r="A448" s="1" t="s">
        <v>16</v>
      </c>
      <c r="B448" s="1" t="s">
        <v>52</v>
      </c>
      <c r="C448" s="2" t="s">
        <v>12</v>
      </c>
      <c r="D448" s="1" t="s">
        <v>6</v>
      </c>
      <c r="E448" s="1" t="s">
        <v>47</v>
      </c>
      <c r="F448" s="1">
        <v>10317.15</v>
      </c>
    </row>
    <row r="449" spans="1:6" x14ac:dyDescent="0.3">
      <c r="A449" s="3" t="s">
        <v>16</v>
      </c>
      <c r="B449" s="3" t="s">
        <v>52</v>
      </c>
      <c r="C449" s="4" t="s">
        <v>12</v>
      </c>
      <c r="D449" s="3" t="s">
        <v>6</v>
      </c>
      <c r="E449" s="3" t="s">
        <v>48</v>
      </c>
      <c r="F449" s="3">
        <v>85899.599999999904</v>
      </c>
    </row>
    <row r="450" spans="1:6" x14ac:dyDescent="0.3">
      <c r="A450" s="1" t="s">
        <v>16</v>
      </c>
      <c r="B450" s="1" t="s">
        <v>52</v>
      </c>
      <c r="C450" s="2" t="s">
        <v>12</v>
      </c>
      <c r="D450" s="1" t="s">
        <v>6</v>
      </c>
      <c r="E450" s="1" t="s">
        <v>49</v>
      </c>
      <c r="F450" s="1">
        <v>-1.83807918925409</v>
      </c>
    </row>
    <row r="451" spans="1:6" x14ac:dyDescent="0.3">
      <c r="A451" s="3" t="s">
        <v>16</v>
      </c>
      <c r="B451" s="3" t="s">
        <v>52</v>
      </c>
      <c r="C451" s="4" t="s">
        <v>12</v>
      </c>
      <c r="D451" s="3" t="s">
        <v>9</v>
      </c>
      <c r="E451" s="3" t="s">
        <v>44</v>
      </c>
      <c r="F451" s="3">
        <v>-325231.91999999899</v>
      </c>
    </row>
    <row r="452" spans="1:6" x14ac:dyDescent="0.3">
      <c r="A452" s="1" t="s">
        <v>16</v>
      </c>
      <c r="B452" s="1" t="s">
        <v>52</v>
      </c>
      <c r="C452" s="2" t="s">
        <v>12</v>
      </c>
      <c r="D452" s="1" t="s">
        <v>9</v>
      </c>
      <c r="E452" s="1" t="s">
        <v>45</v>
      </c>
      <c r="F452" s="1">
        <v>175767.02999999901</v>
      </c>
    </row>
    <row r="453" spans="1:6" x14ac:dyDescent="0.3">
      <c r="A453" s="3" t="s">
        <v>16</v>
      </c>
      <c r="B453" s="3" t="s">
        <v>52</v>
      </c>
      <c r="C453" s="4" t="s">
        <v>12</v>
      </c>
      <c r="D453" s="3" t="s">
        <v>9</v>
      </c>
      <c r="E453" s="3" t="s">
        <v>46</v>
      </c>
      <c r="F453" s="3">
        <v>402624</v>
      </c>
    </row>
    <row r="454" spans="1:6" x14ac:dyDescent="0.3">
      <c r="A454" s="1" t="s">
        <v>16</v>
      </c>
      <c r="B454" s="1" t="s">
        <v>52</v>
      </c>
      <c r="C454" s="2" t="s">
        <v>12</v>
      </c>
      <c r="D454" s="1" t="s">
        <v>9</v>
      </c>
      <c r="E454" s="1" t="s">
        <v>47</v>
      </c>
      <c r="F454" s="1">
        <v>12475.3499999999</v>
      </c>
    </row>
    <row r="455" spans="1:6" x14ac:dyDescent="0.3">
      <c r="A455" s="3" t="s">
        <v>16</v>
      </c>
      <c r="B455" s="3" t="s">
        <v>52</v>
      </c>
      <c r="C455" s="4" t="s">
        <v>12</v>
      </c>
      <c r="D455" s="3" t="s">
        <v>9</v>
      </c>
      <c r="E455" s="3" t="s">
        <v>48</v>
      </c>
      <c r="F455" s="3">
        <v>85899.599999999904</v>
      </c>
    </row>
    <row r="456" spans="1:6" x14ac:dyDescent="0.3">
      <c r="A456" s="1" t="s">
        <v>16</v>
      </c>
      <c r="B456" s="1" t="s">
        <v>52</v>
      </c>
      <c r="C456" s="2" t="s">
        <v>12</v>
      </c>
      <c r="D456" s="1" t="s">
        <v>9</v>
      </c>
      <c r="E456" s="1" t="s">
        <v>49</v>
      </c>
      <c r="F456" s="1">
        <v>-1.8503579425561201</v>
      </c>
    </row>
    <row r="457" spans="1:6" x14ac:dyDescent="0.3">
      <c r="A457" s="3" t="s">
        <v>16</v>
      </c>
      <c r="B457" s="3" t="s">
        <v>52</v>
      </c>
      <c r="C457" s="4" t="s">
        <v>12</v>
      </c>
      <c r="D457" s="3" t="s">
        <v>11</v>
      </c>
      <c r="E457" s="3" t="s">
        <v>44</v>
      </c>
      <c r="F457" s="3">
        <v>-328396.77</v>
      </c>
    </row>
    <row r="458" spans="1:6" x14ac:dyDescent="0.3">
      <c r="A458" s="1" t="s">
        <v>16</v>
      </c>
      <c r="B458" s="1" t="s">
        <v>52</v>
      </c>
      <c r="C458" s="2" t="s">
        <v>12</v>
      </c>
      <c r="D458" s="1" t="s">
        <v>11</v>
      </c>
      <c r="E458" s="1" t="s">
        <v>45</v>
      </c>
      <c r="F458" s="1">
        <v>175767.02999999901</v>
      </c>
    </row>
    <row r="459" spans="1:6" x14ac:dyDescent="0.3">
      <c r="A459" s="3" t="s">
        <v>16</v>
      </c>
      <c r="B459" s="3" t="s">
        <v>52</v>
      </c>
      <c r="C459" s="4" t="s">
        <v>12</v>
      </c>
      <c r="D459" s="3" t="s">
        <v>11</v>
      </c>
      <c r="E459" s="3" t="s">
        <v>46</v>
      </c>
      <c r="F459" s="3">
        <v>402624</v>
      </c>
    </row>
    <row r="460" spans="1:6" x14ac:dyDescent="0.3">
      <c r="A460" s="1" t="s">
        <v>16</v>
      </c>
      <c r="B460" s="1" t="s">
        <v>52</v>
      </c>
      <c r="C460" s="2" t="s">
        <v>12</v>
      </c>
      <c r="D460" s="1" t="s">
        <v>11</v>
      </c>
      <c r="E460" s="1" t="s">
        <v>47</v>
      </c>
      <c r="F460" s="1">
        <v>15640.199999999901</v>
      </c>
    </row>
    <row r="461" spans="1:6" x14ac:dyDescent="0.3">
      <c r="A461" s="3" t="s">
        <v>16</v>
      </c>
      <c r="B461" s="3" t="s">
        <v>52</v>
      </c>
      <c r="C461" s="4" t="s">
        <v>12</v>
      </c>
      <c r="D461" s="3" t="s">
        <v>11</v>
      </c>
      <c r="E461" s="3" t="s">
        <v>48</v>
      </c>
      <c r="F461" s="3">
        <v>85899.599999999904</v>
      </c>
    </row>
    <row r="462" spans="1:6" x14ac:dyDescent="0.3">
      <c r="A462" s="1" t="s">
        <v>16</v>
      </c>
      <c r="B462" s="1" t="s">
        <v>52</v>
      </c>
      <c r="C462" s="2" t="s">
        <v>12</v>
      </c>
      <c r="D462" s="1" t="s">
        <v>11</v>
      </c>
      <c r="E462" s="1" t="s">
        <v>49</v>
      </c>
      <c r="F462" s="1">
        <v>-1.86836387916436</v>
      </c>
    </row>
    <row r="463" spans="1:6" x14ac:dyDescent="0.3">
      <c r="A463" s="3" t="s">
        <v>16</v>
      </c>
      <c r="B463" s="3" t="s">
        <v>52</v>
      </c>
      <c r="C463" s="4" t="s">
        <v>12</v>
      </c>
      <c r="D463" s="3" t="s">
        <v>1</v>
      </c>
      <c r="E463" s="3" t="s">
        <v>44</v>
      </c>
      <c r="F463" s="3">
        <v>98500</v>
      </c>
    </row>
    <row r="464" spans="1:6" x14ac:dyDescent="0.3">
      <c r="A464" s="1" t="s">
        <v>16</v>
      </c>
      <c r="B464" s="1" t="s">
        <v>52</v>
      </c>
      <c r="C464" s="2" t="s">
        <v>12</v>
      </c>
      <c r="D464" s="1" t="s">
        <v>1</v>
      </c>
      <c r="E464" s="1" t="s">
        <v>45</v>
      </c>
      <c r="F464" s="1">
        <v>98500</v>
      </c>
    </row>
    <row r="465" spans="1:6" x14ac:dyDescent="0.3">
      <c r="A465" s="3" t="s">
        <v>16</v>
      </c>
      <c r="B465" s="3" t="s">
        <v>52</v>
      </c>
      <c r="C465" s="4" t="s">
        <v>12</v>
      </c>
      <c r="D465" s="3" t="s">
        <v>1</v>
      </c>
      <c r="E465" s="3" t="s">
        <v>49</v>
      </c>
      <c r="F465" s="3">
        <v>1</v>
      </c>
    </row>
    <row r="466" spans="1:6" x14ac:dyDescent="0.3">
      <c r="A466" s="1" t="s">
        <v>16</v>
      </c>
      <c r="B466" s="1" t="s">
        <v>52</v>
      </c>
      <c r="C466" s="2" t="s">
        <v>12</v>
      </c>
      <c r="D466" s="1" t="s">
        <v>6</v>
      </c>
      <c r="E466" s="1" t="s">
        <v>44</v>
      </c>
      <c r="F466" s="1">
        <v>84500</v>
      </c>
    </row>
    <row r="467" spans="1:6" x14ac:dyDescent="0.3">
      <c r="A467" s="3" t="s">
        <v>16</v>
      </c>
      <c r="B467" s="3" t="s">
        <v>52</v>
      </c>
      <c r="C467" s="4" t="s">
        <v>12</v>
      </c>
      <c r="D467" s="3" t="s">
        <v>6</v>
      </c>
      <c r="E467" s="3" t="s">
        <v>45</v>
      </c>
      <c r="F467" s="3">
        <v>84500</v>
      </c>
    </row>
    <row r="468" spans="1:6" x14ac:dyDescent="0.3">
      <c r="A468" s="1" t="s">
        <v>16</v>
      </c>
      <c r="B468" s="1" t="s">
        <v>52</v>
      </c>
      <c r="C468" s="2" t="s">
        <v>12</v>
      </c>
      <c r="D468" s="1" t="s">
        <v>6</v>
      </c>
      <c r="E468" s="1" t="s">
        <v>49</v>
      </c>
      <c r="F468" s="1">
        <v>1</v>
      </c>
    </row>
    <row r="469" spans="1:6" x14ac:dyDescent="0.3">
      <c r="A469" s="3" t="s">
        <v>16</v>
      </c>
      <c r="B469" s="3" t="s">
        <v>52</v>
      </c>
      <c r="C469" s="4" t="s">
        <v>12</v>
      </c>
      <c r="D469" s="3" t="s">
        <v>9</v>
      </c>
      <c r="E469" s="3" t="s">
        <v>44</v>
      </c>
      <c r="F469" s="3">
        <v>98500</v>
      </c>
    </row>
    <row r="470" spans="1:6" x14ac:dyDescent="0.3">
      <c r="A470" s="1" t="s">
        <v>16</v>
      </c>
      <c r="B470" s="1" t="s">
        <v>52</v>
      </c>
      <c r="C470" s="2" t="s">
        <v>12</v>
      </c>
      <c r="D470" s="1" t="s">
        <v>9</v>
      </c>
      <c r="E470" s="1" t="s">
        <v>45</v>
      </c>
      <c r="F470" s="1">
        <v>98500</v>
      </c>
    </row>
    <row r="471" spans="1:6" x14ac:dyDescent="0.3">
      <c r="A471" s="3" t="s">
        <v>16</v>
      </c>
      <c r="B471" s="3" t="s">
        <v>52</v>
      </c>
      <c r="C471" s="4" t="s">
        <v>12</v>
      </c>
      <c r="D471" s="3" t="s">
        <v>9</v>
      </c>
      <c r="E471" s="3" t="s">
        <v>49</v>
      </c>
      <c r="F471" s="3">
        <v>1</v>
      </c>
    </row>
    <row r="472" spans="1:6" x14ac:dyDescent="0.3">
      <c r="A472" s="1" t="s">
        <v>16</v>
      </c>
      <c r="B472" s="1" t="s">
        <v>52</v>
      </c>
      <c r="C472" s="2" t="s">
        <v>12</v>
      </c>
      <c r="D472" s="1" t="s">
        <v>11</v>
      </c>
      <c r="E472" s="1" t="s">
        <v>44</v>
      </c>
      <c r="F472" s="1">
        <v>84500</v>
      </c>
    </row>
    <row r="473" spans="1:6" x14ac:dyDescent="0.3">
      <c r="A473" s="3" t="s">
        <v>16</v>
      </c>
      <c r="B473" s="3" t="s">
        <v>52</v>
      </c>
      <c r="C473" s="4" t="s">
        <v>12</v>
      </c>
      <c r="D473" s="3" t="s">
        <v>11</v>
      </c>
      <c r="E473" s="3" t="s">
        <v>45</v>
      </c>
      <c r="F473" s="3">
        <v>84500</v>
      </c>
    </row>
    <row r="474" spans="1:6" x14ac:dyDescent="0.3">
      <c r="A474" s="1" t="s">
        <v>16</v>
      </c>
      <c r="B474" s="1" t="s">
        <v>52</v>
      </c>
      <c r="C474" s="2" t="s">
        <v>12</v>
      </c>
      <c r="D474" s="1" t="s">
        <v>11</v>
      </c>
      <c r="E474" s="1" t="s">
        <v>49</v>
      </c>
      <c r="F474" s="1">
        <v>1</v>
      </c>
    </row>
    <row r="475" spans="1:6" x14ac:dyDescent="0.3">
      <c r="A475" s="3" t="s">
        <v>16</v>
      </c>
      <c r="B475" s="3" t="s">
        <v>52</v>
      </c>
      <c r="C475" s="4" t="s">
        <v>12</v>
      </c>
      <c r="D475" s="3" t="s">
        <v>1</v>
      </c>
      <c r="E475" s="3" t="s">
        <v>44</v>
      </c>
      <c r="F475" s="3">
        <v>81492.66</v>
      </c>
    </row>
    <row r="476" spans="1:6" x14ac:dyDescent="0.3">
      <c r="A476" s="1" t="s">
        <v>16</v>
      </c>
      <c r="B476" s="1" t="s">
        <v>52</v>
      </c>
      <c r="C476" s="2" t="s">
        <v>12</v>
      </c>
      <c r="D476" s="1" t="s">
        <v>1</v>
      </c>
      <c r="E476" s="1" t="s">
        <v>45</v>
      </c>
      <c r="F476" s="1">
        <v>81492.66</v>
      </c>
    </row>
    <row r="477" spans="1:6" x14ac:dyDescent="0.3">
      <c r="A477" s="3" t="s">
        <v>16</v>
      </c>
      <c r="B477" s="3" t="s">
        <v>52</v>
      </c>
      <c r="C477" s="4" t="s">
        <v>12</v>
      </c>
      <c r="D477" s="3" t="s">
        <v>1</v>
      </c>
      <c r="E477" s="3" t="s">
        <v>49</v>
      </c>
      <c r="F477" s="3">
        <v>1</v>
      </c>
    </row>
    <row r="478" spans="1:6" x14ac:dyDescent="0.3">
      <c r="A478" s="1" t="s">
        <v>16</v>
      </c>
      <c r="B478" s="1" t="s">
        <v>52</v>
      </c>
      <c r="C478" s="2" t="s">
        <v>12</v>
      </c>
      <c r="D478" s="1" t="s">
        <v>6</v>
      </c>
      <c r="E478" s="1" t="s">
        <v>44</v>
      </c>
      <c r="F478" s="1">
        <v>81492.66</v>
      </c>
    </row>
    <row r="479" spans="1:6" x14ac:dyDescent="0.3">
      <c r="A479" s="3" t="s">
        <v>16</v>
      </c>
      <c r="B479" s="3" t="s">
        <v>52</v>
      </c>
      <c r="C479" s="4" t="s">
        <v>12</v>
      </c>
      <c r="D479" s="3" t="s">
        <v>6</v>
      </c>
      <c r="E479" s="3" t="s">
        <v>45</v>
      </c>
      <c r="F479" s="3">
        <v>81492.66</v>
      </c>
    </row>
    <row r="480" spans="1:6" x14ac:dyDescent="0.3">
      <c r="A480" s="1" t="s">
        <v>16</v>
      </c>
      <c r="B480" s="1" t="s">
        <v>52</v>
      </c>
      <c r="C480" s="2" t="s">
        <v>12</v>
      </c>
      <c r="D480" s="1" t="s">
        <v>6</v>
      </c>
      <c r="E480" s="1" t="s">
        <v>49</v>
      </c>
      <c r="F480" s="1">
        <v>1</v>
      </c>
    </row>
    <row r="481" spans="1:6" x14ac:dyDescent="0.3">
      <c r="A481" s="3" t="s">
        <v>16</v>
      </c>
      <c r="B481" s="3" t="s">
        <v>52</v>
      </c>
      <c r="C481" s="4" t="s">
        <v>12</v>
      </c>
      <c r="D481" s="3" t="s">
        <v>9</v>
      </c>
      <c r="E481" s="3" t="s">
        <v>44</v>
      </c>
      <c r="F481" s="3">
        <v>81492.66</v>
      </c>
    </row>
    <row r="482" spans="1:6" x14ac:dyDescent="0.3">
      <c r="A482" s="1" t="s">
        <v>16</v>
      </c>
      <c r="B482" s="1" t="s">
        <v>52</v>
      </c>
      <c r="C482" s="2" t="s">
        <v>12</v>
      </c>
      <c r="D482" s="1" t="s">
        <v>9</v>
      </c>
      <c r="E482" s="1" t="s">
        <v>45</v>
      </c>
      <c r="F482" s="1">
        <v>81492.66</v>
      </c>
    </row>
    <row r="483" spans="1:6" x14ac:dyDescent="0.3">
      <c r="A483" s="3" t="s">
        <v>16</v>
      </c>
      <c r="B483" s="3" t="s">
        <v>52</v>
      </c>
      <c r="C483" s="4" t="s">
        <v>12</v>
      </c>
      <c r="D483" s="3" t="s">
        <v>9</v>
      </c>
      <c r="E483" s="3" t="s">
        <v>49</v>
      </c>
      <c r="F483" s="3">
        <v>1</v>
      </c>
    </row>
    <row r="484" spans="1:6" x14ac:dyDescent="0.3">
      <c r="A484" s="1" t="s">
        <v>16</v>
      </c>
      <c r="B484" s="1" t="s">
        <v>52</v>
      </c>
      <c r="C484" s="2" t="s">
        <v>12</v>
      </c>
      <c r="D484" s="1" t="s">
        <v>11</v>
      </c>
      <c r="E484" s="1" t="s">
        <v>44</v>
      </c>
      <c r="F484" s="1">
        <v>81492.66</v>
      </c>
    </row>
    <row r="485" spans="1:6" x14ac:dyDescent="0.3">
      <c r="A485" s="3" t="s">
        <v>16</v>
      </c>
      <c r="B485" s="3" t="s">
        <v>52</v>
      </c>
      <c r="C485" s="4" t="s">
        <v>12</v>
      </c>
      <c r="D485" s="3" t="s">
        <v>11</v>
      </c>
      <c r="E485" s="3" t="s">
        <v>45</v>
      </c>
      <c r="F485" s="3">
        <v>81492.66</v>
      </c>
    </row>
    <row r="486" spans="1:6" x14ac:dyDescent="0.3">
      <c r="A486" s="1" t="s">
        <v>16</v>
      </c>
      <c r="B486" s="1" t="s">
        <v>52</v>
      </c>
      <c r="C486" s="2" t="s">
        <v>12</v>
      </c>
      <c r="D486" s="1" t="s">
        <v>11</v>
      </c>
      <c r="E486" s="1" t="s">
        <v>49</v>
      </c>
      <c r="F486" s="1">
        <v>1</v>
      </c>
    </row>
    <row r="487" spans="1:6" x14ac:dyDescent="0.3">
      <c r="A487" s="3" t="s">
        <v>16</v>
      </c>
      <c r="B487" s="3" t="s">
        <v>52</v>
      </c>
      <c r="C487" s="4" t="s">
        <v>12</v>
      </c>
      <c r="D487" s="3" t="s">
        <v>1</v>
      </c>
      <c r="E487" s="3" t="s">
        <v>44</v>
      </c>
      <c r="F487" s="3">
        <v>98500</v>
      </c>
    </row>
    <row r="488" spans="1:6" x14ac:dyDescent="0.3">
      <c r="A488" s="1" t="s">
        <v>16</v>
      </c>
      <c r="B488" s="1" t="s">
        <v>52</v>
      </c>
      <c r="C488" s="2" t="s">
        <v>12</v>
      </c>
      <c r="D488" s="1" t="s">
        <v>1</v>
      </c>
      <c r="E488" s="1" t="s">
        <v>45</v>
      </c>
      <c r="F488" s="1">
        <v>98500</v>
      </c>
    </row>
    <row r="489" spans="1:6" x14ac:dyDescent="0.3">
      <c r="A489" s="3" t="s">
        <v>16</v>
      </c>
      <c r="B489" s="3" t="s">
        <v>52</v>
      </c>
      <c r="C489" s="4" t="s">
        <v>12</v>
      </c>
      <c r="D489" s="3" t="s">
        <v>1</v>
      </c>
      <c r="E489" s="3" t="s">
        <v>49</v>
      </c>
      <c r="F489" s="3">
        <v>1</v>
      </c>
    </row>
    <row r="490" spans="1:6" x14ac:dyDescent="0.3">
      <c r="A490" s="1" t="s">
        <v>16</v>
      </c>
      <c r="B490" s="1" t="s">
        <v>52</v>
      </c>
      <c r="C490" s="2" t="s">
        <v>12</v>
      </c>
      <c r="D490" s="1" t="s">
        <v>6</v>
      </c>
      <c r="E490" s="1" t="s">
        <v>44</v>
      </c>
      <c r="F490" s="1">
        <v>84500</v>
      </c>
    </row>
    <row r="491" spans="1:6" x14ac:dyDescent="0.3">
      <c r="A491" s="3" t="s">
        <v>16</v>
      </c>
      <c r="B491" s="3" t="s">
        <v>52</v>
      </c>
      <c r="C491" s="4" t="s">
        <v>12</v>
      </c>
      <c r="D491" s="3" t="s">
        <v>6</v>
      </c>
      <c r="E491" s="3" t="s">
        <v>45</v>
      </c>
      <c r="F491" s="3">
        <v>84500</v>
      </c>
    </row>
    <row r="492" spans="1:6" x14ac:dyDescent="0.3">
      <c r="A492" s="1" t="s">
        <v>16</v>
      </c>
      <c r="B492" s="1" t="s">
        <v>52</v>
      </c>
      <c r="C492" s="2" t="s">
        <v>12</v>
      </c>
      <c r="D492" s="1" t="s">
        <v>6</v>
      </c>
      <c r="E492" s="1" t="s">
        <v>49</v>
      </c>
      <c r="F492" s="1">
        <v>1</v>
      </c>
    </row>
    <row r="493" spans="1:6" x14ac:dyDescent="0.3">
      <c r="A493" s="3" t="s">
        <v>16</v>
      </c>
      <c r="B493" s="3" t="s">
        <v>52</v>
      </c>
      <c r="C493" s="4" t="s">
        <v>12</v>
      </c>
      <c r="D493" s="3" t="s">
        <v>9</v>
      </c>
      <c r="E493" s="3" t="s">
        <v>44</v>
      </c>
      <c r="F493" s="3">
        <v>98500</v>
      </c>
    </row>
    <row r="494" spans="1:6" x14ac:dyDescent="0.3">
      <c r="A494" s="1" t="s">
        <v>16</v>
      </c>
      <c r="B494" s="1" t="s">
        <v>52</v>
      </c>
      <c r="C494" s="2" t="s">
        <v>12</v>
      </c>
      <c r="D494" s="1" t="s">
        <v>9</v>
      </c>
      <c r="E494" s="1" t="s">
        <v>45</v>
      </c>
      <c r="F494" s="1">
        <v>98500</v>
      </c>
    </row>
    <row r="495" spans="1:6" x14ac:dyDescent="0.3">
      <c r="A495" s="3" t="s">
        <v>16</v>
      </c>
      <c r="B495" s="3" t="s">
        <v>52</v>
      </c>
      <c r="C495" s="4" t="s">
        <v>12</v>
      </c>
      <c r="D495" s="3" t="s">
        <v>9</v>
      </c>
      <c r="E495" s="3" t="s">
        <v>49</v>
      </c>
      <c r="F495" s="3">
        <v>1</v>
      </c>
    </row>
    <row r="496" spans="1:6" x14ac:dyDescent="0.3">
      <c r="A496" s="1" t="s">
        <v>16</v>
      </c>
      <c r="B496" s="1" t="s">
        <v>52</v>
      </c>
      <c r="C496" s="2" t="s">
        <v>12</v>
      </c>
      <c r="D496" s="1" t="s">
        <v>11</v>
      </c>
      <c r="E496" s="1" t="s">
        <v>44</v>
      </c>
      <c r="F496" s="1">
        <v>84500</v>
      </c>
    </row>
    <row r="497" spans="1:6" x14ac:dyDescent="0.3">
      <c r="A497" s="3" t="s">
        <v>16</v>
      </c>
      <c r="B497" s="3" t="s">
        <v>52</v>
      </c>
      <c r="C497" s="4" t="s">
        <v>12</v>
      </c>
      <c r="D497" s="3" t="s">
        <v>11</v>
      </c>
      <c r="E497" s="3" t="s">
        <v>45</v>
      </c>
      <c r="F497" s="3">
        <v>84500</v>
      </c>
    </row>
    <row r="498" spans="1:6" x14ac:dyDescent="0.3">
      <c r="A498" s="1" t="s">
        <v>16</v>
      </c>
      <c r="B498" s="1" t="s">
        <v>52</v>
      </c>
      <c r="C498" s="2" t="s">
        <v>12</v>
      </c>
      <c r="D498" s="1" t="s">
        <v>11</v>
      </c>
      <c r="E498" s="1" t="s">
        <v>49</v>
      </c>
      <c r="F498" s="1">
        <v>1</v>
      </c>
    </row>
    <row r="499" spans="1:6" x14ac:dyDescent="0.3">
      <c r="A499" s="3" t="s">
        <v>16</v>
      </c>
      <c r="B499" s="3" t="s">
        <v>52</v>
      </c>
      <c r="C499" s="4" t="s">
        <v>12</v>
      </c>
      <c r="D499" s="3" t="s">
        <v>1</v>
      </c>
      <c r="E499" s="3" t="s">
        <v>44</v>
      </c>
      <c r="F499" s="3">
        <v>36965.699999999903</v>
      </c>
    </row>
    <row r="500" spans="1:6" x14ac:dyDescent="0.3">
      <c r="A500" s="1" t="s">
        <v>16</v>
      </c>
      <c r="B500" s="1" t="s">
        <v>52</v>
      </c>
      <c r="C500" s="2" t="s">
        <v>12</v>
      </c>
      <c r="D500" s="1" t="s">
        <v>1</v>
      </c>
      <c r="E500" s="1" t="s">
        <v>45</v>
      </c>
      <c r="F500" s="1">
        <v>85220.099999999904</v>
      </c>
    </row>
    <row r="501" spans="1:6" x14ac:dyDescent="0.3">
      <c r="A501" s="3" t="s">
        <v>16</v>
      </c>
      <c r="B501" s="3" t="s">
        <v>52</v>
      </c>
      <c r="C501" s="4" t="s">
        <v>12</v>
      </c>
      <c r="D501" s="3" t="s">
        <v>1</v>
      </c>
      <c r="E501" s="3" t="s">
        <v>47</v>
      </c>
      <c r="F501" s="3">
        <v>5306.3999999999896</v>
      </c>
    </row>
    <row r="502" spans="1:6" x14ac:dyDescent="0.3">
      <c r="A502" s="1" t="s">
        <v>16</v>
      </c>
      <c r="B502" s="1" t="s">
        <v>52</v>
      </c>
      <c r="C502" s="2" t="s">
        <v>12</v>
      </c>
      <c r="D502" s="1" t="s">
        <v>1</v>
      </c>
      <c r="E502" s="1" t="s">
        <v>48</v>
      </c>
      <c r="F502" s="1">
        <v>42948</v>
      </c>
    </row>
    <row r="503" spans="1:6" x14ac:dyDescent="0.3">
      <c r="A503" s="3" t="s">
        <v>16</v>
      </c>
      <c r="B503" s="3" t="s">
        <v>52</v>
      </c>
      <c r="C503" s="4" t="s">
        <v>12</v>
      </c>
      <c r="D503" s="3" t="s">
        <v>1</v>
      </c>
      <c r="E503" s="3" t="s">
        <v>49</v>
      </c>
      <c r="F503" s="3">
        <v>0.43376738586319402</v>
      </c>
    </row>
    <row r="504" spans="1:6" x14ac:dyDescent="0.3">
      <c r="A504" s="1" t="s">
        <v>16</v>
      </c>
      <c r="B504" s="1" t="s">
        <v>52</v>
      </c>
      <c r="C504" s="2" t="s">
        <v>12</v>
      </c>
      <c r="D504" s="1" t="s">
        <v>6</v>
      </c>
      <c r="E504" s="1" t="s">
        <v>44</v>
      </c>
      <c r="F504" s="1">
        <v>77860.349999999904</v>
      </c>
    </row>
    <row r="505" spans="1:6" x14ac:dyDescent="0.3">
      <c r="A505" s="3" t="s">
        <v>16</v>
      </c>
      <c r="B505" s="3" t="s">
        <v>52</v>
      </c>
      <c r="C505" s="4" t="s">
        <v>12</v>
      </c>
      <c r="D505" s="3" t="s">
        <v>6</v>
      </c>
      <c r="E505" s="3" t="s">
        <v>45</v>
      </c>
      <c r="F505" s="3">
        <v>127830.149999999</v>
      </c>
    </row>
    <row r="506" spans="1:6" x14ac:dyDescent="0.3">
      <c r="A506" s="1" t="s">
        <v>16</v>
      </c>
      <c r="B506" s="1" t="s">
        <v>52</v>
      </c>
      <c r="C506" s="2" t="s">
        <v>12</v>
      </c>
      <c r="D506" s="1" t="s">
        <v>6</v>
      </c>
      <c r="E506" s="1" t="s">
        <v>47</v>
      </c>
      <c r="F506" s="1">
        <v>7021.7999999999902</v>
      </c>
    </row>
    <row r="507" spans="1:6" x14ac:dyDescent="0.3">
      <c r="A507" s="3" t="s">
        <v>16</v>
      </c>
      <c r="B507" s="3" t="s">
        <v>52</v>
      </c>
      <c r="C507" s="4" t="s">
        <v>12</v>
      </c>
      <c r="D507" s="3" t="s">
        <v>6</v>
      </c>
      <c r="E507" s="3" t="s">
        <v>48</v>
      </c>
      <c r="F507" s="3">
        <v>42948</v>
      </c>
    </row>
    <row r="508" spans="1:6" x14ac:dyDescent="0.3">
      <c r="A508" s="1" t="s">
        <v>16</v>
      </c>
      <c r="B508" s="1" t="s">
        <v>52</v>
      </c>
      <c r="C508" s="2" t="s">
        <v>12</v>
      </c>
      <c r="D508" s="1" t="s">
        <v>6</v>
      </c>
      <c r="E508" s="1" t="s">
        <v>49</v>
      </c>
      <c r="F508" s="1">
        <v>0.60909222120133599</v>
      </c>
    </row>
    <row r="509" spans="1:6" x14ac:dyDescent="0.3">
      <c r="A509" s="3" t="s">
        <v>16</v>
      </c>
      <c r="B509" s="3" t="s">
        <v>52</v>
      </c>
      <c r="C509" s="4" t="s">
        <v>12</v>
      </c>
      <c r="D509" s="3" t="s">
        <v>9</v>
      </c>
      <c r="E509" s="3" t="s">
        <v>44</v>
      </c>
      <c r="F509" s="3">
        <v>89920.349999999904</v>
      </c>
    </row>
    <row r="510" spans="1:6" x14ac:dyDescent="0.3">
      <c r="A510" s="1" t="s">
        <v>16</v>
      </c>
      <c r="B510" s="1" t="s">
        <v>52</v>
      </c>
      <c r="C510" s="2" t="s">
        <v>12</v>
      </c>
      <c r="D510" s="1" t="s">
        <v>9</v>
      </c>
      <c r="E510" s="1" t="s">
        <v>45</v>
      </c>
      <c r="F510" s="1">
        <v>170440.19999999899</v>
      </c>
    </row>
    <row r="511" spans="1:6" x14ac:dyDescent="0.3">
      <c r="A511" s="3" t="s">
        <v>16</v>
      </c>
      <c r="B511" s="3" t="s">
        <v>52</v>
      </c>
      <c r="C511" s="4" t="s">
        <v>12</v>
      </c>
      <c r="D511" s="3" t="s">
        <v>9</v>
      </c>
      <c r="E511" s="3" t="s">
        <v>47</v>
      </c>
      <c r="F511" s="3">
        <v>8937.4499999999898</v>
      </c>
    </row>
    <row r="512" spans="1:6" x14ac:dyDescent="0.3">
      <c r="A512" s="1" t="s">
        <v>16</v>
      </c>
      <c r="B512" s="1" t="s">
        <v>52</v>
      </c>
      <c r="C512" s="2" t="s">
        <v>12</v>
      </c>
      <c r="D512" s="1" t="s">
        <v>9</v>
      </c>
      <c r="E512" s="1" t="s">
        <v>48</v>
      </c>
      <c r="F512" s="1">
        <v>71582.399999999907</v>
      </c>
    </row>
    <row r="513" spans="1:6" x14ac:dyDescent="0.3">
      <c r="A513" s="3" t="s">
        <v>16</v>
      </c>
      <c r="B513" s="3" t="s">
        <v>52</v>
      </c>
      <c r="C513" s="4" t="s">
        <v>12</v>
      </c>
      <c r="D513" s="3" t="s">
        <v>9</v>
      </c>
      <c r="E513" s="3" t="s">
        <v>49</v>
      </c>
      <c r="F513" s="3">
        <v>0.52757712089049402</v>
      </c>
    </row>
    <row r="514" spans="1:6" x14ac:dyDescent="0.3">
      <c r="A514" s="1" t="s">
        <v>16</v>
      </c>
      <c r="B514" s="1" t="s">
        <v>52</v>
      </c>
      <c r="C514" s="2" t="s">
        <v>12</v>
      </c>
      <c r="D514" s="1" t="s">
        <v>11</v>
      </c>
      <c r="E514" s="1" t="s">
        <v>44</v>
      </c>
      <c r="F514" s="1">
        <v>115965.899999999</v>
      </c>
    </row>
    <row r="515" spans="1:6" x14ac:dyDescent="0.3">
      <c r="A515" s="3" t="s">
        <v>16</v>
      </c>
      <c r="B515" s="3" t="s">
        <v>52</v>
      </c>
      <c r="C515" s="4" t="s">
        <v>12</v>
      </c>
      <c r="D515" s="3" t="s">
        <v>11</v>
      </c>
      <c r="E515" s="3" t="s">
        <v>45</v>
      </c>
      <c r="F515" s="3">
        <v>213050.24999999901</v>
      </c>
    </row>
    <row r="516" spans="1:6" x14ac:dyDescent="0.3">
      <c r="A516" s="1" t="s">
        <v>16</v>
      </c>
      <c r="B516" s="1" t="s">
        <v>52</v>
      </c>
      <c r="C516" s="2" t="s">
        <v>12</v>
      </c>
      <c r="D516" s="1" t="s">
        <v>11</v>
      </c>
      <c r="E516" s="1" t="s">
        <v>47</v>
      </c>
      <c r="F516" s="1">
        <v>11184.7499999999</v>
      </c>
    </row>
    <row r="517" spans="1:6" x14ac:dyDescent="0.3">
      <c r="A517" s="3" t="s">
        <v>16</v>
      </c>
      <c r="B517" s="3" t="s">
        <v>52</v>
      </c>
      <c r="C517" s="4" t="s">
        <v>12</v>
      </c>
      <c r="D517" s="3" t="s">
        <v>11</v>
      </c>
      <c r="E517" s="3" t="s">
        <v>48</v>
      </c>
      <c r="F517" s="3">
        <v>85899.599999999904</v>
      </c>
    </row>
    <row r="518" spans="1:6" x14ac:dyDescent="0.3">
      <c r="A518" s="1" t="s">
        <v>16</v>
      </c>
      <c r="B518" s="1" t="s">
        <v>52</v>
      </c>
      <c r="C518" s="2" t="s">
        <v>12</v>
      </c>
      <c r="D518" s="1" t="s">
        <v>11</v>
      </c>
      <c r="E518" s="1" t="s">
        <v>49</v>
      </c>
      <c r="F518" s="1">
        <v>0.54431243333438895</v>
      </c>
    </row>
    <row r="519" spans="1:6" x14ac:dyDescent="0.3">
      <c r="A519" s="3" t="s">
        <v>16</v>
      </c>
      <c r="B519" s="3" t="s">
        <v>43</v>
      </c>
      <c r="C519" s="4" t="s">
        <v>12</v>
      </c>
      <c r="D519" s="3" t="s">
        <v>1</v>
      </c>
      <c r="E519" s="3" t="s">
        <v>44</v>
      </c>
      <c r="F519" s="3">
        <v>394050</v>
      </c>
    </row>
    <row r="520" spans="1:6" x14ac:dyDescent="0.3">
      <c r="A520" s="1" t="s">
        <v>16</v>
      </c>
      <c r="B520" s="1" t="s">
        <v>43</v>
      </c>
      <c r="C520" s="2" t="s">
        <v>12</v>
      </c>
      <c r="D520" s="1" t="s">
        <v>1</v>
      </c>
      <c r="E520" s="1" t="s">
        <v>45</v>
      </c>
      <c r="F520" s="1">
        <v>425250</v>
      </c>
    </row>
    <row r="521" spans="1:6" x14ac:dyDescent="0.3">
      <c r="A521" s="3" t="s">
        <v>16</v>
      </c>
      <c r="B521" s="3" t="s">
        <v>43</v>
      </c>
      <c r="C521" s="4" t="s">
        <v>12</v>
      </c>
      <c r="D521" s="3" t="s">
        <v>1</v>
      </c>
      <c r="E521" s="3" t="s">
        <v>46</v>
      </c>
      <c r="F521" s="3">
        <v>12600</v>
      </c>
    </row>
    <row r="522" spans="1:6" x14ac:dyDescent="0.3">
      <c r="A522" s="1" t="s">
        <v>16</v>
      </c>
      <c r="B522" s="1" t="s">
        <v>43</v>
      </c>
      <c r="C522" s="2" t="s">
        <v>12</v>
      </c>
      <c r="D522" s="1" t="s">
        <v>1</v>
      </c>
      <c r="E522" s="1" t="s">
        <v>47</v>
      </c>
      <c r="F522" s="1">
        <v>12000</v>
      </c>
    </row>
    <row r="523" spans="1:6" x14ac:dyDescent="0.3">
      <c r="A523" s="3" t="s">
        <v>16</v>
      </c>
      <c r="B523" s="3" t="s">
        <v>43</v>
      </c>
      <c r="C523" s="4" t="s">
        <v>12</v>
      </c>
      <c r="D523" s="3" t="s">
        <v>1</v>
      </c>
      <c r="E523" s="3" t="s">
        <v>48</v>
      </c>
      <c r="F523" s="3">
        <v>6600</v>
      </c>
    </row>
    <row r="524" spans="1:6" x14ac:dyDescent="0.3">
      <c r="A524" s="1" t="s">
        <v>16</v>
      </c>
      <c r="B524" s="1" t="s">
        <v>43</v>
      </c>
      <c r="C524" s="2" t="s">
        <v>12</v>
      </c>
      <c r="D524" s="1" t="s">
        <v>1</v>
      </c>
      <c r="E524" s="1" t="s">
        <v>49</v>
      </c>
      <c r="F524" s="1">
        <v>0.92663139329805999</v>
      </c>
    </row>
    <row r="525" spans="1:6" x14ac:dyDescent="0.3">
      <c r="A525" s="3" t="s">
        <v>16</v>
      </c>
      <c r="B525" s="3" t="s">
        <v>43</v>
      </c>
      <c r="C525" s="4" t="s">
        <v>12</v>
      </c>
      <c r="D525" s="3" t="s">
        <v>6</v>
      </c>
      <c r="E525" s="3" t="s">
        <v>44</v>
      </c>
      <c r="F525" s="3">
        <v>591075</v>
      </c>
    </row>
    <row r="526" spans="1:6" x14ac:dyDescent="0.3">
      <c r="A526" s="1" t="s">
        <v>16</v>
      </c>
      <c r="B526" s="1" t="s">
        <v>43</v>
      </c>
      <c r="C526" s="2" t="s">
        <v>12</v>
      </c>
      <c r="D526" s="1" t="s">
        <v>6</v>
      </c>
      <c r="E526" s="1" t="s">
        <v>45</v>
      </c>
      <c r="F526" s="1">
        <v>637875</v>
      </c>
    </row>
    <row r="527" spans="1:6" x14ac:dyDescent="0.3">
      <c r="A527" s="3" t="s">
        <v>16</v>
      </c>
      <c r="B527" s="3" t="s">
        <v>43</v>
      </c>
      <c r="C527" s="4" t="s">
        <v>12</v>
      </c>
      <c r="D527" s="3" t="s">
        <v>6</v>
      </c>
      <c r="E527" s="3" t="s">
        <v>46</v>
      </c>
      <c r="F527" s="3">
        <v>18900</v>
      </c>
    </row>
    <row r="528" spans="1:6" x14ac:dyDescent="0.3">
      <c r="A528" s="1" t="s">
        <v>16</v>
      </c>
      <c r="B528" s="1" t="s">
        <v>43</v>
      </c>
      <c r="C528" s="2" t="s">
        <v>12</v>
      </c>
      <c r="D528" s="1" t="s">
        <v>6</v>
      </c>
      <c r="E528" s="1" t="s">
        <v>47</v>
      </c>
      <c r="F528" s="1">
        <v>18000</v>
      </c>
    </row>
    <row r="529" spans="1:6" x14ac:dyDescent="0.3">
      <c r="A529" s="3" t="s">
        <v>16</v>
      </c>
      <c r="B529" s="3" t="s">
        <v>43</v>
      </c>
      <c r="C529" s="4" t="s">
        <v>12</v>
      </c>
      <c r="D529" s="3" t="s">
        <v>6</v>
      </c>
      <c r="E529" s="3" t="s">
        <v>48</v>
      </c>
      <c r="F529" s="3">
        <v>9900</v>
      </c>
    </row>
    <row r="530" spans="1:6" x14ac:dyDescent="0.3">
      <c r="A530" s="1" t="s">
        <v>16</v>
      </c>
      <c r="B530" s="1" t="s">
        <v>43</v>
      </c>
      <c r="C530" s="2" t="s">
        <v>12</v>
      </c>
      <c r="D530" s="1" t="s">
        <v>6</v>
      </c>
      <c r="E530" s="1" t="s">
        <v>49</v>
      </c>
      <c r="F530" s="1">
        <v>0.92663139329805999</v>
      </c>
    </row>
    <row r="531" spans="1:6" x14ac:dyDescent="0.3">
      <c r="A531" s="3" t="s">
        <v>16</v>
      </c>
      <c r="B531" s="3" t="s">
        <v>43</v>
      </c>
      <c r="C531" s="4" t="s">
        <v>12</v>
      </c>
      <c r="D531" s="3" t="s">
        <v>9</v>
      </c>
      <c r="E531" s="3" t="s">
        <v>44</v>
      </c>
      <c r="F531" s="3">
        <v>788100</v>
      </c>
    </row>
    <row r="532" spans="1:6" x14ac:dyDescent="0.3">
      <c r="A532" s="1" t="s">
        <v>16</v>
      </c>
      <c r="B532" s="1" t="s">
        <v>43</v>
      </c>
      <c r="C532" s="2" t="s">
        <v>12</v>
      </c>
      <c r="D532" s="1" t="s">
        <v>9</v>
      </c>
      <c r="E532" s="1" t="s">
        <v>45</v>
      </c>
      <c r="F532" s="1">
        <v>850500</v>
      </c>
    </row>
    <row r="533" spans="1:6" x14ac:dyDescent="0.3">
      <c r="A533" s="3" t="s">
        <v>16</v>
      </c>
      <c r="B533" s="3" t="s">
        <v>43</v>
      </c>
      <c r="C533" s="4" t="s">
        <v>12</v>
      </c>
      <c r="D533" s="3" t="s">
        <v>9</v>
      </c>
      <c r="E533" s="3" t="s">
        <v>46</v>
      </c>
      <c r="F533" s="3">
        <v>25200</v>
      </c>
    </row>
    <row r="534" spans="1:6" x14ac:dyDescent="0.3">
      <c r="A534" s="1" t="s">
        <v>16</v>
      </c>
      <c r="B534" s="1" t="s">
        <v>43</v>
      </c>
      <c r="C534" s="2" t="s">
        <v>12</v>
      </c>
      <c r="D534" s="1" t="s">
        <v>9</v>
      </c>
      <c r="E534" s="1" t="s">
        <v>47</v>
      </c>
      <c r="F534" s="1">
        <v>24000</v>
      </c>
    </row>
    <row r="535" spans="1:6" x14ac:dyDescent="0.3">
      <c r="A535" s="3" t="s">
        <v>16</v>
      </c>
      <c r="B535" s="3" t="s">
        <v>43</v>
      </c>
      <c r="C535" s="4" t="s">
        <v>12</v>
      </c>
      <c r="D535" s="3" t="s">
        <v>9</v>
      </c>
      <c r="E535" s="3" t="s">
        <v>48</v>
      </c>
      <c r="F535" s="3">
        <v>13200</v>
      </c>
    </row>
    <row r="536" spans="1:6" x14ac:dyDescent="0.3">
      <c r="A536" s="1" t="s">
        <v>16</v>
      </c>
      <c r="B536" s="1" t="s">
        <v>43</v>
      </c>
      <c r="C536" s="2" t="s">
        <v>12</v>
      </c>
      <c r="D536" s="1" t="s">
        <v>9</v>
      </c>
      <c r="E536" s="1" t="s">
        <v>49</v>
      </c>
      <c r="F536" s="1">
        <v>0.92663139329805999</v>
      </c>
    </row>
    <row r="537" spans="1:6" x14ac:dyDescent="0.3">
      <c r="A537" s="3" t="s">
        <v>16</v>
      </c>
      <c r="B537" s="3" t="s">
        <v>43</v>
      </c>
      <c r="C537" s="4" t="s">
        <v>12</v>
      </c>
      <c r="D537" s="3" t="s">
        <v>11</v>
      </c>
      <c r="E537" s="3" t="s">
        <v>44</v>
      </c>
      <c r="F537" s="3">
        <v>985125</v>
      </c>
    </row>
    <row r="538" spans="1:6" x14ac:dyDescent="0.3">
      <c r="A538" s="1" t="s">
        <v>16</v>
      </c>
      <c r="B538" s="1" t="s">
        <v>43</v>
      </c>
      <c r="C538" s="2" t="s">
        <v>12</v>
      </c>
      <c r="D538" s="1" t="s">
        <v>11</v>
      </c>
      <c r="E538" s="1" t="s">
        <v>45</v>
      </c>
      <c r="F538" s="1">
        <v>1063125</v>
      </c>
    </row>
    <row r="539" spans="1:6" x14ac:dyDescent="0.3">
      <c r="A539" s="3" t="s">
        <v>16</v>
      </c>
      <c r="B539" s="3" t="s">
        <v>43</v>
      </c>
      <c r="C539" s="4" t="s">
        <v>12</v>
      </c>
      <c r="D539" s="3" t="s">
        <v>11</v>
      </c>
      <c r="E539" s="3" t="s">
        <v>46</v>
      </c>
      <c r="F539" s="3">
        <v>31500</v>
      </c>
    </row>
    <row r="540" spans="1:6" x14ac:dyDescent="0.3">
      <c r="A540" s="1" t="s">
        <v>16</v>
      </c>
      <c r="B540" s="1" t="s">
        <v>43</v>
      </c>
      <c r="C540" s="2" t="s">
        <v>12</v>
      </c>
      <c r="D540" s="1" t="s">
        <v>11</v>
      </c>
      <c r="E540" s="1" t="s">
        <v>47</v>
      </c>
      <c r="F540" s="1">
        <v>30000</v>
      </c>
    </row>
    <row r="541" spans="1:6" x14ac:dyDescent="0.3">
      <c r="A541" s="3" t="s">
        <v>16</v>
      </c>
      <c r="B541" s="3" t="s">
        <v>43</v>
      </c>
      <c r="C541" s="4" t="s">
        <v>12</v>
      </c>
      <c r="D541" s="3" t="s">
        <v>11</v>
      </c>
      <c r="E541" s="3" t="s">
        <v>48</v>
      </c>
      <c r="F541" s="3">
        <v>16500</v>
      </c>
    </row>
    <row r="542" spans="1:6" x14ac:dyDescent="0.3">
      <c r="A542" s="1" t="s">
        <v>16</v>
      </c>
      <c r="B542" s="1" t="s">
        <v>43</v>
      </c>
      <c r="C542" s="2" t="s">
        <v>12</v>
      </c>
      <c r="D542" s="1" t="s">
        <v>11</v>
      </c>
      <c r="E542" s="1" t="s">
        <v>49</v>
      </c>
      <c r="F542" s="1">
        <v>0.92663139329805999</v>
      </c>
    </row>
    <row r="543" spans="1:6" x14ac:dyDescent="0.3">
      <c r="A543" s="3" t="s">
        <v>16</v>
      </c>
      <c r="B543" s="3" t="s">
        <v>43</v>
      </c>
      <c r="C543" s="4" t="s">
        <v>12</v>
      </c>
      <c r="D543" s="3" t="s">
        <v>1</v>
      </c>
      <c r="E543" s="3" t="s">
        <v>0</v>
      </c>
      <c r="F543" s="3">
        <v>37.6575343645289</v>
      </c>
    </row>
    <row r="544" spans="1:6" x14ac:dyDescent="0.3">
      <c r="A544" s="1" t="s">
        <v>16</v>
      </c>
      <c r="B544" s="1" t="s">
        <v>43</v>
      </c>
      <c r="C544" s="2" t="s">
        <v>12</v>
      </c>
      <c r="D544" s="1" t="s">
        <v>1</v>
      </c>
      <c r="E544" s="1" t="s">
        <v>44</v>
      </c>
      <c r="F544" s="1">
        <v>4991</v>
      </c>
    </row>
    <row r="545" spans="1:6" x14ac:dyDescent="0.3">
      <c r="A545" s="3" t="s">
        <v>16</v>
      </c>
      <c r="B545" s="3" t="s">
        <v>43</v>
      </c>
      <c r="C545" s="4" t="s">
        <v>12</v>
      </c>
      <c r="D545" s="3" t="s">
        <v>1</v>
      </c>
      <c r="E545" s="3" t="s">
        <v>45</v>
      </c>
      <c r="F545" s="3">
        <v>4991</v>
      </c>
    </row>
    <row r="546" spans="1:6" x14ac:dyDescent="0.3">
      <c r="A546" s="1" t="s">
        <v>16</v>
      </c>
      <c r="B546" s="1" t="s">
        <v>43</v>
      </c>
      <c r="C546" s="2" t="s">
        <v>12</v>
      </c>
      <c r="D546" s="1" t="s">
        <v>1</v>
      </c>
      <c r="E546" s="1" t="s">
        <v>49</v>
      </c>
      <c r="F546" s="1">
        <v>1</v>
      </c>
    </row>
    <row r="547" spans="1:6" x14ac:dyDescent="0.3">
      <c r="A547" s="3" t="s">
        <v>16</v>
      </c>
      <c r="B547" s="3" t="s">
        <v>43</v>
      </c>
      <c r="C547" s="4" t="s">
        <v>12</v>
      </c>
      <c r="D547" s="3" t="s">
        <v>6</v>
      </c>
      <c r="E547" s="3" t="s">
        <v>0</v>
      </c>
      <c r="F547" s="3">
        <v>54.0132568453811</v>
      </c>
    </row>
    <row r="548" spans="1:6" x14ac:dyDescent="0.3">
      <c r="A548" s="1" t="s">
        <v>16</v>
      </c>
      <c r="B548" s="1" t="s">
        <v>43</v>
      </c>
      <c r="C548" s="2" t="s">
        <v>12</v>
      </c>
      <c r="D548" s="1" t="s">
        <v>6</v>
      </c>
      <c r="E548" s="1" t="s">
        <v>44</v>
      </c>
      <c r="F548" s="1">
        <v>19140</v>
      </c>
    </row>
    <row r="549" spans="1:6" x14ac:dyDescent="0.3">
      <c r="A549" s="3" t="s">
        <v>16</v>
      </c>
      <c r="B549" s="3" t="s">
        <v>43</v>
      </c>
      <c r="C549" s="4" t="s">
        <v>12</v>
      </c>
      <c r="D549" s="3" t="s">
        <v>6</v>
      </c>
      <c r="E549" s="3" t="s">
        <v>45</v>
      </c>
      <c r="F549" s="3">
        <v>19140</v>
      </c>
    </row>
    <row r="550" spans="1:6" x14ac:dyDescent="0.3">
      <c r="A550" s="1" t="s">
        <v>16</v>
      </c>
      <c r="B550" s="1" t="s">
        <v>43</v>
      </c>
      <c r="C550" s="2" t="s">
        <v>12</v>
      </c>
      <c r="D550" s="1" t="s">
        <v>6</v>
      </c>
      <c r="E550" s="1" t="s">
        <v>49</v>
      </c>
      <c r="F550" s="1">
        <v>1</v>
      </c>
    </row>
    <row r="551" spans="1:6" x14ac:dyDescent="0.3">
      <c r="A551" s="3" t="s">
        <v>16</v>
      </c>
      <c r="B551" s="3" t="s">
        <v>43</v>
      </c>
      <c r="C551" s="4" t="s">
        <v>12</v>
      </c>
      <c r="D551" s="3" t="s">
        <v>9</v>
      </c>
      <c r="E551" s="3" t="s">
        <v>0</v>
      </c>
      <c r="F551" s="3">
        <v>74.664162787219496</v>
      </c>
    </row>
    <row r="552" spans="1:6" x14ac:dyDescent="0.3">
      <c r="A552" s="1" t="s">
        <v>16</v>
      </c>
      <c r="B552" s="1" t="s">
        <v>43</v>
      </c>
      <c r="C552" s="2" t="s">
        <v>12</v>
      </c>
      <c r="D552" s="1" t="s">
        <v>9</v>
      </c>
      <c r="E552" s="1" t="s">
        <v>44</v>
      </c>
      <c r="F552" s="1">
        <v>12273</v>
      </c>
    </row>
    <row r="553" spans="1:6" x14ac:dyDescent="0.3">
      <c r="A553" s="3" t="s">
        <v>16</v>
      </c>
      <c r="B553" s="3" t="s">
        <v>43</v>
      </c>
      <c r="C553" s="4" t="s">
        <v>12</v>
      </c>
      <c r="D553" s="3" t="s">
        <v>9</v>
      </c>
      <c r="E553" s="3" t="s">
        <v>45</v>
      </c>
      <c r="F553" s="3">
        <v>12273</v>
      </c>
    </row>
    <row r="554" spans="1:6" x14ac:dyDescent="0.3">
      <c r="A554" s="1" t="s">
        <v>16</v>
      </c>
      <c r="B554" s="1" t="s">
        <v>43</v>
      </c>
      <c r="C554" s="2" t="s">
        <v>12</v>
      </c>
      <c r="D554" s="1" t="s">
        <v>9</v>
      </c>
      <c r="E554" s="1" t="s">
        <v>49</v>
      </c>
      <c r="F554" s="1">
        <v>1</v>
      </c>
    </row>
    <row r="555" spans="1:6" x14ac:dyDescent="0.3">
      <c r="A555" s="3" t="s">
        <v>16</v>
      </c>
      <c r="B555" s="3" t="s">
        <v>43</v>
      </c>
      <c r="C555" s="4" t="s">
        <v>12</v>
      </c>
      <c r="D555" s="3" t="s">
        <v>11</v>
      </c>
      <c r="E555" s="3" t="s">
        <v>0</v>
      </c>
      <c r="F555" s="3">
        <v>52.798497672331699</v>
      </c>
    </row>
    <row r="556" spans="1:6" x14ac:dyDescent="0.3">
      <c r="A556" s="1" t="s">
        <v>16</v>
      </c>
      <c r="B556" s="1" t="s">
        <v>43</v>
      </c>
      <c r="C556" s="2" t="s">
        <v>12</v>
      </c>
      <c r="D556" s="1" t="s">
        <v>11</v>
      </c>
      <c r="E556" s="1" t="s">
        <v>44</v>
      </c>
      <c r="F556" s="1">
        <v>16880</v>
      </c>
    </row>
    <row r="557" spans="1:6" x14ac:dyDescent="0.3">
      <c r="A557" s="3" t="s">
        <v>16</v>
      </c>
      <c r="B557" s="3" t="s">
        <v>43</v>
      </c>
      <c r="C557" s="4" t="s">
        <v>12</v>
      </c>
      <c r="D557" s="3" t="s">
        <v>11</v>
      </c>
      <c r="E557" s="3" t="s">
        <v>45</v>
      </c>
      <c r="F557" s="3">
        <v>16880</v>
      </c>
    </row>
    <row r="558" spans="1:6" x14ac:dyDescent="0.3">
      <c r="A558" s="1" t="s">
        <v>16</v>
      </c>
      <c r="B558" s="1" t="s">
        <v>43</v>
      </c>
      <c r="C558" s="2" t="s">
        <v>12</v>
      </c>
      <c r="D558" s="1" t="s">
        <v>11</v>
      </c>
      <c r="E558" s="1" t="s">
        <v>49</v>
      </c>
      <c r="F558" s="1">
        <v>1</v>
      </c>
    </row>
    <row r="559" spans="1:6" x14ac:dyDescent="0.3">
      <c r="A559" s="3" t="s">
        <v>16</v>
      </c>
      <c r="B559" s="3" t="s">
        <v>43</v>
      </c>
      <c r="C559" s="4" t="s">
        <v>12</v>
      </c>
      <c r="D559" s="3" t="s">
        <v>1</v>
      </c>
      <c r="E559" s="3" t="s">
        <v>0</v>
      </c>
      <c r="F559" s="3">
        <v>1</v>
      </c>
    </row>
    <row r="560" spans="1:6" x14ac:dyDescent="0.3">
      <c r="A560" s="1" t="s">
        <v>16</v>
      </c>
      <c r="B560" s="1" t="s">
        <v>43</v>
      </c>
      <c r="C560" s="2" t="s">
        <v>12</v>
      </c>
      <c r="D560" s="1" t="s">
        <v>1</v>
      </c>
      <c r="E560" s="1" t="s">
        <v>44</v>
      </c>
      <c r="F560" s="1">
        <v>81262.545599999998</v>
      </c>
    </row>
    <row r="561" spans="1:6" x14ac:dyDescent="0.3">
      <c r="A561" s="3" t="s">
        <v>16</v>
      </c>
      <c r="B561" s="3" t="s">
        <v>43</v>
      </c>
      <c r="C561" s="4" t="s">
        <v>12</v>
      </c>
      <c r="D561" s="3" t="s">
        <v>1</v>
      </c>
      <c r="E561" s="3" t="s">
        <v>45</v>
      </c>
      <c r="F561" s="3">
        <v>195615</v>
      </c>
    </row>
    <row r="562" spans="1:6" x14ac:dyDescent="0.3">
      <c r="A562" s="1" t="s">
        <v>16</v>
      </c>
      <c r="B562" s="1" t="s">
        <v>43</v>
      </c>
      <c r="C562" s="2" t="s">
        <v>12</v>
      </c>
      <c r="D562" s="1" t="s">
        <v>1</v>
      </c>
      <c r="E562" s="1" t="s">
        <v>46</v>
      </c>
      <c r="F562" s="1">
        <v>94657.5</v>
      </c>
    </row>
    <row r="563" spans="1:6" x14ac:dyDescent="0.3">
      <c r="A563" s="3" t="s">
        <v>16</v>
      </c>
      <c r="B563" s="3" t="s">
        <v>43</v>
      </c>
      <c r="C563" s="4" t="s">
        <v>12</v>
      </c>
      <c r="D563" s="3" t="s">
        <v>1</v>
      </c>
      <c r="E563" s="3" t="s">
        <v>47</v>
      </c>
      <c r="F563" s="3">
        <v>10.4543999999999</v>
      </c>
    </row>
    <row r="564" spans="1:6" x14ac:dyDescent="0.3">
      <c r="A564" s="1" t="s">
        <v>16</v>
      </c>
      <c r="B564" s="1" t="s">
        <v>43</v>
      </c>
      <c r="C564" s="2" t="s">
        <v>12</v>
      </c>
      <c r="D564" s="1" t="s">
        <v>1</v>
      </c>
      <c r="E564" s="1" t="s">
        <v>48</v>
      </c>
      <c r="F564" s="1">
        <v>19684.5</v>
      </c>
    </row>
    <row r="565" spans="1:6" x14ac:dyDescent="0.3">
      <c r="A565" s="3" t="s">
        <v>16</v>
      </c>
      <c r="B565" s="3" t="s">
        <v>43</v>
      </c>
      <c r="C565" s="4" t="s">
        <v>12</v>
      </c>
      <c r="D565" s="3" t="s">
        <v>1</v>
      </c>
      <c r="E565" s="3" t="s">
        <v>49</v>
      </c>
      <c r="F565" s="3">
        <v>0.41542082969097399</v>
      </c>
    </row>
    <row r="566" spans="1:6" x14ac:dyDescent="0.3">
      <c r="A566" s="1" t="s">
        <v>16</v>
      </c>
      <c r="B566" s="1" t="s">
        <v>43</v>
      </c>
      <c r="C566" s="2" t="s">
        <v>12</v>
      </c>
      <c r="D566" s="1" t="s">
        <v>6</v>
      </c>
      <c r="E566" s="1" t="s">
        <v>44</v>
      </c>
      <c r="F566" s="1">
        <v>81262.545599999998</v>
      </c>
    </row>
    <row r="567" spans="1:6" x14ac:dyDescent="0.3">
      <c r="A567" s="3" t="s">
        <v>16</v>
      </c>
      <c r="B567" s="3" t="s">
        <v>43</v>
      </c>
      <c r="C567" s="4" t="s">
        <v>12</v>
      </c>
      <c r="D567" s="3" t="s">
        <v>6</v>
      </c>
      <c r="E567" s="3" t="s">
        <v>45</v>
      </c>
      <c r="F567" s="3">
        <v>195615</v>
      </c>
    </row>
    <row r="568" spans="1:6" x14ac:dyDescent="0.3">
      <c r="A568" s="1" t="s">
        <v>16</v>
      </c>
      <c r="B568" s="1" t="s">
        <v>43</v>
      </c>
      <c r="C568" s="2" t="s">
        <v>12</v>
      </c>
      <c r="D568" s="1" t="s">
        <v>6</v>
      </c>
      <c r="E568" s="1" t="s">
        <v>46</v>
      </c>
      <c r="F568" s="1">
        <v>94657.5</v>
      </c>
    </row>
    <row r="569" spans="1:6" x14ac:dyDescent="0.3">
      <c r="A569" s="3" t="s">
        <v>16</v>
      </c>
      <c r="B569" s="3" t="s">
        <v>43</v>
      </c>
      <c r="C569" s="4" t="s">
        <v>12</v>
      </c>
      <c r="D569" s="3" t="s">
        <v>6</v>
      </c>
      <c r="E569" s="3" t="s">
        <v>47</v>
      </c>
      <c r="F569" s="3">
        <v>10.4543999999999</v>
      </c>
    </row>
    <row r="570" spans="1:6" x14ac:dyDescent="0.3">
      <c r="A570" s="1" t="s">
        <v>16</v>
      </c>
      <c r="B570" s="1" t="s">
        <v>43</v>
      </c>
      <c r="C570" s="2" t="s">
        <v>12</v>
      </c>
      <c r="D570" s="1" t="s">
        <v>6</v>
      </c>
      <c r="E570" s="1" t="s">
        <v>48</v>
      </c>
      <c r="F570" s="1">
        <v>19684.5</v>
      </c>
    </row>
    <row r="571" spans="1:6" x14ac:dyDescent="0.3">
      <c r="A571" s="3" t="s">
        <v>16</v>
      </c>
      <c r="B571" s="3" t="s">
        <v>43</v>
      </c>
      <c r="C571" s="4" t="s">
        <v>12</v>
      </c>
      <c r="D571" s="3" t="s">
        <v>6</v>
      </c>
      <c r="E571" s="3" t="s">
        <v>49</v>
      </c>
      <c r="F571" s="3">
        <v>0.41542082969097399</v>
      </c>
    </row>
    <row r="572" spans="1:6" x14ac:dyDescent="0.3">
      <c r="A572" s="1" t="s">
        <v>16</v>
      </c>
      <c r="B572" s="1" t="s">
        <v>43</v>
      </c>
      <c r="C572" s="2" t="s">
        <v>12</v>
      </c>
      <c r="D572" s="1" t="s">
        <v>9</v>
      </c>
      <c r="E572" s="1" t="s">
        <v>44</v>
      </c>
      <c r="F572" s="1">
        <v>135443.44559999899</v>
      </c>
    </row>
    <row r="573" spans="1:6" x14ac:dyDescent="0.3">
      <c r="A573" s="3" t="s">
        <v>16</v>
      </c>
      <c r="B573" s="3" t="s">
        <v>43</v>
      </c>
      <c r="C573" s="4" t="s">
        <v>12</v>
      </c>
      <c r="D573" s="3" t="s">
        <v>9</v>
      </c>
      <c r="E573" s="3" t="s">
        <v>45</v>
      </c>
      <c r="F573" s="3">
        <v>326025</v>
      </c>
    </row>
    <row r="574" spans="1:6" x14ac:dyDescent="0.3">
      <c r="A574" s="1" t="s">
        <v>16</v>
      </c>
      <c r="B574" s="1" t="s">
        <v>43</v>
      </c>
      <c r="C574" s="2" t="s">
        <v>12</v>
      </c>
      <c r="D574" s="1" t="s">
        <v>9</v>
      </c>
      <c r="E574" s="1" t="s">
        <v>46</v>
      </c>
      <c r="F574" s="1">
        <v>157762.5</v>
      </c>
    </row>
    <row r="575" spans="1:6" x14ac:dyDescent="0.3">
      <c r="A575" s="3" t="s">
        <v>16</v>
      </c>
      <c r="B575" s="3" t="s">
        <v>43</v>
      </c>
      <c r="C575" s="4" t="s">
        <v>12</v>
      </c>
      <c r="D575" s="3" t="s">
        <v>9</v>
      </c>
      <c r="E575" s="3" t="s">
        <v>47</v>
      </c>
      <c r="F575" s="3">
        <v>10.4543999999999</v>
      </c>
    </row>
    <row r="576" spans="1:6" x14ac:dyDescent="0.3">
      <c r="A576" s="1" t="s">
        <v>16</v>
      </c>
      <c r="B576" s="1" t="s">
        <v>43</v>
      </c>
      <c r="C576" s="2" t="s">
        <v>12</v>
      </c>
      <c r="D576" s="1" t="s">
        <v>9</v>
      </c>
      <c r="E576" s="1" t="s">
        <v>48</v>
      </c>
      <c r="F576" s="1">
        <v>32808.599999999897</v>
      </c>
    </row>
    <row r="577" spans="1:6" x14ac:dyDescent="0.3">
      <c r="A577" s="3" t="s">
        <v>16</v>
      </c>
      <c r="B577" s="3" t="s">
        <v>43</v>
      </c>
      <c r="C577" s="4" t="s">
        <v>12</v>
      </c>
      <c r="D577" s="3" t="s">
        <v>9</v>
      </c>
      <c r="E577" s="3" t="s">
        <v>49</v>
      </c>
      <c r="F577" s="3">
        <v>0.41543883321831099</v>
      </c>
    </row>
    <row r="578" spans="1:6" x14ac:dyDescent="0.3">
      <c r="A578" s="1" t="s">
        <v>16</v>
      </c>
      <c r="B578" s="1" t="s">
        <v>43</v>
      </c>
      <c r="C578" s="2" t="s">
        <v>12</v>
      </c>
      <c r="D578" s="1" t="s">
        <v>11</v>
      </c>
      <c r="E578" s="1" t="s">
        <v>44</v>
      </c>
      <c r="F578" s="1">
        <v>162533.895599999</v>
      </c>
    </row>
    <row r="579" spans="1:6" x14ac:dyDescent="0.3">
      <c r="A579" s="3" t="s">
        <v>16</v>
      </c>
      <c r="B579" s="3" t="s">
        <v>43</v>
      </c>
      <c r="C579" s="4" t="s">
        <v>12</v>
      </c>
      <c r="D579" s="3" t="s">
        <v>11</v>
      </c>
      <c r="E579" s="3" t="s">
        <v>45</v>
      </c>
      <c r="F579" s="3">
        <v>391230</v>
      </c>
    </row>
    <row r="580" spans="1:6" x14ac:dyDescent="0.3">
      <c r="A580" s="1" t="s">
        <v>16</v>
      </c>
      <c r="B580" s="1" t="s">
        <v>43</v>
      </c>
      <c r="C580" s="2" t="s">
        <v>12</v>
      </c>
      <c r="D580" s="1" t="s">
        <v>11</v>
      </c>
      <c r="E580" s="1" t="s">
        <v>46</v>
      </c>
      <c r="F580" s="1">
        <v>189315</v>
      </c>
    </row>
    <row r="581" spans="1:6" x14ac:dyDescent="0.3">
      <c r="A581" s="3" t="s">
        <v>16</v>
      </c>
      <c r="B581" s="3" t="s">
        <v>43</v>
      </c>
      <c r="C581" s="4" t="s">
        <v>12</v>
      </c>
      <c r="D581" s="3" t="s">
        <v>11</v>
      </c>
      <c r="E581" s="3" t="s">
        <v>47</v>
      </c>
      <c r="F581" s="3">
        <v>10.4543999999999</v>
      </c>
    </row>
    <row r="582" spans="1:6" x14ac:dyDescent="0.3">
      <c r="A582" s="1" t="s">
        <v>16</v>
      </c>
      <c r="B582" s="1" t="s">
        <v>43</v>
      </c>
      <c r="C582" s="2" t="s">
        <v>12</v>
      </c>
      <c r="D582" s="1" t="s">
        <v>11</v>
      </c>
      <c r="E582" s="1" t="s">
        <v>48</v>
      </c>
      <c r="F582" s="1">
        <v>39370.6499999999</v>
      </c>
    </row>
    <row r="583" spans="1:6" x14ac:dyDescent="0.3">
      <c r="A583" s="3" t="s">
        <v>16</v>
      </c>
      <c r="B583" s="3" t="s">
        <v>43</v>
      </c>
      <c r="C583" s="4" t="s">
        <v>12</v>
      </c>
      <c r="D583" s="3" t="s">
        <v>11</v>
      </c>
      <c r="E583" s="3" t="s">
        <v>49</v>
      </c>
      <c r="F583" s="3">
        <v>0.415443334100145</v>
      </c>
    </row>
    <row r="584" spans="1:6" x14ac:dyDescent="0.3">
      <c r="A584" s="1" t="s">
        <v>16</v>
      </c>
      <c r="B584" s="1" t="s">
        <v>43</v>
      </c>
      <c r="C584" s="2" t="s">
        <v>12</v>
      </c>
      <c r="D584" s="1" t="s">
        <v>1</v>
      </c>
      <c r="E584" s="1" t="s">
        <v>44</v>
      </c>
      <c r="F584" s="1">
        <v>192623.269999999</v>
      </c>
    </row>
    <row r="585" spans="1:6" x14ac:dyDescent="0.3">
      <c r="A585" s="3" t="s">
        <v>16</v>
      </c>
      <c r="B585" s="3" t="s">
        <v>43</v>
      </c>
      <c r="C585" s="4" t="s">
        <v>12</v>
      </c>
      <c r="D585" s="3" t="s">
        <v>1</v>
      </c>
      <c r="E585" s="3" t="s">
        <v>45</v>
      </c>
      <c r="F585" s="3">
        <v>425250</v>
      </c>
    </row>
    <row r="586" spans="1:6" x14ac:dyDescent="0.3">
      <c r="A586" s="1" t="s">
        <v>16</v>
      </c>
      <c r="B586" s="1" t="s">
        <v>43</v>
      </c>
      <c r="C586" s="2" t="s">
        <v>12</v>
      </c>
      <c r="D586" s="1" t="s">
        <v>1</v>
      </c>
      <c r="E586" s="1" t="s">
        <v>46</v>
      </c>
      <c r="F586" s="1">
        <v>189315</v>
      </c>
    </row>
    <row r="587" spans="1:6" x14ac:dyDescent="0.3">
      <c r="A587" s="3" t="s">
        <v>16</v>
      </c>
      <c r="B587" s="3" t="s">
        <v>43</v>
      </c>
      <c r="C587" s="4" t="s">
        <v>12</v>
      </c>
      <c r="D587" s="3" t="s">
        <v>1</v>
      </c>
      <c r="E587" s="3" t="s">
        <v>47</v>
      </c>
      <c r="F587" s="3">
        <v>3941.0799999999899</v>
      </c>
    </row>
    <row r="588" spans="1:6" x14ac:dyDescent="0.3">
      <c r="A588" s="1" t="s">
        <v>16</v>
      </c>
      <c r="B588" s="1" t="s">
        <v>43</v>
      </c>
      <c r="C588" s="2" t="s">
        <v>12</v>
      </c>
      <c r="D588" s="1" t="s">
        <v>1</v>
      </c>
      <c r="E588" s="1" t="s">
        <v>48</v>
      </c>
      <c r="F588" s="1">
        <v>39370.6499999999</v>
      </c>
    </row>
    <row r="589" spans="1:6" x14ac:dyDescent="0.3">
      <c r="A589" s="3" t="s">
        <v>16</v>
      </c>
      <c r="B589" s="3" t="s">
        <v>43</v>
      </c>
      <c r="C589" s="4" t="s">
        <v>12</v>
      </c>
      <c r="D589" s="3" t="s">
        <v>1</v>
      </c>
      <c r="E589" s="3" t="s">
        <v>49</v>
      </c>
      <c r="F589" s="3">
        <v>0.452964773662551</v>
      </c>
    </row>
    <row r="590" spans="1:6" x14ac:dyDescent="0.3">
      <c r="A590" s="1" t="s">
        <v>16</v>
      </c>
      <c r="B590" s="1" t="s">
        <v>43</v>
      </c>
      <c r="C590" s="2" t="s">
        <v>12</v>
      </c>
      <c r="D590" s="1" t="s">
        <v>6</v>
      </c>
      <c r="E590" s="1" t="s">
        <v>44</v>
      </c>
      <c r="F590" s="1">
        <v>192774.84999999899</v>
      </c>
    </row>
    <row r="591" spans="1:6" x14ac:dyDescent="0.3">
      <c r="A591" s="3" t="s">
        <v>16</v>
      </c>
      <c r="B591" s="3" t="s">
        <v>43</v>
      </c>
      <c r="C591" s="4" t="s">
        <v>12</v>
      </c>
      <c r="D591" s="3" t="s">
        <v>6</v>
      </c>
      <c r="E591" s="3" t="s">
        <v>45</v>
      </c>
      <c r="F591" s="3">
        <v>425250</v>
      </c>
    </row>
    <row r="592" spans="1:6" x14ac:dyDescent="0.3">
      <c r="A592" s="1" t="s">
        <v>16</v>
      </c>
      <c r="B592" s="1" t="s">
        <v>43</v>
      </c>
      <c r="C592" s="2" t="s">
        <v>12</v>
      </c>
      <c r="D592" s="1" t="s">
        <v>6</v>
      </c>
      <c r="E592" s="1" t="s">
        <v>46</v>
      </c>
      <c r="F592" s="1">
        <v>189315</v>
      </c>
    </row>
    <row r="593" spans="1:6" x14ac:dyDescent="0.3">
      <c r="A593" s="3" t="s">
        <v>16</v>
      </c>
      <c r="B593" s="3" t="s">
        <v>43</v>
      </c>
      <c r="C593" s="4" t="s">
        <v>12</v>
      </c>
      <c r="D593" s="3" t="s">
        <v>6</v>
      </c>
      <c r="E593" s="3" t="s">
        <v>47</v>
      </c>
      <c r="F593" s="3">
        <v>3789.49999999999</v>
      </c>
    </row>
    <row r="594" spans="1:6" x14ac:dyDescent="0.3">
      <c r="A594" s="1" t="s">
        <v>16</v>
      </c>
      <c r="B594" s="1" t="s">
        <v>43</v>
      </c>
      <c r="C594" s="2" t="s">
        <v>12</v>
      </c>
      <c r="D594" s="1" t="s">
        <v>6</v>
      </c>
      <c r="E594" s="1" t="s">
        <v>48</v>
      </c>
      <c r="F594" s="1">
        <v>39370.6499999999</v>
      </c>
    </row>
    <row r="595" spans="1:6" x14ac:dyDescent="0.3">
      <c r="A595" s="3" t="s">
        <v>16</v>
      </c>
      <c r="B595" s="3" t="s">
        <v>43</v>
      </c>
      <c r="C595" s="4" t="s">
        <v>12</v>
      </c>
      <c r="D595" s="3" t="s">
        <v>6</v>
      </c>
      <c r="E595" s="3" t="s">
        <v>49</v>
      </c>
      <c r="F595" s="3">
        <v>0.453321222810111</v>
      </c>
    </row>
    <row r="596" spans="1:6" x14ac:dyDescent="0.3">
      <c r="A596" s="1" t="s">
        <v>16</v>
      </c>
      <c r="B596" s="1" t="s">
        <v>43</v>
      </c>
      <c r="C596" s="2" t="s">
        <v>12</v>
      </c>
      <c r="D596" s="1" t="s">
        <v>9</v>
      </c>
      <c r="E596" s="1" t="s">
        <v>44</v>
      </c>
      <c r="F596" s="1">
        <v>192471.69</v>
      </c>
    </row>
    <row r="597" spans="1:6" x14ac:dyDescent="0.3">
      <c r="A597" s="3" t="s">
        <v>16</v>
      </c>
      <c r="B597" s="3" t="s">
        <v>43</v>
      </c>
      <c r="C597" s="4" t="s">
        <v>12</v>
      </c>
      <c r="D597" s="3" t="s">
        <v>9</v>
      </c>
      <c r="E597" s="3" t="s">
        <v>45</v>
      </c>
      <c r="F597" s="3">
        <v>425250</v>
      </c>
    </row>
    <row r="598" spans="1:6" x14ac:dyDescent="0.3">
      <c r="A598" s="1" t="s">
        <v>16</v>
      </c>
      <c r="B598" s="1" t="s">
        <v>43</v>
      </c>
      <c r="C598" s="2" t="s">
        <v>12</v>
      </c>
      <c r="D598" s="1" t="s">
        <v>9</v>
      </c>
      <c r="E598" s="1" t="s">
        <v>46</v>
      </c>
      <c r="F598" s="1">
        <v>189315</v>
      </c>
    </row>
    <row r="599" spans="1:6" x14ac:dyDescent="0.3">
      <c r="A599" s="3" t="s">
        <v>16</v>
      </c>
      <c r="B599" s="3" t="s">
        <v>43</v>
      </c>
      <c r="C599" s="4" t="s">
        <v>12</v>
      </c>
      <c r="D599" s="3" t="s">
        <v>9</v>
      </c>
      <c r="E599" s="3" t="s">
        <v>47</v>
      </c>
      <c r="F599" s="3">
        <v>4092.66</v>
      </c>
    </row>
    <row r="600" spans="1:6" x14ac:dyDescent="0.3">
      <c r="A600" s="1" t="s">
        <v>16</v>
      </c>
      <c r="B600" s="1" t="s">
        <v>43</v>
      </c>
      <c r="C600" s="2" t="s">
        <v>12</v>
      </c>
      <c r="D600" s="1" t="s">
        <v>9</v>
      </c>
      <c r="E600" s="1" t="s">
        <v>48</v>
      </c>
      <c r="F600" s="1">
        <v>39370.6499999999</v>
      </c>
    </row>
    <row r="601" spans="1:6" x14ac:dyDescent="0.3">
      <c r="A601" s="3" t="s">
        <v>16</v>
      </c>
      <c r="B601" s="3" t="s">
        <v>43</v>
      </c>
      <c r="C601" s="4" t="s">
        <v>12</v>
      </c>
      <c r="D601" s="3" t="s">
        <v>9</v>
      </c>
      <c r="E601" s="3" t="s">
        <v>49</v>
      </c>
      <c r="F601" s="3">
        <v>0.452608324514991</v>
      </c>
    </row>
    <row r="602" spans="1:6" x14ac:dyDescent="0.3">
      <c r="A602" s="1" t="s">
        <v>16</v>
      </c>
      <c r="B602" s="1" t="s">
        <v>43</v>
      </c>
      <c r="C602" s="2" t="s">
        <v>12</v>
      </c>
      <c r="D602" s="1" t="s">
        <v>11</v>
      </c>
      <c r="E602" s="1" t="s">
        <v>44</v>
      </c>
      <c r="F602" s="1">
        <v>191410.62999999899</v>
      </c>
    </row>
    <row r="603" spans="1:6" x14ac:dyDescent="0.3">
      <c r="A603" s="3" t="s">
        <v>16</v>
      </c>
      <c r="B603" s="3" t="s">
        <v>43</v>
      </c>
      <c r="C603" s="4" t="s">
        <v>12</v>
      </c>
      <c r="D603" s="3" t="s">
        <v>11</v>
      </c>
      <c r="E603" s="3" t="s">
        <v>45</v>
      </c>
      <c r="F603" s="3">
        <v>425250</v>
      </c>
    </row>
    <row r="604" spans="1:6" x14ac:dyDescent="0.3">
      <c r="A604" s="1" t="s">
        <v>16</v>
      </c>
      <c r="B604" s="1" t="s">
        <v>43</v>
      </c>
      <c r="C604" s="2" t="s">
        <v>12</v>
      </c>
      <c r="D604" s="1" t="s">
        <v>11</v>
      </c>
      <c r="E604" s="1" t="s">
        <v>46</v>
      </c>
      <c r="F604" s="1">
        <v>189315</v>
      </c>
    </row>
    <row r="605" spans="1:6" x14ac:dyDescent="0.3">
      <c r="A605" s="3" t="s">
        <v>16</v>
      </c>
      <c r="B605" s="3" t="s">
        <v>43</v>
      </c>
      <c r="C605" s="4" t="s">
        <v>12</v>
      </c>
      <c r="D605" s="3" t="s">
        <v>11</v>
      </c>
      <c r="E605" s="3" t="s">
        <v>47</v>
      </c>
      <c r="F605" s="3">
        <v>5153.72</v>
      </c>
    </row>
    <row r="606" spans="1:6" x14ac:dyDescent="0.3">
      <c r="A606" s="1" t="s">
        <v>16</v>
      </c>
      <c r="B606" s="1" t="s">
        <v>43</v>
      </c>
      <c r="C606" s="2" t="s">
        <v>12</v>
      </c>
      <c r="D606" s="1" t="s">
        <v>11</v>
      </c>
      <c r="E606" s="1" t="s">
        <v>48</v>
      </c>
      <c r="F606" s="1">
        <v>39370.6499999999</v>
      </c>
    </row>
    <row r="607" spans="1:6" x14ac:dyDescent="0.3">
      <c r="A607" s="3" t="s">
        <v>16</v>
      </c>
      <c r="B607" s="3" t="s">
        <v>43</v>
      </c>
      <c r="C607" s="4" t="s">
        <v>12</v>
      </c>
      <c r="D607" s="3" t="s">
        <v>11</v>
      </c>
      <c r="E607" s="3" t="s">
        <v>49</v>
      </c>
      <c r="F607" s="3">
        <v>0.450113180482069</v>
      </c>
    </row>
    <row r="608" spans="1:6" x14ac:dyDescent="0.3">
      <c r="A608" s="1" t="s">
        <v>16</v>
      </c>
      <c r="B608" s="1" t="s">
        <v>43</v>
      </c>
      <c r="C608" s="2" t="s">
        <v>12</v>
      </c>
      <c r="D608" s="1" t="s">
        <v>1</v>
      </c>
      <c r="E608" s="1" t="s">
        <v>44</v>
      </c>
      <c r="F608" s="1">
        <v>361462.5</v>
      </c>
    </row>
    <row r="609" spans="1:6" x14ac:dyDescent="0.3">
      <c r="A609" s="3" t="s">
        <v>16</v>
      </c>
      <c r="B609" s="3" t="s">
        <v>43</v>
      </c>
      <c r="C609" s="4" t="s">
        <v>12</v>
      </c>
      <c r="D609" s="3" t="s">
        <v>1</v>
      </c>
      <c r="E609" s="3" t="s">
        <v>45</v>
      </c>
      <c r="F609" s="3">
        <v>361462.5</v>
      </c>
    </row>
    <row r="610" spans="1:6" x14ac:dyDescent="0.3">
      <c r="A610" s="1" t="s">
        <v>16</v>
      </c>
      <c r="B610" s="1" t="s">
        <v>43</v>
      </c>
      <c r="C610" s="2" t="s">
        <v>12</v>
      </c>
      <c r="D610" s="1" t="s">
        <v>1</v>
      </c>
      <c r="E610" s="1" t="s">
        <v>49</v>
      </c>
      <c r="F610" s="1">
        <v>1</v>
      </c>
    </row>
    <row r="611" spans="1:6" x14ac:dyDescent="0.3">
      <c r="A611" s="3" t="s">
        <v>16</v>
      </c>
      <c r="B611" s="3" t="s">
        <v>43</v>
      </c>
      <c r="C611" s="4" t="s">
        <v>12</v>
      </c>
      <c r="D611" s="3" t="s">
        <v>6</v>
      </c>
      <c r="E611" s="3" t="s">
        <v>44</v>
      </c>
      <c r="F611" s="3">
        <v>361462.5</v>
      </c>
    </row>
    <row r="612" spans="1:6" x14ac:dyDescent="0.3">
      <c r="A612" s="1" t="s">
        <v>16</v>
      </c>
      <c r="B612" s="1" t="s">
        <v>43</v>
      </c>
      <c r="C612" s="2" t="s">
        <v>12</v>
      </c>
      <c r="D612" s="1" t="s">
        <v>6</v>
      </c>
      <c r="E612" s="1" t="s">
        <v>45</v>
      </c>
      <c r="F612" s="1">
        <v>361462.5</v>
      </c>
    </row>
    <row r="613" spans="1:6" x14ac:dyDescent="0.3">
      <c r="A613" s="3" t="s">
        <v>16</v>
      </c>
      <c r="B613" s="3" t="s">
        <v>43</v>
      </c>
      <c r="C613" s="4" t="s">
        <v>12</v>
      </c>
      <c r="D613" s="3" t="s">
        <v>6</v>
      </c>
      <c r="E613" s="3" t="s">
        <v>49</v>
      </c>
      <c r="F613" s="3">
        <v>1</v>
      </c>
    </row>
    <row r="614" spans="1:6" x14ac:dyDescent="0.3">
      <c r="A614" s="1" t="s">
        <v>16</v>
      </c>
      <c r="B614" s="1" t="s">
        <v>43</v>
      </c>
      <c r="C614" s="2" t="s">
        <v>12</v>
      </c>
      <c r="D614" s="1" t="s">
        <v>9</v>
      </c>
      <c r="E614" s="1" t="s">
        <v>44</v>
      </c>
      <c r="F614" s="1">
        <v>361462.5</v>
      </c>
    </row>
    <row r="615" spans="1:6" x14ac:dyDescent="0.3">
      <c r="A615" s="3" t="s">
        <v>16</v>
      </c>
      <c r="B615" s="3" t="s">
        <v>43</v>
      </c>
      <c r="C615" s="4" t="s">
        <v>12</v>
      </c>
      <c r="D615" s="3" t="s">
        <v>9</v>
      </c>
      <c r="E615" s="3" t="s">
        <v>45</v>
      </c>
      <c r="F615" s="3">
        <v>361462.5</v>
      </c>
    </row>
    <row r="616" spans="1:6" x14ac:dyDescent="0.3">
      <c r="A616" s="1" t="s">
        <v>16</v>
      </c>
      <c r="B616" s="1" t="s">
        <v>43</v>
      </c>
      <c r="C616" s="2" t="s">
        <v>12</v>
      </c>
      <c r="D616" s="1" t="s">
        <v>9</v>
      </c>
      <c r="E616" s="1" t="s">
        <v>49</v>
      </c>
      <c r="F616" s="1">
        <v>1</v>
      </c>
    </row>
    <row r="617" spans="1:6" x14ac:dyDescent="0.3">
      <c r="A617" s="3" t="s">
        <v>16</v>
      </c>
      <c r="B617" s="3" t="s">
        <v>43</v>
      </c>
      <c r="C617" s="4" t="s">
        <v>12</v>
      </c>
      <c r="D617" s="3" t="s">
        <v>11</v>
      </c>
      <c r="E617" s="3" t="s">
        <v>44</v>
      </c>
      <c r="F617" s="3">
        <v>361462.5</v>
      </c>
    </row>
    <row r="618" spans="1:6" x14ac:dyDescent="0.3">
      <c r="A618" s="1" t="s">
        <v>16</v>
      </c>
      <c r="B618" s="1" t="s">
        <v>43</v>
      </c>
      <c r="C618" s="2" t="s">
        <v>12</v>
      </c>
      <c r="D618" s="1" t="s">
        <v>11</v>
      </c>
      <c r="E618" s="1" t="s">
        <v>45</v>
      </c>
      <c r="F618" s="1">
        <v>361462.5</v>
      </c>
    </row>
    <row r="619" spans="1:6" x14ac:dyDescent="0.3">
      <c r="A619" s="3" t="s">
        <v>16</v>
      </c>
      <c r="B619" s="3" t="s">
        <v>43</v>
      </c>
      <c r="C619" s="4" t="s">
        <v>12</v>
      </c>
      <c r="D619" s="3" t="s">
        <v>11</v>
      </c>
      <c r="E619" s="3" t="s">
        <v>49</v>
      </c>
      <c r="F619" s="3">
        <v>1</v>
      </c>
    </row>
    <row r="620" spans="1:6" x14ac:dyDescent="0.3">
      <c r="A620" s="1" t="s">
        <v>16</v>
      </c>
      <c r="B620" s="1" t="s">
        <v>43</v>
      </c>
      <c r="C620" s="2" t="s">
        <v>12</v>
      </c>
      <c r="D620" s="1" t="s">
        <v>1</v>
      </c>
      <c r="E620" s="1" t="s">
        <v>44</v>
      </c>
      <c r="F620" s="1">
        <v>-38623.569999999898</v>
      </c>
    </row>
    <row r="621" spans="1:6" x14ac:dyDescent="0.3">
      <c r="A621" s="3" t="s">
        <v>16</v>
      </c>
      <c r="B621" s="3" t="s">
        <v>43</v>
      </c>
      <c r="C621" s="4" t="s">
        <v>12</v>
      </c>
      <c r="D621" s="3" t="s">
        <v>1</v>
      </c>
      <c r="E621" s="3" t="s">
        <v>45</v>
      </c>
      <c r="F621" s="3">
        <v>191362.5</v>
      </c>
    </row>
    <row r="622" spans="1:6" x14ac:dyDescent="0.3">
      <c r="A622" s="1" t="s">
        <v>16</v>
      </c>
      <c r="B622" s="1" t="s">
        <v>43</v>
      </c>
      <c r="C622" s="2" t="s">
        <v>12</v>
      </c>
      <c r="D622" s="1" t="s">
        <v>1</v>
      </c>
      <c r="E622" s="1" t="s">
        <v>46</v>
      </c>
      <c r="F622" s="1">
        <v>189315</v>
      </c>
    </row>
    <row r="623" spans="1:6" x14ac:dyDescent="0.3">
      <c r="A623" s="3" t="s">
        <v>16</v>
      </c>
      <c r="B623" s="3" t="s">
        <v>43</v>
      </c>
      <c r="C623" s="4" t="s">
        <v>12</v>
      </c>
      <c r="D623" s="3" t="s">
        <v>1</v>
      </c>
      <c r="E623" s="3" t="s">
        <v>47</v>
      </c>
      <c r="F623" s="3">
        <v>1300.4199999999901</v>
      </c>
    </row>
    <row r="624" spans="1:6" x14ac:dyDescent="0.3">
      <c r="A624" s="1" t="s">
        <v>16</v>
      </c>
      <c r="B624" s="1" t="s">
        <v>43</v>
      </c>
      <c r="C624" s="2" t="s">
        <v>12</v>
      </c>
      <c r="D624" s="1" t="s">
        <v>1</v>
      </c>
      <c r="E624" s="1" t="s">
        <v>48</v>
      </c>
      <c r="F624" s="1">
        <v>39370.6499999999</v>
      </c>
    </row>
    <row r="625" spans="1:6" x14ac:dyDescent="0.3">
      <c r="A625" s="3" t="s">
        <v>16</v>
      </c>
      <c r="B625" s="3" t="s">
        <v>43</v>
      </c>
      <c r="C625" s="4" t="s">
        <v>12</v>
      </c>
      <c r="D625" s="3" t="s">
        <v>1</v>
      </c>
      <c r="E625" s="3" t="s">
        <v>49</v>
      </c>
      <c r="F625" s="3">
        <v>-0.20183458096544499</v>
      </c>
    </row>
    <row r="626" spans="1:6" x14ac:dyDescent="0.3">
      <c r="A626" s="1" t="s">
        <v>16</v>
      </c>
      <c r="B626" s="1" t="s">
        <v>43</v>
      </c>
      <c r="C626" s="2" t="s">
        <v>12</v>
      </c>
      <c r="D626" s="1" t="s">
        <v>6</v>
      </c>
      <c r="E626" s="1" t="s">
        <v>44</v>
      </c>
      <c r="F626" s="1">
        <v>57107.619999999901</v>
      </c>
    </row>
    <row r="627" spans="1:6" x14ac:dyDescent="0.3">
      <c r="A627" s="3" t="s">
        <v>16</v>
      </c>
      <c r="B627" s="3" t="s">
        <v>43</v>
      </c>
      <c r="C627" s="4" t="s">
        <v>12</v>
      </c>
      <c r="D627" s="3" t="s">
        <v>6</v>
      </c>
      <c r="E627" s="3" t="s">
        <v>45</v>
      </c>
      <c r="F627" s="3">
        <v>287043.74999999901</v>
      </c>
    </row>
    <row r="628" spans="1:6" x14ac:dyDescent="0.3">
      <c r="A628" s="1" t="s">
        <v>16</v>
      </c>
      <c r="B628" s="1" t="s">
        <v>43</v>
      </c>
      <c r="C628" s="2" t="s">
        <v>12</v>
      </c>
      <c r="D628" s="1" t="s">
        <v>6</v>
      </c>
      <c r="E628" s="1" t="s">
        <v>46</v>
      </c>
      <c r="F628" s="1">
        <v>189315</v>
      </c>
    </row>
    <row r="629" spans="1:6" x14ac:dyDescent="0.3">
      <c r="A629" s="3" t="s">
        <v>16</v>
      </c>
      <c r="B629" s="3" t="s">
        <v>43</v>
      </c>
      <c r="C629" s="4" t="s">
        <v>12</v>
      </c>
      <c r="D629" s="3" t="s">
        <v>6</v>
      </c>
      <c r="E629" s="3" t="s">
        <v>47</v>
      </c>
      <c r="F629" s="3">
        <v>1250.48</v>
      </c>
    </row>
    <row r="630" spans="1:6" x14ac:dyDescent="0.3">
      <c r="A630" s="1" t="s">
        <v>16</v>
      </c>
      <c r="B630" s="1" t="s">
        <v>43</v>
      </c>
      <c r="C630" s="2" t="s">
        <v>12</v>
      </c>
      <c r="D630" s="1" t="s">
        <v>6</v>
      </c>
      <c r="E630" s="1" t="s">
        <v>48</v>
      </c>
      <c r="F630" s="1">
        <v>39370.6499999999</v>
      </c>
    </row>
    <row r="631" spans="1:6" x14ac:dyDescent="0.3">
      <c r="A631" s="3" t="s">
        <v>16</v>
      </c>
      <c r="B631" s="3" t="s">
        <v>43</v>
      </c>
      <c r="C631" s="4" t="s">
        <v>12</v>
      </c>
      <c r="D631" s="3" t="s">
        <v>6</v>
      </c>
      <c r="E631" s="3" t="s">
        <v>49</v>
      </c>
      <c r="F631" s="3">
        <v>0.19895092647026799</v>
      </c>
    </row>
    <row r="632" spans="1:6" x14ac:dyDescent="0.3">
      <c r="A632" s="1" t="s">
        <v>16</v>
      </c>
      <c r="B632" s="1" t="s">
        <v>43</v>
      </c>
      <c r="C632" s="2" t="s">
        <v>12</v>
      </c>
      <c r="D632" s="1" t="s">
        <v>9</v>
      </c>
      <c r="E632" s="1" t="s">
        <v>44</v>
      </c>
      <c r="F632" s="1">
        <v>152688.549999999</v>
      </c>
    </row>
    <row r="633" spans="1:6" x14ac:dyDescent="0.3">
      <c r="A633" s="3" t="s">
        <v>16</v>
      </c>
      <c r="B633" s="3" t="s">
        <v>43</v>
      </c>
      <c r="C633" s="4" t="s">
        <v>12</v>
      </c>
      <c r="D633" s="3" t="s">
        <v>9</v>
      </c>
      <c r="E633" s="3" t="s">
        <v>45</v>
      </c>
      <c r="F633" s="3">
        <v>382725</v>
      </c>
    </row>
    <row r="634" spans="1:6" x14ac:dyDescent="0.3">
      <c r="A634" s="1" t="s">
        <v>16</v>
      </c>
      <c r="B634" s="1" t="s">
        <v>43</v>
      </c>
      <c r="C634" s="2" t="s">
        <v>12</v>
      </c>
      <c r="D634" s="1" t="s">
        <v>9</v>
      </c>
      <c r="E634" s="1" t="s">
        <v>46</v>
      </c>
      <c r="F634" s="1">
        <v>189315</v>
      </c>
    </row>
    <row r="635" spans="1:6" x14ac:dyDescent="0.3">
      <c r="A635" s="3" t="s">
        <v>16</v>
      </c>
      <c r="B635" s="3" t="s">
        <v>43</v>
      </c>
      <c r="C635" s="4" t="s">
        <v>12</v>
      </c>
      <c r="D635" s="3" t="s">
        <v>9</v>
      </c>
      <c r="E635" s="3" t="s">
        <v>47</v>
      </c>
      <c r="F635" s="3">
        <v>1350.8</v>
      </c>
    </row>
    <row r="636" spans="1:6" x14ac:dyDescent="0.3">
      <c r="A636" s="1" t="s">
        <v>16</v>
      </c>
      <c r="B636" s="1" t="s">
        <v>43</v>
      </c>
      <c r="C636" s="2" t="s">
        <v>12</v>
      </c>
      <c r="D636" s="1" t="s">
        <v>9</v>
      </c>
      <c r="E636" s="1" t="s">
        <v>48</v>
      </c>
      <c r="F636" s="1">
        <v>39370.6499999999</v>
      </c>
    </row>
    <row r="637" spans="1:6" x14ac:dyDescent="0.3">
      <c r="A637" s="3" t="s">
        <v>16</v>
      </c>
      <c r="B637" s="3" t="s">
        <v>43</v>
      </c>
      <c r="C637" s="4" t="s">
        <v>12</v>
      </c>
      <c r="D637" s="3" t="s">
        <v>9</v>
      </c>
      <c r="E637" s="3" t="s">
        <v>49</v>
      </c>
      <c r="F637" s="3">
        <v>0.398951074531321</v>
      </c>
    </row>
    <row r="638" spans="1:6" x14ac:dyDescent="0.3">
      <c r="A638" s="1" t="s">
        <v>16</v>
      </c>
      <c r="B638" s="1" t="s">
        <v>43</v>
      </c>
      <c r="C638" s="2" t="s">
        <v>12</v>
      </c>
      <c r="D638" s="1" t="s">
        <v>11</v>
      </c>
      <c r="E638" s="1" t="s">
        <v>44</v>
      </c>
      <c r="F638" s="1">
        <v>248019.99999999901</v>
      </c>
    </row>
    <row r="639" spans="1:6" x14ac:dyDescent="0.3">
      <c r="A639" s="3" t="s">
        <v>16</v>
      </c>
      <c r="B639" s="3" t="s">
        <v>43</v>
      </c>
      <c r="C639" s="4" t="s">
        <v>12</v>
      </c>
      <c r="D639" s="3" t="s">
        <v>11</v>
      </c>
      <c r="E639" s="3" t="s">
        <v>45</v>
      </c>
      <c r="F639" s="3">
        <v>478406.24999999901</v>
      </c>
    </row>
    <row r="640" spans="1:6" x14ac:dyDescent="0.3">
      <c r="A640" s="1" t="s">
        <v>16</v>
      </c>
      <c r="B640" s="1" t="s">
        <v>43</v>
      </c>
      <c r="C640" s="2" t="s">
        <v>12</v>
      </c>
      <c r="D640" s="1" t="s">
        <v>11</v>
      </c>
      <c r="E640" s="1" t="s">
        <v>46</v>
      </c>
      <c r="F640" s="1">
        <v>189315</v>
      </c>
    </row>
    <row r="641" spans="1:6" x14ac:dyDescent="0.3">
      <c r="A641" s="3" t="s">
        <v>16</v>
      </c>
      <c r="B641" s="3" t="s">
        <v>43</v>
      </c>
      <c r="C641" s="4" t="s">
        <v>12</v>
      </c>
      <c r="D641" s="3" t="s">
        <v>11</v>
      </c>
      <c r="E641" s="3" t="s">
        <v>47</v>
      </c>
      <c r="F641" s="3">
        <v>1700.5999999999899</v>
      </c>
    </row>
    <row r="642" spans="1:6" x14ac:dyDescent="0.3">
      <c r="A642" s="1" t="s">
        <v>16</v>
      </c>
      <c r="B642" s="1" t="s">
        <v>43</v>
      </c>
      <c r="C642" s="2" t="s">
        <v>12</v>
      </c>
      <c r="D642" s="1" t="s">
        <v>11</v>
      </c>
      <c r="E642" s="1" t="s">
        <v>48</v>
      </c>
      <c r="F642" s="1">
        <v>39370.6499999999</v>
      </c>
    </row>
    <row r="643" spans="1:6" x14ac:dyDescent="0.3">
      <c r="A643" s="3" t="s">
        <v>16</v>
      </c>
      <c r="B643" s="3" t="s">
        <v>43</v>
      </c>
      <c r="C643" s="4" t="s">
        <v>12</v>
      </c>
      <c r="D643" s="3" t="s">
        <v>11</v>
      </c>
      <c r="E643" s="3" t="s">
        <v>49</v>
      </c>
      <c r="F643" s="3">
        <v>0.51842968188647098</v>
      </c>
    </row>
    <row r="644" spans="1:6" x14ac:dyDescent="0.3">
      <c r="A644" s="1" t="s">
        <v>16</v>
      </c>
      <c r="B644" s="1" t="s">
        <v>50</v>
      </c>
      <c r="C644" s="2" t="s">
        <v>12</v>
      </c>
      <c r="D644" s="1" t="s">
        <v>1</v>
      </c>
      <c r="E644" s="1" t="s">
        <v>44</v>
      </c>
      <c r="F644" s="1">
        <v>6300000</v>
      </c>
    </row>
    <row r="645" spans="1:6" x14ac:dyDescent="0.3">
      <c r="A645" s="3" t="s">
        <v>16</v>
      </c>
      <c r="B645" s="3" t="s">
        <v>50</v>
      </c>
      <c r="C645" s="4" t="s">
        <v>12</v>
      </c>
      <c r="D645" s="3" t="s">
        <v>1</v>
      </c>
      <c r="E645" s="3" t="s">
        <v>45</v>
      </c>
      <c r="F645" s="3">
        <v>6300000</v>
      </c>
    </row>
    <row r="646" spans="1:6" x14ac:dyDescent="0.3">
      <c r="A646" s="1" t="s">
        <v>16</v>
      </c>
      <c r="B646" s="1" t="s">
        <v>50</v>
      </c>
      <c r="C646" s="2" t="s">
        <v>12</v>
      </c>
      <c r="D646" s="1" t="s">
        <v>1</v>
      </c>
      <c r="E646" s="1" t="s">
        <v>49</v>
      </c>
      <c r="F646" s="1">
        <v>1</v>
      </c>
    </row>
    <row r="647" spans="1:6" x14ac:dyDescent="0.3">
      <c r="A647" s="3" t="s">
        <v>16</v>
      </c>
      <c r="B647" s="3" t="s">
        <v>50</v>
      </c>
      <c r="C647" s="4" t="s">
        <v>12</v>
      </c>
      <c r="D647" s="3" t="s">
        <v>6</v>
      </c>
      <c r="E647" s="3" t="s">
        <v>44</v>
      </c>
      <c r="F647" s="3">
        <v>6300000</v>
      </c>
    </row>
    <row r="648" spans="1:6" x14ac:dyDescent="0.3">
      <c r="A648" s="1" t="s">
        <v>16</v>
      </c>
      <c r="B648" s="1" t="s">
        <v>50</v>
      </c>
      <c r="C648" s="2" t="s">
        <v>12</v>
      </c>
      <c r="D648" s="1" t="s">
        <v>6</v>
      </c>
      <c r="E648" s="1" t="s">
        <v>45</v>
      </c>
      <c r="F648" s="1">
        <v>6300000</v>
      </c>
    </row>
    <row r="649" spans="1:6" x14ac:dyDescent="0.3">
      <c r="A649" s="3" t="s">
        <v>16</v>
      </c>
      <c r="B649" s="3" t="s">
        <v>50</v>
      </c>
      <c r="C649" s="4" t="s">
        <v>12</v>
      </c>
      <c r="D649" s="3" t="s">
        <v>6</v>
      </c>
      <c r="E649" s="3" t="s">
        <v>49</v>
      </c>
      <c r="F649" s="3">
        <v>1</v>
      </c>
    </row>
    <row r="650" spans="1:6" x14ac:dyDescent="0.3">
      <c r="A650" s="1" t="s">
        <v>16</v>
      </c>
      <c r="B650" s="1" t="s">
        <v>50</v>
      </c>
      <c r="C650" s="2" t="s">
        <v>12</v>
      </c>
      <c r="D650" s="1" t="s">
        <v>9</v>
      </c>
      <c r="E650" s="1" t="s">
        <v>44</v>
      </c>
      <c r="F650" s="1">
        <v>6600000</v>
      </c>
    </row>
    <row r="651" spans="1:6" x14ac:dyDescent="0.3">
      <c r="A651" s="3" t="s">
        <v>16</v>
      </c>
      <c r="B651" s="3" t="s">
        <v>50</v>
      </c>
      <c r="C651" s="4" t="s">
        <v>12</v>
      </c>
      <c r="D651" s="3" t="s">
        <v>9</v>
      </c>
      <c r="E651" s="3" t="s">
        <v>45</v>
      </c>
      <c r="F651" s="3">
        <v>6600000</v>
      </c>
    </row>
    <row r="652" spans="1:6" x14ac:dyDescent="0.3">
      <c r="A652" s="1" t="s">
        <v>16</v>
      </c>
      <c r="B652" s="1" t="s">
        <v>50</v>
      </c>
      <c r="C652" s="2" t="s">
        <v>12</v>
      </c>
      <c r="D652" s="1" t="s">
        <v>9</v>
      </c>
      <c r="E652" s="1" t="s">
        <v>49</v>
      </c>
      <c r="F652" s="1">
        <v>1</v>
      </c>
    </row>
    <row r="653" spans="1:6" x14ac:dyDescent="0.3">
      <c r="A653" s="3" t="s">
        <v>16</v>
      </c>
      <c r="B653" s="3" t="s">
        <v>50</v>
      </c>
      <c r="C653" s="4" t="s">
        <v>12</v>
      </c>
      <c r="D653" s="3" t="s">
        <v>11</v>
      </c>
      <c r="E653" s="3" t="s">
        <v>44</v>
      </c>
      <c r="F653" s="3">
        <v>6750000</v>
      </c>
    </row>
    <row r="654" spans="1:6" x14ac:dyDescent="0.3">
      <c r="A654" s="1" t="s">
        <v>16</v>
      </c>
      <c r="B654" s="1" t="s">
        <v>50</v>
      </c>
      <c r="C654" s="2" t="s">
        <v>12</v>
      </c>
      <c r="D654" s="1" t="s">
        <v>11</v>
      </c>
      <c r="E654" s="1" t="s">
        <v>45</v>
      </c>
      <c r="F654" s="1">
        <v>6750000</v>
      </c>
    </row>
    <row r="655" spans="1:6" x14ac:dyDescent="0.3">
      <c r="A655" s="3" t="s">
        <v>16</v>
      </c>
      <c r="B655" s="3" t="s">
        <v>50</v>
      </c>
      <c r="C655" s="4" t="s">
        <v>12</v>
      </c>
      <c r="D655" s="3" t="s">
        <v>11</v>
      </c>
      <c r="E655" s="3" t="s">
        <v>49</v>
      </c>
      <c r="F655" s="3">
        <v>1</v>
      </c>
    </row>
    <row r="656" spans="1:6" x14ac:dyDescent="0.3">
      <c r="A656" s="1" t="s">
        <v>16</v>
      </c>
      <c r="B656" s="1" t="s">
        <v>50</v>
      </c>
      <c r="C656" s="2" t="s">
        <v>12</v>
      </c>
      <c r="D656" s="1" t="s">
        <v>1</v>
      </c>
      <c r="E656" s="1" t="s">
        <v>44</v>
      </c>
      <c r="F656" s="1">
        <v>26997.0799999999</v>
      </c>
    </row>
    <row r="657" spans="1:6" x14ac:dyDescent="0.3">
      <c r="A657" s="3" t="s">
        <v>16</v>
      </c>
      <c r="B657" s="3" t="s">
        <v>50</v>
      </c>
      <c r="C657" s="4" t="s">
        <v>12</v>
      </c>
      <c r="D657" s="3" t="s">
        <v>1</v>
      </c>
      <c r="E657" s="3" t="s">
        <v>45</v>
      </c>
      <c r="F657" s="3">
        <v>191362.5</v>
      </c>
    </row>
    <row r="658" spans="1:6" x14ac:dyDescent="0.3">
      <c r="A658" s="1" t="s">
        <v>16</v>
      </c>
      <c r="B658" s="1" t="s">
        <v>50</v>
      </c>
      <c r="C658" s="2" t="s">
        <v>12</v>
      </c>
      <c r="D658" s="1" t="s">
        <v>1</v>
      </c>
      <c r="E658" s="1" t="s">
        <v>46</v>
      </c>
      <c r="F658" s="1">
        <v>76440</v>
      </c>
    </row>
    <row r="659" spans="1:6" x14ac:dyDescent="0.3">
      <c r="A659" s="3" t="s">
        <v>16</v>
      </c>
      <c r="B659" s="3" t="s">
        <v>50</v>
      </c>
      <c r="C659" s="4" t="s">
        <v>12</v>
      </c>
      <c r="D659" s="3" t="s">
        <v>1</v>
      </c>
      <c r="E659" s="3" t="s">
        <v>47</v>
      </c>
      <c r="F659" s="3">
        <v>1300.4199999999901</v>
      </c>
    </row>
    <row r="660" spans="1:6" x14ac:dyDescent="0.3">
      <c r="A660" s="1" t="s">
        <v>16</v>
      </c>
      <c r="B660" s="1" t="s">
        <v>50</v>
      </c>
      <c r="C660" s="2" t="s">
        <v>12</v>
      </c>
      <c r="D660" s="1" t="s">
        <v>1</v>
      </c>
      <c r="E660" s="1" t="s">
        <v>48</v>
      </c>
      <c r="F660" s="1">
        <v>86625</v>
      </c>
    </row>
    <row r="661" spans="1:6" x14ac:dyDescent="0.3">
      <c r="A661" s="3" t="s">
        <v>16</v>
      </c>
      <c r="B661" s="3" t="s">
        <v>50</v>
      </c>
      <c r="C661" s="4" t="s">
        <v>12</v>
      </c>
      <c r="D661" s="3" t="s">
        <v>1</v>
      </c>
      <c r="E661" s="3" t="s">
        <v>49</v>
      </c>
      <c r="F661" s="3">
        <v>0.141078215428832</v>
      </c>
    </row>
    <row r="662" spans="1:6" x14ac:dyDescent="0.3">
      <c r="A662" s="1" t="s">
        <v>16</v>
      </c>
      <c r="B662" s="1" t="s">
        <v>50</v>
      </c>
      <c r="C662" s="2" t="s">
        <v>12</v>
      </c>
      <c r="D662" s="1" t="s">
        <v>6</v>
      </c>
      <c r="E662" s="1" t="s">
        <v>44</v>
      </c>
      <c r="F662" s="1">
        <v>29987.019999999899</v>
      </c>
    </row>
    <row r="663" spans="1:6" x14ac:dyDescent="0.3">
      <c r="A663" s="3" t="s">
        <v>16</v>
      </c>
      <c r="B663" s="3" t="s">
        <v>50</v>
      </c>
      <c r="C663" s="4" t="s">
        <v>12</v>
      </c>
      <c r="D663" s="3" t="s">
        <v>6</v>
      </c>
      <c r="E663" s="3" t="s">
        <v>45</v>
      </c>
      <c r="F663" s="3">
        <v>191362.5</v>
      </c>
    </row>
    <row r="664" spans="1:6" x14ac:dyDescent="0.3">
      <c r="A664" s="1" t="s">
        <v>16</v>
      </c>
      <c r="B664" s="1" t="s">
        <v>50</v>
      </c>
      <c r="C664" s="2" t="s">
        <v>12</v>
      </c>
      <c r="D664" s="1" t="s">
        <v>6</v>
      </c>
      <c r="E664" s="1" t="s">
        <v>46</v>
      </c>
      <c r="F664" s="1">
        <v>73500</v>
      </c>
    </row>
    <row r="665" spans="1:6" x14ac:dyDescent="0.3">
      <c r="A665" s="3" t="s">
        <v>16</v>
      </c>
      <c r="B665" s="3" t="s">
        <v>50</v>
      </c>
      <c r="C665" s="4" t="s">
        <v>12</v>
      </c>
      <c r="D665" s="3" t="s">
        <v>6</v>
      </c>
      <c r="E665" s="3" t="s">
        <v>47</v>
      </c>
      <c r="F665" s="3">
        <v>1250.48</v>
      </c>
    </row>
    <row r="666" spans="1:6" x14ac:dyDescent="0.3">
      <c r="A666" s="1" t="s">
        <v>16</v>
      </c>
      <c r="B666" s="1" t="s">
        <v>50</v>
      </c>
      <c r="C666" s="2" t="s">
        <v>12</v>
      </c>
      <c r="D666" s="1" t="s">
        <v>6</v>
      </c>
      <c r="E666" s="1" t="s">
        <v>48</v>
      </c>
      <c r="F666" s="1">
        <v>86625</v>
      </c>
    </row>
    <row r="667" spans="1:6" x14ac:dyDescent="0.3">
      <c r="A667" s="3" t="s">
        <v>16</v>
      </c>
      <c r="B667" s="3" t="s">
        <v>50</v>
      </c>
      <c r="C667" s="4" t="s">
        <v>12</v>
      </c>
      <c r="D667" s="3" t="s">
        <v>6</v>
      </c>
      <c r="E667" s="3" t="s">
        <v>49</v>
      </c>
      <c r="F667" s="3">
        <v>0.156702697759487</v>
      </c>
    </row>
    <row r="668" spans="1:6" x14ac:dyDescent="0.3">
      <c r="A668" s="1" t="s">
        <v>16</v>
      </c>
      <c r="B668" s="1" t="s">
        <v>50</v>
      </c>
      <c r="C668" s="2" t="s">
        <v>12</v>
      </c>
      <c r="D668" s="1" t="s">
        <v>9</v>
      </c>
      <c r="E668" s="1" t="s">
        <v>44</v>
      </c>
      <c r="F668" s="1">
        <v>24006.7</v>
      </c>
    </row>
    <row r="669" spans="1:6" x14ac:dyDescent="0.3">
      <c r="A669" s="3" t="s">
        <v>16</v>
      </c>
      <c r="B669" s="3" t="s">
        <v>50</v>
      </c>
      <c r="C669" s="4" t="s">
        <v>12</v>
      </c>
      <c r="D669" s="3" t="s">
        <v>9</v>
      </c>
      <c r="E669" s="3" t="s">
        <v>45</v>
      </c>
      <c r="F669" s="3">
        <v>191362.5</v>
      </c>
    </row>
    <row r="670" spans="1:6" x14ac:dyDescent="0.3">
      <c r="A670" s="1" t="s">
        <v>16</v>
      </c>
      <c r="B670" s="1" t="s">
        <v>50</v>
      </c>
      <c r="C670" s="2" t="s">
        <v>12</v>
      </c>
      <c r="D670" s="1" t="s">
        <v>9</v>
      </c>
      <c r="E670" s="1" t="s">
        <v>46</v>
      </c>
      <c r="F670" s="1">
        <v>79380</v>
      </c>
    </row>
    <row r="671" spans="1:6" x14ac:dyDescent="0.3">
      <c r="A671" s="3" t="s">
        <v>16</v>
      </c>
      <c r="B671" s="3" t="s">
        <v>50</v>
      </c>
      <c r="C671" s="4" t="s">
        <v>12</v>
      </c>
      <c r="D671" s="3" t="s">
        <v>9</v>
      </c>
      <c r="E671" s="3" t="s">
        <v>47</v>
      </c>
      <c r="F671" s="3">
        <v>1350.8</v>
      </c>
    </row>
    <row r="672" spans="1:6" x14ac:dyDescent="0.3">
      <c r="A672" s="1" t="s">
        <v>16</v>
      </c>
      <c r="B672" s="1" t="s">
        <v>50</v>
      </c>
      <c r="C672" s="2" t="s">
        <v>12</v>
      </c>
      <c r="D672" s="1" t="s">
        <v>9</v>
      </c>
      <c r="E672" s="1" t="s">
        <v>48</v>
      </c>
      <c r="F672" s="1">
        <v>86625</v>
      </c>
    </row>
    <row r="673" spans="1:6" x14ac:dyDescent="0.3">
      <c r="A673" s="3" t="s">
        <v>16</v>
      </c>
      <c r="B673" s="3" t="s">
        <v>50</v>
      </c>
      <c r="C673" s="4" t="s">
        <v>12</v>
      </c>
      <c r="D673" s="3" t="s">
        <v>9</v>
      </c>
      <c r="E673" s="3" t="s">
        <v>49</v>
      </c>
      <c r="F673" s="3">
        <v>0.12545143379711199</v>
      </c>
    </row>
    <row r="674" spans="1:6" x14ac:dyDescent="0.3">
      <c r="A674" s="1" t="s">
        <v>16</v>
      </c>
      <c r="B674" s="1" t="s">
        <v>50</v>
      </c>
      <c r="C674" s="2" t="s">
        <v>12</v>
      </c>
      <c r="D674" s="1" t="s">
        <v>11</v>
      </c>
      <c r="E674" s="1" t="s">
        <v>44</v>
      </c>
      <c r="F674" s="1">
        <v>3076.8999999999901</v>
      </c>
    </row>
    <row r="675" spans="1:6" x14ac:dyDescent="0.3">
      <c r="A675" s="3" t="s">
        <v>16</v>
      </c>
      <c r="B675" s="3" t="s">
        <v>50</v>
      </c>
      <c r="C675" s="4" t="s">
        <v>12</v>
      </c>
      <c r="D675" s="3" t="s">
        <v>11</v>
      </c>
      <c r="E675" s="3" t="s">
        <v>45</v>
      </c>
      <c r="F675" s="3">
        <v>191362.5</v>
      </c>
    </row>
    <row r="676" spans="1:6" x14ac:dyDescent="0.3">
      <c r="A676" s="1" t="s">
        <v>16</v>
      </c>
      <c r="B676" s="1" t="s">
        <v>50</v>
      </c>
      <c r="C676" s="2" t="s">
        <v>12</v>
      </c>
      <c r="D676" s="1" t="s">
        <v>11</v>
      </c>
      <c r="E676" s="1" t="s">
        <v>46</v>
      </c>
      <c r="F676" s="1">
        <v>99960</v>
      </c>
    </row>
    <row r="677" spans="1:6" x14ac:dyDescent="0.3">
      <c r="A677" s="3" t="s">
        <v>16</v>
      </c>
      <c r="B677" s="3" t="s">
        <v>50</v>
      </c>
      <c r="C677" s="4" t="s">
        <v>12</v>
      </c>
      <c r="D677" s="3" t="s">
        <v>11</v>
      </c>
      <c r="E677" s="3" t="s">
        <v>47</v>
      </c>
      <c r="F677" s="3">
        <v>1700.5999999999899</v>
      </c>
    </row>
    <row r="678" spans="1:6" x14ac:dyDescent="0.3">
      <c r="A678" s="1" t="s">
        <v>16</v>
      </c>
      <c r="B678" s="1" t="s">
        <v>50</v>
      </c>
      <c r="C678" s="2" t="s">
        <v>12</v>
      </c>
      <c r="D678" s="1" t="s">
        <v>11</v>
      </c>
      <c r="E678" s="1" t="s">
        <v>48</v>
      </c>
      <c r="F678" s="1">
        <v>86625</v>
      </c>
    </row>
    <row r="679" spans="1:6" x14ac:dyDescent="0.3">
      <c r="A679" s="3" t="s">
        <v>16</v>
      </c>
      <c r="B679" s="3" t="s">
        <v>50</v>
      </c>
      <c r="C679" s="4" t="s">
        <v>12</v>
      </c>
      <c r="D679" s="3" t="s">
        <v>11</v>
      </c>
      <c r="E679" s="3" t="s">
        <v>49</v>
      </c>
      <c r="F679" s="3">
        <v>1.6078907831994199E-2</v>
      </c>
    </row>
    <row r="680" spans="1:6" x14ac:dyDescent="0.3">
      <c r="A680" s="1" t="s">
        <v>16</v>
      </c>
      <c r="B680" s="1" t="s">
        <v>50</v>
      </c>
      <c r="C680" s="2" t="s">
        <v>12</v>
      </c>
      <c r="D680" s="1" t="s">
        <v>1</v>
      </c>
      <c r="E680" s="1" t="s">
        <v>44</v>
      </c>
      <c r="F680" s="1">
        <v>-625257.679999999</v>
      </c>
    </row>
    <row r="681" spans="1:6" x14ac:dyDescent="0.3">
      <c r="A681" s="3" t="s">
        <v>16</v>
      </c>
      <c r="B681" s="3" t="s">
        <v>50</v>
      </c>
      <c r="C681" s="4" t="s">
        <v>12</v>
      </c>
      <c r="D681" s="3" t="s">
        <v>1</v>
      </c>
      <c r="E681" s="3" t="s">
        <v>45</v>
      </c>
      <c r="F681" s="3">
        <v>162658.799999999</v>
      </c>
    </row>
    <row r="682" spans="1:6" x14ac:dyDescent="0.3">
      <c r="A682" s="1" t="s">
        <v>16</v>
      </c>
      <c r="B682" s="1" t="s">
        <v>50</v>
      </c>
      <c r="C682" s="2" t="s">
        <v>12</v>
      </c>
      <c r="D682" s="1" t="s">
        <v>1</v>
      </c>
      <c r="E682" s="1" t="s">
        <v>46</v>
      </c>
      <c r="F682" s="1">
        <v>108780</v>
      </c>
    </row>
    <row r="683" spans="1:6" x14ac:dyDescent="0.3">
      <c r="A683" s="3" t="s">
        <v>16</v>
      </c>
      <c r="B683" s="3" t="s">
        <v>50</v>
      </c>
      <c r="C683" s="4" t="s">
        <v>12</v>
      </c>
      <c r="D683" s="3" t="s">
        <v>1</v>
      </c>
      <c r="E683" s="3" t="s">
        <v>47</v>
      </c>
      <c r="F683" s="3">
        <v>3941.0799999999899</v>
      </c>
    </row>
    <row r="684" spans="1:6" x14ac:dyDescent="0.3">
      <c r="A684" s="1" t="s">
        <v>16</v>
      </c>
      <c r="B684" s="1" t="s">
        <v>50</v>
      </c>
      <c r="C684" s="2" t="s">
        <v>12</v>
      </c>
      <c r="D684" s="1" t="s">
        <v>1</v>
      </c>
      <c r="E684" s="1" t="s">
        <v>48</v>
      </c>
      <c r="F684" s="1">
        <v>675195.39999999898</v>
      </c>
    </row>
    <row r="685" spans="1:6" x14ac:dyDescent="0.3">
      <c r="A685" s="3" t="s">
        <v>16</v>
      </c>
      <c r="B685" s="3" t="s">
        <v>50</v>
      </c>
      <c r="C685" s="4" t="s">
        <v>12</v>
      </c>
      <c r="D685" s="3" t="s">
        <v>1</v>
      </c>
      <c r="E685" s="3" t="s">
        <v>49</v>
      </c>
      <c r="F685" s="3">
        <v>-3.84398311065863</v>
      </c>
    </row>
    <row r="686" spans="1:6" x14ac:dyDescent="0.3">
      <c r="A686" s="1" t="s">
        <v>16</v>
      </c>
      <c r="B686" s="1" t="s">
        <v>50</v>
      </c>
      <c r="C686" s="2" t="s">
        <v>12</v>
      </c>
      <c r="D686" s="1" t="s">
        <v>6</v>
      </c>
      <c r="E686" s="1" t="s">
        <v>44</v>
      </c>
      <c r="F686" s="1">
        <v>-645104.44999999995</v>
      </c>
    </row>
    <row r="687" spans="1:6" x14ac:dyDescent="0.3">
      <c r="A687" s="3" t="s">
        <v>16</v>
      </c>
      <c r="B687" s="3" t="s">
        <v>50</v>
      </c>
      <c r="C687" s="4" t="s">
        <v>12</v>
      </c>
      <c r="D687" s="3" t="s">
        <v>6</v>
      </c>
      <c r="E687" s="3" t="s">
        <v>45</v>
      </c>
      <c r="F687" s="3">
        <v>243986.84999999899</v>
      </c>
    </row>
    <row r="688" spans="1:6" x14ac:dyDescent="0.3">
      <c r="A688" s="1" t="s">
        <v>16</v>
      </c>
      <c r="B688" s="1" t="s">
        <v>50</v>
      </c>
      <c r="C688" s="2" t="s">
        <v>12</v>
      </c>
      <c r="D688" s="1" t="s">
        <v>6</v>
      </c>
      <c r="E688" s="1" t="s">
        <v>46</v>
      </c>
      <c r="F688" s="1">
        <v>120540</v>
      </c>
    </row>
    <row r="689" spans="1:6" x14ac:dyDescent="0.3">
      <c r="A689" s="3" t="s">
        <v>16</v>
      </c>
      <c r="B689" s="3" t="s">
        <v>50</v>
      </c>
      <c r="C689" s="4" t="s">
        <v>12</v>
      </c>
      <c r="D689" s="3" t="s">
        <v>6</v>
      </c>
      <c r="E689" s="3" t="s">
        <v>47</v>
      </c>
      <c r="F689" s="3">
        <v>3789.49999999999</v>
      </c>
    </row>
    <row r="690" spans="1:6" x14ac:dyDescent="0.3">
      <c r="A690" s="1" t="s">
        <v>16</v>
      </c>
      <c r="B690" s="1" t="s">
        <v>50</v>
      </c>
      <c r="C690" s="2" t="s">
        <v>12</v>
      </c>
      <c r="D690" s="1" t="s">
        <v>6</v>
      </c>
      <c r="E690" s="1" t="s">
        <v>48</v>
      </c>
      <c r="F690" s="1">
        <v>764761.799999999</v>
      </c>
    </row>
    <row r="691" spans="1:6" x14ac:dyDescent="0.3">
      <c r="A691" s="3" t="s">
        <v>16</v>
      </c>
      <c r="B691" s="3" t="s">
        <v>50</v>
      </c>
      <c r="C691" s="4" t="s">
        <v>12</v>
      </c>
      <c r="D691" s="3" t="s">
        <v>6</v>
      </c>
      <c r="E691" s="3" t="s">
        <v>49</v>
      </c>
      <c r="F691" s="3">
        <v>-2.6440131916945502</v>
      </c>
    </row>
    <row r="692" spans="1:6" x14ac:dyDescent="0.3">
      <c r="A692" s="1" t="s">
        <v>16</v>
      </c>
      <c r="B692" s="1" t="s">
        <v>50</v>
      </c>
      <c r="C692" s="2" t="s">
        <v>12</v>
      </c>
      <c r="D692" s="1" t="s">
        <v>9</v>
      </c>
      <c r="E692" s="1" t="s">
        <v>44</v>
      </c>
      <c r="F692" s="1">
        <v>-617177.31000000006</v>
      </c>
    </row>
    <row r="693" spans="1:6" x14ac:dyDescent="0.3">
      <c r="A693" s="3" t="s">
        <v>16</v>
      </c>
      <c r="B693" s="3" t="s">
        <v>50</v>
      </c>
      <c r="C693" s="4" t="s">
        <v>12</v>
      </c>
      <c r="D693" s="3" t="s">
        <v>9</v>
      </c>
      <c r="E693" s="3" t="s">
        <v>45</v>
      </c>
      <c r="F693" s="3">
        <v>325316.25</v>
      </c>
    </row>
    <row r="694" spans="1:6" x14ac:dyDescent="0.3">
      <c r="A694" s="1" t="s">
        <v>16</v>
      </c>
      <c r="B694" s="1" t="s">
        <v>50</v>
      </c>
      <c r="C694" s="2" t="s">
        <v>12</v>
      </c>
      <c r="D694" s="1" t="s">
        <v>9</v>
      </c>
      <c r="E694" s="1" t="s">
        <v>46</v>
      </c>
      <c r="F694" s="1">
        <v>132300</v>
      </c>
    </row>
    <row r="695" spans="1:6" x14ac:dyDescent="0.3">
      <c r="A695" s="3" t="s">
        <v>16</v>
      </c>
      <c r="B695" s="3" t="s">
        <v>50</v>
      </c>
      <c r="C695" s="4" t="s">
        <v>12</v>
      </c>
      <c r="D695" s="3" t="s">
        <v>9</v>
      </c>
      <c r="E695" s="3" t="s">
        <v>47</v>
      </c>
      <c r="F695" s="3">
        <v>4092.66</v>
      </c>
    </row>
    <row r="696" spans="1:6" x14ac:dyDescent="0.3">
      <c r="A696" s="1" t="s">
        <v>16</v>
      </c>
      <c r="B696" s="1" t="s">
        <v>50</v>
      </c>
      <c r="C696" s="2" t="s">
        <v>12</v>
      </c>
      <c r="D696" s="1" t="s">
        <v>9</v>
      </c>
      <c r="E696" s="1" t="s">
        <v>48</v>
      </c>
      <c r="F696" s="1">
        <v>806100.9</v>
      </c>
    </row>
    <row r="697" spans="1:6" x14ac:dyDescent="0.3">
      <c r="A697" s="3" t="s">
        <v>16</v>
      </c>
      <c r="B697" s="3" t="s">
        <v>50</v>
      </c>
      <c r="C697" s="4" t="s">
        <v>12</v>
      </c>
      <c r="D697" s="3" t="s">
        <v>9</v>
      </c>
      <c r="E697" s="3" t="s">
        <v>49</v>
      </c>
      <c r="F697" s="3">
        <v>-1.89716102408041</v>
      </c>
    </row>
    <row r="698" spans="1:6" x14ac:dyDescent="0.3">
      <c r="A698" s="1" t="s">
        <v>16</v>
      </c>
      <c r="B698" s="1" t="s">
        <v>50</v>
      </c>
      <c r="C698" s="2" t="s">
        <v>12</v>
      </c>
      <c r="D698" s="1" t="s">
        <v>11</v>
      </c>
      <c r="E698" s="1" t="s">
        <v>44</v>
      </c>
      <c r="F698" s="1">
        <v>-605895.37</v>
      </c>
    </row>
    <row r="699" spans="1:6" x14ac:dyDescent="0.3">
      <c r="A699" s="3" t="s">
        <v>16</v>
      </c>
      <c r="B699" s="3" t="s">
        <v>50</v>
      </c>
      <c r="C699" s="4" t="s">
        <v>12</v>
      </c>
      <c r="D699" s="3" t="s">
        <v>11</v>
      </c>
      <c r="E699" s="3" t="s">
        <v>45</v>
      </c>
      <c r="F699" s="3">
        <v>406645.64999999898</v>
      </c>
    </row>
    <row r="700" spans="1:6" x14ac:dyDescent="0.3">
      <c r="A700" s="1" t="s">
        <v>16</v>
      </c>
      <c r="B700" s="1" t="s">
        <v>50</v>
      </c>
      <c r="C700" s="2" t="s">
        <v>12</v>
      </c>
      <c r="D700" s="1" t="s">
        <v>11</v>
      </c>
      <c r="E700" s="1" t="s">
        <v>46</v>
      </c>
      <c r="F700" s="1">
        <v>111720</v>
      </c>
    </row>
    <row r="701" spans="1:6" x14ac:dyDescent="0.3">
      <c r="A701" s="3" t="s">
        <v>16</v>
      </c>
      <c r="B701" s="3" t="s">
        <v>50</v>
      </c>
      <c r="C701" s="4" t="s">
        <v>12</v>
      </c>
      <c r="D701" s="3" t="s">
        <v>11</v>
      </c>
      <c r="E701" s="3" t="s">
        <v>47</v>
      </c>
      <c r="F701" s="3">
        <v>5153.72</v>
      </c>
    </row>
    <row r="702" spans="1:6" x14ac:dyDescent="0.3">
      <c r="A702" s="1" t="s">
        <v>16</v>
      </c>
      <c r="B702" s="1" t="s">
        <v>50</v>
      </c>
      <c r="C702" s="2" t="s">
        <v>12</v>
      </c>
      <c r="D702" s="1" t="s">
        <v>11</v>
      </c>
      <c r="E702" s="1" t="s">
        <v>48</v>
      </c>
      <c r="F702" s="1">
        <v>895667.3</v>
      </c>
    </row>
    <row r="703" spans="1:6" x14ac:dyDescent="0.3">
      <c r="A703" s="3" t="s">
        <v>16</v>
      </c>
      <c r="B703" s="3" t="s">
        <v>50</v>
      </c>
      <c r="C703" s="4" t="s">
        <v>12</v>
      </c>
      <c r="D703" s="3" t="s">
        <v>11</v>
      </c>
      <c r="E703" s="3" t="s">
        <v>49</v>
      </c>
      <c r="F703" s="3">
        <v>-1.4899836503845501</v>
      </c>
    </row>
    <row r="704" spans="1:6" x14ac:dyDescent="0.3">
      <c r="A704" s="1" t="s">
        <v>16</v>
      </c>
      <c r="B704" s="1" t="s">
        <v>50</v>
      </c>
      <c r="C704" s="2" t="s">
        <v>12</v>
      </c>
      <c r="D704" s="1" t="s">
        <v>1</v>
      </c>
      <c r="E704" s="1" t="s">
        <v>44</v>
      </c>
      <c r="F704" s="1">
        <v>-1121194.5699999901</v>
      </c>
    </row>
    <row r="705" spans="1:6" x14ac:dyDescent="0.3">
      <c r="A705" s="3" t="s">
        <v>16</v>
      </c>
      <c r="B705" s="3" t="s">
        <v>50</v>
      </c>
      <c r="C705" s="4" t="s">
        <v>12</v>
      </c>
      <c r="D705" s="3" t="s">
        <v>1</v>
      </c>
      <c r="E705" s="3" t="s">
        <v>45</v>
      </c>
      <c r="F705" s="3">
        <v>74822.399999999907</v>
      </c>
    </row>
    <row r="706" spans="1:6" x14ac:dyDescent="0.3">
      <c r="A706" s="1" t="s">
        <v>16</v>
      </c>
      <c r="B706" s="1" t="s">
        <v>50</v>
      </c>
      <c r="C706" s="2" t="s">
        <v>12</v>
      </c>
      <c r="D706" s="1" t="s">
        <v>1</v>
      </c>
      <c r="E706" s="1" t="s">
        <v>46</v>
      </c>
      <c r="F706" s="1">
        <v>264600</v>
      </c>
    </row>
    <row r="707" spans="1:6" x14ac:dyDescent="0.3">
      <c r="A707" s="3" t="s">
        <v>16</v>
      </c>
      <c r="B707" s="3" t="s">
        <v>50</v>
      </c>
      <c r="C707" s="4" t="s">
        <v>12</v>
      </c>
      <c r="D707" s="3" t="s">
        <v>1</v>
      </c>
      <c r="E707" s="3" t="s">
        <v>47</v>
      </c>
      <c r="F707" s="3">
        <v>1300.4199999999901</v>
      </c>
    </row>
    <row r="708" spans="1:6" x14ac:dyDescent="0.3">
      <c r="A708" s="1" t="s">
        <v>16</v>
      </c>
      <c r="B708" s="1" t="s">
        <v>50</v>
      </c>
      <c r="C708" s="2" t="s">
        <v>12</v>
      </c>
      <c r="D708" s="1" t="s">
        <v>1</v>
      </c>
      <c r="E708" s="1" t="s">
        <v>48</v>
      </c>
      <c r="F708" s="1">
        <v>930116.549999999</v>
      </c>
    </row>
    <row r="709" spans="1:6" x14ac:dyDescent="0.3">
      <c r="A709" s="3" t="s">
        <v>16</v>
      </c>
      <c r="B709" s="3" t="s">
        <v>50</v>
      </c>
      <c r="C709" s="4" t="s">
        <v>12</v>
      </c>
      <c r="D709" s="3" t="s">
        <v>1</v>
      </c>
      <c r="E709" s="3" t="s">
        <v>49</v>
      </c>
      <c r="F709" s="3">
        <v>-14.9847448090411</v>
      </c>
    </row>
    <row r="710" spans="1:6" x14ac:dyDescent="0.3">
      <c r="A710" s="1" t="s">
        <v>16</v>
      </c>
      <c r="B710" s="1" t="s">
        <v>50</v>
      </c>
      <c r="C710" s="2" t="s">
        <v>12</v>
      </c>
      <c r="D710" s="1" t="s">
        <v>6</v>
      </c>
      <c r="E710" s="1" t="s">
        <v>44</v>
      </c>
      <c r="F710" s="1">
        <v>-1124084.6299999901</v>
      </c>
    </row>
    <row r="711" spans="1:6" x14ac:dyDescent="0.3">
      <c r="A711" s="3" t="s">
        <v>16</v>
      </c>
      <c r="B711" s="3" t="s">
        <v>50</v>
      </c>
      <c r="C711" s="4" t="s">
        <v>12</v>
      </c>
      <c r="D711" s="3" t="s">
        <v>6</v>
      </c>
      <c r="E711" s="3" t="s">
        <v>45</v>
      </c>
      <c r="F711" s="3">
        <v>74822.399999999907</v>
      </c>
    </row>
    <row r="712" spans="1:6" x14ac:dyDescent="0.3">
      <c r="A712" s="1" t="s">
        <v>16</v>
      </c>
      <c r="B712" s="1" t="s">
        <v>50</v>
      </c>
      <c r="C712" s="2" t="s">
        <v>12</v>
      </c>
      <c r="D712" s="1" t="s">
        <v>6</v>
      </c>
      <c r="E712" s="1" t="s">
        <v>46</v>
      </c>
      <c r="F712" s="1">
        <v>267540</v>
      </c>
    </row>
    <row r="713" spans="1:6" x14ac:dyDescent="0.3">
      <c r="A713" s="3" t="s">
        <v>16</v>
      </c>
      <c r="B713" s="3" t="s">
        <v>50</v>
      </c>
      <c r="C713" s="4" t="s">
        <v>12</v>
      </c>
      <c r="D713" s="3" t="s">
        <v>6</v>
      </c>
      <c r="E713" s="3" t="s">
        <v>47</v>
      </c>
      <c r="F713" s="3">
        <v>1250.48</v>
      </c>
    </row>
    <row r="714" spans="1:6" x14ac:dyDescent="0.3">
      <c r="A714" s="1" t="s">
        <v>16</v>
      </c>
      <c r="B714" s="1" t="s">
        <v>50</v>
      </c>
      <c r="C714" s="2" t="s">
        <v>12</v>
      </c>
      <c r="D714" s="1" t="s">
        <v>6</v>
      </c>
      <c r="E714" s="1" t="s">
        <v>48</v>
      </c>
      <c r="F714" s="1">
        <v>930116.549999999</v>
      </c>
    </row>
    <row r="715" spans="1:6" x14ac:dyDescent="0.3">
      <c r="A715" s="3" t="s">
        <v>16</v>
      </c>
      <c r="B715" s="3" t="s">
        <v>50</v>
      </c>
      <c r="C715" s="4" t="s">
        <v>12</v>
      </c>
      <c r="D715" s="3" t="s">
        <v>6</v>
      </c>
      <c r="E715" s="3" t="s">
        <v>49</v>
      </c>
      <c r="F715" s="3">
        <v>-15.023370407792299</v>
      </c>
    </row>
    <row r="716" spans="1:6" x14ac:dyDescent="0.3">
      <c r="A716" s="1" t="s">
        <v>16</v>
      </c>
      <c r="B716" s="1" t="s">
        <v>50</v>
      </c>
      <c r="C716" s="2" t="s">
        <v>12</v>
      </c>
      <c r="D716" s="1" t="s">
        <v>9</v>
      </c>
      <c r="E716" s="1" t="s">
        <v>44</v>
      </c>
      <c r="F716" s="1">
        <v>-1080182.4499999899</v>
      </c>
    </row>
    <row r="717" spans="1:6" x14ac:dyDescent="0.3">
      <c r="A717" s="3" t="s">
        <v>16</v>
      </c>
      <c r="B717" s="3" t="s">
        <v>50</v>
      </c>
      <c r="C717" s="4" t="s">
        <v>12</v>
      </c>
      <c r="D717" s="3" t="s">
        <v>9</v>
      </c>
      <c r="E717" s="3" t="s">
        <v>45</v>
      </c>
      <c r="F717" s="3">
        <v>124704.899999999</v>
      </c>
    </row>
    <row r="718" spans="1:6" x14ac:dyDescent="0.3">
      <c r="A718" s="1" t="s">
        <v>16</v>
      </c>
      <c r="B718" s="1" t="s">
        <v>50</v>
      </c>
      <c r="C718" s="2" t="s">
        <v>12</v>
      </c>
      <c r="D718" s="1" t="s">
        <v>9</v>
      </c>
      <c r="E718" s="1" t="s">
        <v>46</v>
      </c>
      <c r="F718" s="1">
        <v>273420</v>
      </c>
    </row>
    <row r="719" spans="1:6" x14ac:dyDescent="0.3">
      <c r="A719" s="3" t="s">
        <v>16</v>
      </c>
      <c r="B719" s="3" t="s">
        <v>50</v>
      </c>
      <c r="C719" s="4" t="s">
        <v>12</v>
      </c>
      <c r="D719" s="3" t="s">
        <v>9</v>
      </c>
      <c r="E719" s="3" t="s">
        <v>47</v>
      </c>
      <c r="F719" s="3">
        <v>1350.8</v>
      </c>
    </row>
    <row r="720" spans="1:6" x14ac:dyDescent="0.3">
      <c r="A720" s="1" t="s">
        <v>16</v>
      </c>
      <c r="B720" s="1" t="s">
        <v>50</v>
      </c>
      <c r="C720" s="2" t="s">
        <v>12</v>
      </c>
      <c r="D720" s="1" t="s">
        <v>9</v>
      </c>
      <c r="E720" s="1" t="s">
        <v>48</v>
      </c>
      <c r="F720" s="1">
        <v>930116.549999999</v>
      </c>
    </row>
    <row r="721" spans="1:6" x14ac:dyDescent="0.3">
      <c r="A721" s="3" t="s">
        <v>16</v>
      </c>
      <c r="B721" s="3" t="s">
        <v>50</v>
      </c>
      <c r="C721" s="4" t="s">
        <v>12</v>
      </c>
      <c r="D721" s="3" t="s">
        <v>9</v>
      </c>
      <c r="E721" s="3" t="s">
        <v>49</v>
      </c>
      <c r="F721" s="3">
        <v>-8.6619086339029092</v>
      </c>
    </row>
    <row r="722" spans="1:6" x14ac:dyDescent="0.3">
      <c r="A722" s="1" t="s">
        <v>16</v>
      </c>
      <c r="B722" s="1" t="s">
        <v>50</v>
      </c>
      <c r="C722" s="2" t="s">
        <v>12</v>
      </c>
      <c r="D722" s="1" t="s">
        <v>11</v>
      </c>
      <c r="E722" s="1" t="s">
        <v>44</v>
      </c>
      <c r="F722" s="1">
        <v>-1061471</v>
      </c>
    </row>
    <row r="723" spans="1:6" x14ac:dyDescent="0.3">
      <c r="A723" s="3" t="s">
        <v>16</v>
      </c>
      <c r="B723" s="3" t="s">
        <v>50</v>
      </c>
      <c r="C723" s="4" t="s">
        <v>12</v>
      </c>
      <c r="D723" s="3" t="s">
        <v>11</v>
      </c>
      <c r="E723" s="3" t="s">
        <v>45</v>
      </c>
      <c r="F723" s="3">
        <v>149646.149999999</v>
      </c>
    </row>
    <row r="724" spans="1:6" x14ac:dyDescent="0.3">
      <c r="A724" s="1" t="s">
        <v>16</v>
      </c>
      <c r="B724" s="1" t="s">
        <v>50</v>
      </c>
      <c r="C724" s="2" t="s">
        <v>12</v>
      </c>
      <c r="D724" s="1" t="s">
        <v>11</v>
      </c>
      <c r="E724" s="1" t="s">
        <v>46</v>
      </c>
      <c r="F724" s="1">
        <v>279300</v>
      </c>
    </row>
    <row r="725" spans="1:6" x14ac:dyDescent="0.3">
      <c r="A725" s="3" t="s">
        <v>16</v>
      </c>
      <c r="B725" s="3" t="s">
        <v>50</v>
      </c>
      <c r="C725" s="4" t="s">
        <v>12</v>
      </c>
      <c r="D725" s="3" t="s">
        <v>11</v>
      </c>
      <c r="E725" s="3" t="s">
        <v>47</v>
      </c>
      <c r="F725" s="3">
        <v>1700.5999999999899</v>
      </c>
    </row>
    <row r="726" spans="1:6" x14ac:dyDescent="0.3">
      <c r="A726" s="1" t="s">
        <v>16</v>
      </c>
      <c r="B726" s="1" t="s">
        <v>50</v>
      </c>
      <c r="C726" s="2" t="s">
        <v>12</v>
      </c>
      <c r="D726" s="1" t="s">
        <v>11</v>
      </c>
      <c r="E726" s="1" t="s">
        <v>48</v>
      </c>
      <c r="F726" s="1">
        <v>930116.549999999</v>
      </c>
    </row>
    <row r="727" spans="1:6" x14ac:dyDescent="0.3">
      <c r="A727" s="3" t="s">
        <v>16</v>
      </c>
      <c r="B727" s="3" t="s">
        <v>50</v>
      </c>
      <c r="C727" s="4" t="s">
        <v>12</v>
      </c>
      <c r="D727" s="3" t="s">
        <v>11</v>
      </c>
      <c r="E727" s="3" t="s">
        <v>49</v>
      </c>
      <c r="F727" s="3">
        <v>-7.0932062067751103</v>
      </c>
    </row>
    <row r="728" spans="1:6" x14ac:dyDescent="0.3">
      <c r="A728" s="1" t="s">
        <v>16</v>
      </c>
      <c r="B728" s="1" t="s">
        <v>50</v>
      </c>
      <c r="C728" s="2" t="s">
        <v>12</v>
      </c>
      <c r="D728" s="1" t="s">
        <v>1</v>
      </c>
      <c r="E728" s="1" t="s">
        <v>44</v>
      </c>
      <c r="F728" s="1">
        <v>78246</v>
      </c>
    </row>
    <row r="729" spans="1:6" x14ac:dyDescent="0.3">
      <c r="A729" s="3" t="s">
        <v>16</v>
      </c>
      <c r="B729" s="3" t="s">
        <v>50</v>
      </c>
      <c r="C729" s="4" t="s">
        <v>12</v>
      </c>
      <c r="D729" s="3" t="s">
        <v>1</v>
      </c>
      <c r="E729" s="3" t="s">
        <v>45</v>
      </c>
      <c r="F729" s="3">
        <v>78246</v>
      </c>
    </row>
    <row r="730" spans="1:6" x14ac:dyDescent="0.3">
      <c r="A730" s="1" t="s">
        <v>16</v>
      </c>
      <c r="B730" s="1" t="s">
        <v>50</v>
      </c>
      <c r="C730" s="2" t="s">
        <v>12</v>
      </c>
      <c r="D730" s="1" t="s">
        <v>1</v>
      </c>
      <c r="E730" s="1" t="s">
        <v>49</v>
      </c>
      <c r="F730" s="1">
        <v>1</v>
      </c>
    </row>
    <row r="731" spans="1:6" x14ac:dyDescent="0.3">
      <c r="A731" s="3" t="s">
        <v>16</v>
      </c>
      <c r="B731" s="3" t="s">
        <v>50</v>
      </c>
      <c r="C731" s="4" t="s">
        <v>12</v>
      </c>
      <c r="D731" s="3" t="s">
        <v>6</v>
      </c>
      <c r="E731" s="3" t="s">
        <v>44</v>
      </c>
      <c r="F731" s="3">
        <v>78246</v>
      </c>
    </row>
    <row r="732" spans="1:6" x14ac:dyDescent="0.3">
      <c r="A732" s="1" t="s">
        <v>16</v>
      </c>
      <c r="B732" s="1" t="s">
        <v>50</v>
      </c>
      <c r="C732" s="2" t="s">
        <v>12</v>
      </c>
      <c r="D732" s="1" t="s">
        <v>6</v>
      </c>
      <c r="E732" s="1" t="s">
        <v>45</v>
      </c>
      <c r="F732" s="1">
        <v>78246</v>
      </c>
    </row>
    <row r="733" spans="1:6" x14ac:dyDescent="0.3">
      <c r="A733" s="3" t="s">
        <v>16</v>
      </c>
      <c r="B733" s="3" t="s">
        <v>50</v>
      </c>
      <c r="C733" s="4" t="s">
        <v>12</v>
      </c>
      <c r="D733" s="3" t="s">
        <v>6</v>
      </c>
      <c r="E733" s="3" t="s">
        <v>49</v>
      </c>
      <c r="F733" s="3">
        <v>1</v>
      </c>
    </row>
    <row r="734" spans="1:6" x14ac:dyDescent="0.3">
      <c r="A734" s="1" t="s">
        <v>16</v>
      </c>
      <c r="B734" s="1" t="s">
        <v>50</v>
      </c>
      <c r="C734" s="2" t="s">
        <v>12</v>
      </c>
      <c r="D734" s="1" t="s">
        <v>9</v>
      </c>
      <c r="E734" s="1" t="s">
        <v>44</v>
      </c>
      <c r="F734" s="1">
        <v>130410</v>
      </c>
    </row>
    <row r="735" spans="1:6" x14ac:dyDescent="0.3">
      <c r="A735" s="3" t="s">
        <v>16</v>
      </c>
      <c r="B735" s="3" t="s">
        <v>50</v>
      </c>
      <c r="C735" s="4" t="s">
        <v>12</v>
      </c>
      <c r="D735" s="3" t="s">
        <v>9</v>
      </c>
      <c r="E735" s="3" t="s">
        <v>45</v>
      </c>
      <c r="F735" s="3">
        <v>130410</v>
      </c>
    </row>
    <row r="736" spans="1:6" x14ac:dyDescent="0.3">
      <c r="A736" s="1" t="s">
        <v>16</v>
      </c>
      <c r="B736" s="1" t="s">
        <v>50</v>
      </c>
      <c r="C736" s="2" t="s">
        <v>12</v>
      </c>
      <c r="D736" s="1" t="s">
        <v>9</v>
      </c>
      <c r="E736" s="1" t="s">
        <v>49</v>
      </c>
      <c r="F736" s="1">
        <v>1</v>
      </c>
    </row>
    <row r="737" spans="1:6" x14ac:dyDescent="0.3">
      <c r="A737" s="3" t="s">
        <v>16</v>
      </c>
      <c r="B737" s="3" t="s">
        <v>50</v>
      </c>
      <c r="C737" s="4" t="s">
        <v>12</v>
      </c>
      <c r="D737" s="3" t="s">
        <v>11</v>
      </c>
      <c r="E737" s="3" t="s">
        <v>44</v>
      </c>
      <c r="F737" s="3">
        <v>156492</v>
      </c>
    </row>
    <row r="738" spans="1:6" x14ac:dyDescent="0.3">
      <c r="A738" s="1" t="s">
        <v>16</v>
      </c>
      <c r="B738" s="1" t="s">
        <v>50</v>
      </c>
      <c r="C738" s="2" t="s">
        <v>12</v>
      </c>
      <c r="D738" s="1" t="s">
        <v>11</v>
      </c>
      <c r="E738" s="1" t="s">
        <v>45</v>
      </c>
      <c r="F738" s="1">
        <v>156492</v>
      </c>
    </row>
    <row r="739" spans="1:6" x14ac:dyDescent="0.3">
      <c r="A739" s="3" t="s">
        <v>16</v>
      </c>
      <c r="B739" s="3" t="s">
        <v>50</v>
      </c>
      <c r="C739" s="4" t="s">
        <v>12</v>
      </c>
      <c r="D739" s="3" t="s">
        <v>11</v>
      </c>
      <c r="E739" s="3" t="s">
        <v>49</v>
      </c>
      <c r="F739" s="3">
        <v>1</v>
      </c>
    </row>
    <row r="740" spans="1:6" x14ac:dyDescent="0.3">
      <c r="A740" s="1" t="s">
        <v>16</v>
      </c>
      <c r="B740" s="1" t="s">
        <v>50</v>
      </c>
      <c r="C740" s="2" t="s">
        <v>12</v>
      </c>
      <c r="D740" s="1" t="s">
        <v>1</v>
      </c>
      <c r="E740" s="1" t="s">
        <v>44</v>
      </c>
      <c r="F740" s="1">
        <v>-574805.94999999902</v>
      </c>
    </row>
    <row r="741" spans="1:6" x14ac:dyDescent="0.3">
      <c r="A741" s="3" t="s">
        <v>16</v>
      </c>
      <c r="B741" s="3" t="s">
        <v>50</v>
      </c>
      <c r="C741" s="4" t="s">
        <v>12</v>
      </c>
      <c r="D741" s="3" t="s">
        <v>1</v>
      </c>
      <c r="E741" s="3" t="s">
        <v>45</v>
      </c>
      <c r="F741" s="3">
        <v>170100</v>
      </c>
    </row>
    <row r="742" spans="1:6" x14ac:dyDescent="0.3">
      <c r="A742" s="1" t="s">
        <v>16</v>
      </c>
      <c r="B742" s="1" t="s">
        <v>50</v>
      </c>
      <c r="C742" s="2" t="s">
        <v>12</v>
      </c>
      <c r="D742" s="1" t="s">
        <v>1</v>
      </c>
      <c r="E742" s="1" t="s">
        <v>46</v>
      </c>
      <c r="F742" s="1">
        <v>17640</v>
      </c>
    </row>
    <row r="743" spans="1:6" x14ac:dyDescent="0.3">
      <c r="A743" s="3" t="s">
        <v>16</v>
      </c>
      <c r="B743" s="3" t="s">
        <v>50</v>
      </c>
      <c r="C743" s="4" t="s">
        <v>12</v>
      </c>
      <c r="D743" s="3" t="s">
        <v>1</v>
      </c>
      <c r="E743" s="3" t="s">
        <v>47</v>
      </c>
      <c r="F743" s="3">
        <v>3842.15</v>
      </c>
    </row>
    <row r="744" spans="1:6" x14ac:dyDescent="0.3">
      <c r="A744" s="1" t="s">
        <v>16</v>
      </c>
      <c r="B744" s="1" t="s">
        <v>50</v>
      </c>
      <c r="C744" s="2" t="s">
        <v>12</v>
      </c>
      <c r="D744" s="1" t="s">
        <v>1</v>
      </c>
      <c r="E744" s="1" t="s">
        <v>48</v>
      </c>
      <c r="F744" s="1">
        <v>723423.799999999</v>
      </c>
    </row>
    <row r="745" spans="1:6" x14ac:dyDescent="0.3">
      <c r="A745" s="3" t="s">
        <v>16</v>
      </c>
      <c r="B745" s="3" t="s">
        <v>50</v>
      </c>
      <c r="C745" s="4" t="s">
        <v>12</v>
      </c>
      <c r="D745" s="3" t="s">
        <v>1</v>
      </c>
      <c r="E745" s="3" t="s">
        <v>49</v>
      </c>
      <c r="F745" s="3">
        <v>-3.37922369194591</v>
      </c>
    </row>
    <row r="746" spans="1:6" x14ac:dyDescent="0.3">
      <c r="A746" s="1" t="s">
        <v>16</v>
      </c>
      <c r="B746" s="1" t="s">
        <v>50</v>
      </c>
      <c r="C746" s="2" t="s">
        <v>12</v>
      </c>
      <c r="D746" s="1" t="s">
        <v>6</v>
      </c>
      <c r="E746" s="1" t="s">
        <v>44</v>
      </c>
      <c r="F746" s="1">
        <v>-615996.39999999898</v>
      </c>
    </row>
    <row r="747" spans="1:6" x14ac:dyDescent="0.3">
      <c r="A747" s="3" t="s">
        <v>16</v>
      </c>
      <c r="B747" s="3" t="s">
        <v>50</v>
      </c>
      <c r="C747" s="4" t="s">
        <v>12</v>
      </c>
      <c r="D747" s="3" t="s">
        <v>6</v>
      </c>
      <c r="E747" s="3" t="s">
        <v>45</v>
      </c>
      <c r="F747" s="3">
        <v>170100</v>
      </c>
    </row>
    <row r="748" spans="1:6" x14ac:dyDescent="0.3">
      <c r="A748" s="1" t="s">
        <v>16</v>
      </c>
      <c r="B748" s="1" t="s">
        <v>50</v>
      </c>
      <c r="C748" s="2" t="s">
        <v>12</v>
      </c>
      <c r="D748" s="1" t="s">
        <v>6</v>
      </c>
      <c r="E748" s="1" t="s">
        <v>46</v>
      </c>
      <c r="F748" s="1">
        <v>17640</v>
      </c>
    </row>
    <row r="749" spans="1:6" x14ac:dyDescent="0.3">
      <c r="A749" s="3" t="s">
        <v>16</v>
      </c>
      <c r="B749" s="3" t="s">
        <v>50</v>
      </c>
      <c r="C749" s="4" t="s">
        <v>12</v>
      </c>
      <c r="D749" s="3" t="s">
        <v>6</v>
      </c>
      <c r="E749" s="3" t="s">
        <v>47</v>
      </c>
      <c r="F749" s="3">
        <v>3694.5999999999899</v>
      </c>
    </row>
    <row r="750" spans="1:6" x14ac:dyDescent="0.3">
      <c r="A750" s="1" t="s">
        <v>16</v>
      </c>
      <c r="B750" s="1" t="s">
        <v>50</v>
      </c>
      <c r="C750" s="2" t="s">
        <v>12</v>
      </c>
      <c r="D750" s="1" t="s">
        <v>6</v>
      </c>
      <c r="E750" s="1" t="s">
        <v>48</v>
      </c>
      <c r="F750" s="1">
        <v>764761.799999999</v>
      </c>
    </row>
    <row r="751" spans="1:6" x14ac:dyDescent="0.3">
      <c r="A751" s="3" t="s">
        <v>16</v>
      </c>
      <c r="B751" s="3" t="s">
        <v>50</v>
      </c>
      <c r="C751" s="4" t="s">
        <v>12</v>
      </c>
      <c r="D751" s="3" t="s">
        <v>6</v>
      </c>
      <c r="E751" s="3" t="s">
        <v>49</v>
      </c>
      <c r="F751" s="3">
        <v>-3.62137801293356</v>
      </c>
    </row>
    <row r="752" spans="1:6" x14ac:dyDescent="0.3">
      <c r="A752" s="1" t="s">
        <v>16</v>
      </c>
      <c r="B752" s="1" t="s">
        <v>50</v>
      </c>
      <c r="C752" s="2" t="s">
        <v>12</v>
      </c>
      <c r="D752" s="1" t="s">
        <v>9</v>
      </c>
      <c r="E752" s="1" t="s">
        <v>44</v>
      </c>
      <c r="F752" s="1">
        <v>-678300.89999999898</v>
      </c>
    </row>
    <row r="753" spans="1:6" x14ac:dyDescent="0.3">
      <c r="A753" s="3" t="s">
        <v>16</v>
      </c>
      <c r="B753" s="3" t="s">
        <v>50</v>
      </c>
      <c r="C753" s="4" t="s">
        <v>12</v>
      </c>
      <c r="D753" s="3" t="s">
        <v>9</v>
      </c>
      <c r="E753" s="3" t="s">
        <v>45</v>
      </c>
      <c r="F753" s="3">
        <v>170100</v>
      </c>
    </row>
    <row r="754" spans="1:6" x14ac:dyDescent="0.3">
      <c r="A754" s="1" t="s">
        <v>16</v>
      </c>
      <c r="B754" s="1" t="s">
        <v>50</v>
      </c>
      <c r="C754" s="2" t="s">
        <v>12</v>
      </c>
      <c r="D754" s="1" t="s">
        <v>9</v>
      </c>
      <c r="E754" s="1" t="s">
        <v>46</v>
      </c>
      <c r="F754" s="1">
        <v>17640</v>
      </c>
    </row>
    <row r="755" spans="1:6" x14ac:dyDescent="0.3">
      <c r="A755" s="3" t="s">
        <v>16</v>
      </c>
      <c r="B755" s="3" t="s">
        <v>50</v>
      </c>
      <c r="C755" s="4" t="s">
        <v>12</v>
      </c>
      <c r="D755" s="3" t="s">
        <v>9</v>
      </c>
      <c r="E755" s="3" t="s">
        <v>47</v>
      </c>
      <c r="F755" s="3">
        <v>3990.99999999999</v>
      </c>
    </row>
    <row r="756" spans="1:6" x14ac:dyDescent="0.3">
      <c r="A756" s="1" t="s">
        <v>16</v>
      </c>
      <c r="B756" s="1" t="s">
        <v>50</v>
      </c>
      <c r="C756" s="2" t="s">
        <v>12</v>
      </c>
      <c r="D756" s="1" t="s">
        <v>9</v>
      </c>
      <c r="E756" s="1" t="s">
        <v>48</v>
      </c>
      <c r="F756" s="1">
        <v>826769.89999999898</v>
      </c>
    </row>
    <row r="757" spans="1:6" x14ac:dyDescent="0.3">
      <c r="A757" s="3" t="s">
        <v>16</v>
      </c>
      <c r="B757" s="3" t="s">
        <v>50</v>
      </c>
      <c r="C757" s="4" t="s">
        <v>12</v>
      </c>
      <c r="D757" s="3" t="s">
        <v>9</v>
      </c>
      <c r="E757" s="3" t="s">
        <v>49</v>
      </c>
      <c r="F757" s="3">
        <v>-3.9876596119929402</v>
      </c>
    </row>
    <row r="758" spans="1:6" x14ac:dyDescent="0.3">
      <c r="A758" s="1" t="s">
        <v>16</v>
      </c>
      <c r="B758" s="1" t="s">
        <v>50</v>
      </c>
      <c r="C758" s="2" t="s">
        <v>12</v>
      </c>
      <c r="D758" s="1" t="s">
        <v>11</v>
      </c>
      <c r="E758" s="1" t="s">
        <v>44</v>
      </c>
      <c r="F758" s="1">
        <v>-713783.09999999905</v>
      </c>
    </row>
    <row r="759" spans="1:6" x14ac:dyDescent="0.3">
      <c r="A759" s="3" t="s">
        <v>16</v>
      </c>
      <c r="B759" s="3" t="s">
        <v>50</v>
      </c>
      <c r="C759" s="4" t="s">
        <v>12</v>
      </c>
      <c r="D759" s="3" t="s">
        <v>11</v>
      </c>
      <c r="E759" s="3" t="s">
        <v>45</v>
      </c>
      <c r="F759" s="3">
        <v>170100</v>
      </c>
    </row>
    <row r="760" spans="1:6" x14ac:dyDescent="0.3">
      <c r="A760" s="1" t="s">
        <v>16</v>
      </c>
      <c r="B760" s="1" t="s">
        <v>50</v>
      </c>
      <c r="C760" s="2" t="s">
        <v>12</v>
      </c>
      <c r="D760" s="1" t="s">
        <v>11</v>
      </c>
      <c r="E760" s="1" t="s">
        <v>46</v>
      </c>
      <c r="F760" s="1">
        <v>17640</v>
      </c>
    </row>
    <row r="761" spans="1:6" x14ac:dyDescent="0.3">
      <c r="A761" s="3" t="s">
        <v>16</v>
      </c>
      <c r="B761" s="3" t="s">
        <v>50</v>
      </c>
      <c r="C761" s="4" t="s">
        <v>12</v>
      </c>
      <c r="D761" s="3" t="s">
        <v>11</v>
      </c>
      <c r="E761" s="3" t="s">
        <v>47</v>
      </c>
      <c r="F761" s="3">
        <v>5024.5</v>
      </c>
    </row>
    <row r="762" spans="1:6" x14ac:dyDescent="0.3">
      <c r="A762" s="1" t="s">
        <v>16</v>
      </c>
      <c r="B762" s="1" t="s">
        <v>50</v>
      </c>
      <c r="C762" s="2" t="s">
        <v>12</v>
      </c>
      <c r="D762" s="1" t="s">
        <v>11</v>
      </c>
      <c r="E762" s="1" t="s">
        <v>48</v>
      </c>
      <c r="F762" s="1">
        <v>861218.59999999905</v>
      </c>
    </row>
    <row r="763" spans="1:6" x14ac:dyDescent="0.3">
      <c r="A763" s="3" t="s">
        <v>16</v>
      </c>
      <c r="B763" s="3" t="s">
        <v>50</v>
      </c>
      <c r="C763" s="4" t="s">
        <v>12</v>
      </c>
      <c r="D763" s="3" t="s">
        <v>11</v>
      </c>
      <c r="E763" s="3" t="s">
        <v>49</v>
      </c>
      <c r="F763" s="3">
        <v>-4.1962557319223901</v>
      </c>
    </row>
    <row r="764" spans="1:6" x14ac:dyDescent="0.3">
      <c r="A764" s="1" t="s">
        <v>16</v>
      </c>
      <c r="B764" s="1" t="s">
        <v>51</v>
      </c>
      <c r="C764" s="2" t="s">
        <v>12</v>
      </c>
      <c r="D764" s="1" t="s">
        <v>1</v>
      </c>
      <c r="E764" s="1" t="s">
        <v>44</v>
      </c>
      <c r="F764" s="1">
        <v>34733.979999999901</v>
      </c>
    </row>
    <row r="765" spans="1:6" x14ac:dyDescent="0.3">
      <c r="A765" s="3" t="s">
        <v>16</v>
      </c>
      <c r="B765" s="3" t="s">
        <v>51</v>
      </c>
      <c r="C765" s="4" t="s">
        <v>12</v>
      </c>
      <c r="D765" s="3" t="s">
        <v>1</v>
      </c>
      <c r="E765" s="3" t="s">
        <v>45</v>
      </c>
      <c r="F765" s="3">
        <v>66508.799999999901</v>
      </c>
    </row>
    <row r="766" spans="1:6" x14ac:dyDescent="0.3">
      <c r="A766" s="1" t="s">
        <v>16</v>
      </c>
      <c r="B766" s="1" t="s">
        <v>51</v>
      </c>
      <c r="C766" s="2" t="s">
        <v>12</v>
      </c>
      <c r="D766" s="1" t="s">
        <v>1</v>
      </c>
      <c r="E766" s="1" t="s">
        <v>46</v>
      </c>
      <c r="F766" s="1">
        <v>3630.72</v>
      </c>
    </row>
    <row r="767" spans="1:6" x14ac:dyDescent="0.3">
      <c r="A767" s="3" t="s">
        <v>16</v>
      </c>
      <c r="B767" s="3" t="s">
        <v>51</v>
      </c>
      <c r="C767" s="4" t="s">
        <v>12</v>
      </c>
      <c r="D767" s="3" t="s">
        <v>1</v>
      </c>
      <c r="E767" s="3" t="s">
        <v>47</v>
      </c>
      <c r="F767" s="3">
        <v>11644.0999999999</v>
      </c>
    </row>
    <row r="768" spans="1:6" x14ac:dyDescent="0.3">
      <c r="A768" s="1" t="s">
        <v>16</v>
      </c>
      <c r="B768" s="1" t="s">
        <v>51</v>
      </c>
      <c r="C768" s="2" t="s">
        <v>12</v>
      </c>
      <c r="D768" s="1" t="s">
        <v>1</v>
      </c>
      <c r="E768" s="1" t="s">
        <v>48</v>
      </c>
      <c r="F768" s="1">
        <v>16500</v>
      </c>
    </row>
    <row r="769" spans="1:6" x14ac:dyDescent="0.3">
      <c r="A769" s="3" t="s">
        <v>16</v>
      </c>
      <c r="B769" s="3" t="s">
        <v>51</v>
      </c>
      <c r="C769" s="4" t="s">
        <v>12</v>
      </c>
      <c r="D769" s="3" t="s">
        <v>1</v>
      </c>
      <c r="E769" s="3" t="s">
        <v>49</v>
      </c>
      <c r="F769" s="3">
        <v>0.522246379426481</v>
      </c>
    </row>
    <row r="770" spans="1:6" x14ac:dyDescent="0.3">
      <c r="A770" s="1" t="s">
        <v>16</v>
      </c>
      <c r="B770" s="1" t="s">
        <v>51</v>
      </c>
      <c r="C770" s="2" t="s">
        <v>12</v>
      </c>
      <c r="D770" s="1" t="s">
        <v>6</v>
      </c>
      <c r="E770" s="1" t="s">
        <v>44</v>
      </c>
      <c r="F770" s="1">
        <v>35181.8299999999</v>
      </c>
    </row>
    <row r="771" spans="1:6" x14ac:dyDescent="0.3">
      <c r="A771" s="3" t="s">
        <v>16</v>
      </c>
      <c r="B771" s="3" t="s">
        <v>51</v>
      </c>
      <c r="C771" s="4" t="s">
        <v>12</v>
      </c>
      <c r="D771" s="3" t="s">
        <v>6</v>
      </c>
      <c r="E771" s="3" t="s">
        <v>45</v>
      </c>
      <c r="F771" s="3">
        <v>66508.799999999901</v>
      </c>
    </row>
    <row r="772" spans="1:6" x14ac:dyDescent="0.3">
      <c r="A772" s="1" t="s">
        <v>16</v>
      </c>
      <c r="B772" s="1" t="s">
        <v>51</v>
      </c>
      <c r="C772" s="2" t="s">
        <v>12</v>
      </c>
      <c r="D772" s="1" t="s">
        <v>6</v>
      </c>
      <c r="E772" s="1" t="s">
        <v>46</v>
      </c>
      <c r="F772" s="1">
        <v>3630.72</v>
      </c>
    </row>
    <row r="773" spans="1:6" x14ac:dyDescent="0.3">
      <c r="A773" s="3" t="s">
        <v>16</v>
      </c>
      <c r="B773" s="3" t="s">
        <v>51</v>
      </c>
      <c r="C773" s="4" t="s">
        <v>12</v>
      </c>
      <c r="D773" s="3" t="s">
        <v>6</v>
      </c>
      <c r="E773" s="3" t="s">
        <v>47</v>
      </c>
      <c r="F773" s="3">
        <v>11196.2499999999</v>
      </c>
    </row>
    <row r="774" spans="1:6" x14ac:dyDescent="0.3">
      <c r="A774" s="1" t="s">
        <v>16</v>
      </c>
      <c r="B774" s="1" t="s">
        <v>51</v>
      </c>
      <c r="C774" s="2" t="s">
        <v>12</v>
      </c>
      <c r="D774" s="1" t="s">
        <v>6</v>
      </c>
      <c r="E774" s="1" t="s">
        <v>48</v>
      </c>
      <c r="F774" s="1">
        <v>16500</v>
      </c>
    </row>
    <row r="775" spans="1:6" x14ac:dyDescent="0.3">
      <c r="A775" s="3" t="s">
        <v>16</v>
      </c>
      <c r="B775" s="3" t="s">
        <v>51</v>
      </c>
      <c r="C775" s="4" t="s">
        <v>12</v>
      </c>
      <c r="D775" s="3" t="s">
        <v>6</v>
      </c>
      <c r="E775" s="3" t="s">
        <v>49</v>
      </c>
      <c r="F775" s="3">
        <v>0.52898007481716702</v>
      </c>
    </row>
    <row r="776" spans="1:6" x14ac:dyDescent="0.3">
      <c r="A776" s="1" t="s">
        <v>16</v>
      </c>
      <c r="B776" s="1" t="s">
        <v>51</v>
      </c>
      <c r="C776" s="2" t="s">
        <v>12</v>
      </c>
      <c r="D776" s="1" t="s">
        <v>9</v>
      </c>
      <c r="E776" s="1" t="s">
        <v>44</v>
      </c>
      <c r="F776" s="1">
        <v>78626.13</v>
      </c>
    </row>
    <row r="777" spans="1:6" x14ac:dyDescent="0.3">
      <c r="A777" s="3" t="s">
        <v>16</v>
      </c>
      <c r="B777" s="3" t="s">
        <v>51</v>
      </c>
      <c r="C777" s="4" t="s">
        <v>12</v>
      </c>
      <c r="D777" s="3" t="s">
        <v>9</v>
      </c>
      <c r="E777" s="3" t="s">
        <v>45</v>
      </c>
      <c r="F777" s="3">
        <v>110848.8</v>
      </c>
    </row>
    <row r="778" spans="1:6" x14ac:dyDescent="0.3">
      <c r="A778" s="1" t="s">
        <v>16</v>
      </c>
      <c r="B778" s="1" t="s">
        <v>51</v>
      </c>
      <c r="C778" s="2" t="s">
        <v>12</v>
      </c>
      <c r="D778" s="1" t="s">
        <v>9</v>
      </c>
      <c r="E778" s="1" t="s">
        <v>46</v>
      </c>
      <c r="F778" s="1">
        <v>3630.72</v>
      </c>
    </row>
    <row r="779" spans="1:6" x14ac:dyDescent="0.3">
      <c r="A779" s="3" t="s">
        <v>16</v>
      </c>
      <c r="B779" s="3" t="s">
        <v>51</v>
      </c>
      <c r="C779" s="4" t="s">
        <v>12</v>
      </c>
      <c r="D779" s="3" t="s">
        <v>9</v>
      </c>
      <c r="E779" s="3" t="s">
        <v>47</v>
      </c>
      <c r="F779" s="3">
        <v>12091.95</v>
      </c>
    </row>
    <row r="780" spans="1:6" x14ac:dyDescent="0.3">
      <c r="A780" s="1" t="s">
        <v>16</v>
      </c>
      <c r="B780" s="1" t="s">
        <v>51</v>
      </c>
      <c r="C780" s="2" t="s">
        <v>12</v>
      </c>
      <c r="D780" s="1" t="s">
        <v>9</v>
      </c>
      <c r="E780" s="1" t="s">
        <v>48</v>
      </c>
      <c r="F780" s="1">
        <v>16500</v>
      </c>
    </row>
    <row r="781" spans="1:6" x14ac:dyDescent="0.3">
      <c r="A781" s="3" t="s">
        <v>16</v>
      </c>
      <c r="B781" s="3" t="s">
        <v>51</v>
      </c>
      <c r="C781" s="4" t="s">
        <v>12</v>
      </c>
      <c r="D781" s="3" t="s">
        <v>9</v>
      </c>
      <c r="E781" s="3" t="s">
        <v>49</v>
      </c>
      <c r="F781" s="3">
        <v>0.70930970835949503</v>
      </c>
    </row>
    <row r="782" spans="1:6" x14ac:dyDescent="0.3">
      <c r="A782" s="1" t="s">
        <v>16</v>
      </c>
      <c r="B782" s="1" t="s">
        <v>51</v>
      </c>
      <c r="C782" s="2" t="s">
        <v>12</v>
      </c>
      <c r="D782" s="1" t="s">
        <v>11</v>
      </c>
      <c r="E782" s="1" t="s">
        <v>44</v>
      </c>
      <c r="F782" s="1">
        <v>97661.18</v>
      </c>
    </row>
    <row r="783" spans="1:6" x14ac:dyDescent="0.3">
      <c r="A783" s="3" t="s">
        <v>16</v>
      </c>
      <c r="B783" s="3" t="s">
        <v>51</v>
      </c>
      <c r="C783" s="4" t="s">
        <v>12</v>
      </c>
      <c r="D783" s="3" t="s">
        <v>11</v>
      </c>
      <c r="E783" s="3" t="s">
        <v>45</v>
      </c>
      <c r="F783" s="3">
        <v>133018.79999999999</v>
      </c>
    </row>
    <row r="784" spans="1:6" x14ac:dyDescent="0.3">
      <c r="A784" s="1" t="s">
        <v>16</v>
      </c>
      <c r="B784" s="1" t="s">
        <v>51</v>
      </c>
      <c r="C784" s="2" t="s">
        <v>12</v>
      </c>
      <c r="D784" s="1" t="s">
        <v>11</v>
      </c>
      <c r="E784" s="1" t="s">
        <v>46</v>
      </c>
      <c r="F784" s="1">
        <v>3630.72</v>
      </c>
    </row>
    <row r="785" spans="1:6" x14ac:dyDescent="0.3">
      <c r="A785" s="3" t="s">
        <v>16</v>
      </c>
      <c r="B785" s="3" t="s">
        <v>51</v>
      </c>
      <c r="C785" s="4" t="s">
        <v>12</v>
      </c>
      <c r="D785" s="3" t="s">
        <v>11</v>
      </c>
      <c r="E785" s="3" t="s">
        <v>47</v>
      </c>
      <c r="F785" s="3">
        <v>15226.9</v>
      </c>
    </row>
    <row r="786" spans="1:6" x14ac:dyDescent="0.3">
      <c r="A786" s="1" t="s">
        <v>16</v>
      </c>
      <c r="B786" s="1" t="s">
        <v>51</v>
      </c>
      <c r="C786" s="2" t="s">
        <v>12</v>
      </c>
      <c r="D786" s="1" t="s">
        <v>11</v>
      </c>
      <c r="E786" s="1" t="s">
        <v>48</v>
      </c>
      <c r="F786" s="1">
        <v>16500</v>
      </c>
    </row>
    <row r="787" spans="1:6" x14ac:dyDescent="0.3">
      <c r="A787" s="3" t="s">
        <v>16</v>
      </c>
      <c r="B787" s="3" t="s">
        <v>51</v>
      </c>
      <c r="C787" s="4" t="s">
        <v>12</v>
      </c>
      <c r="D787" s="3" t="s">
        <v>11</v>
      </c>
      <c r="E787" s="3" t="s">
        <v>49</v>
      </c>
      <c r="F787" s="3">
        <v>0.73419080611161702</v>
      </c>
    </row>
    <row r="788" spans="1:6" x14ac:dyDescent="0.3">
      <c r="A788" s="1" t="s">
        <v>16</v>
      </c>
      <c r="B788" s="1" t="s">
        <v>51</v>
      </c>
      <c r="C788" s="2" t="s">
        <v>12</v>
      </c>
      <c r="D788" s="1" t="s">
        <v>1</v>
      </c>
      <c r="E788" s="1" t="s">
        <v>44</v>
      </c>
      <c r="F788" s="1">
        <v>-274267.81999999902</v>
      </c>
    </row>
    <row r="789" spans="1:6" x14ac:dyDescent="0.3">
      <c r="A789" s="3" t="s">
        <v>16</v>
      </c>
      <c r="B789" s="3" t="s">
        <v>51</v>
      </c>
      <c r="C789" s="4" t="s">
        <v>12</v>
      </c>
      <c r="D789" s="3" t="s">
        <v>1</v>
      </c>
      <c r="E789" s="3" t="s">
        <v>45</v>
      </c>
      <c r="F789" s="3">
        <v>144585.59999999899</v>
      </c>
    </row>
    <row r="790" spans="1:6" x14ac:dyDescent="0.3">
      <c r="A790" s="1" t="s">
        <v>16</v>
      </c>
      <c r="B790" s="1" t="s">
        <v>51</v>
      </c>
      <c r="C790" s="2" t="s">
        <v>12</v>
      </c>
      <c r="D790" s="1" t="s">
        <v>1</v>
      </c>
      <c r="E790" s="1" t="s">
        <v>46</v>
      </c>
      <c r="F790" s="1">
        <v>1626.8699999999899</v>
      </c>
    </row>
    <row r="791" spans="1:6" x14ac:dyDescent="0.3">
      <c r="A791" s="3" t="s">
        <v>16</v>
      </c>
      <c r="B791" s="3" t="s">
        <v>51</v>
      </c>
      <c r="C791" s="4" t="s">
        <v>12</v>
      </c>
      <c r="D791" s="3" t="s">
        <v>1</v>
      </c>
      <c r="E791" s="3" t="s">
        <v>47</v>
      </c>
      <c r="F791" s="3">
        <v>3842.15</v>
      </c>
    </row>
    <row r="792" spans="1:6" x14ac:dyDescent="0.3">
      <c r="A792" s="1" t="s">
        <v>16</v>
      </c>
      <c r="B792" s="1" t="s">
        <v>51</v>
      </c>
      <c r="C792" s="2" t="s">
        <v>12</v>
      </c>
      <c r="D792" s="1" t="s">
        <v>1</v>
      </c>
      <c r="E792" s="1" t="s">
        <v>48</v>
      </c>
      <c r="F792" s="1">
        <v>413384.39999999898</v>
      </c>
    </row>
    <row r="793" spans="1:6" x14ac:dyDescent="0.3">
      <c r="A793" s="3" t="s">
        <v>16</v>
      </c>
      <c r="B793" s="3" t="s">
        <v>51</v>
      </c>
      <c r="C793" s="4" t="s">
        <v>12</v>
      </c>
      <c r="D793" s="3" t="s">
        <v>1</v>
      </c>
      <c r="E793" s="3" t="s">
        <v>49</v>
      </c>
      <c r="F793" s="3">
        <v>-1.8969234833897699</v>
      </c>
    </row>
    <row r="794" spans="1:6" x14ac:dyDescent="0.3">
      <c r="A794" s="1" t="s">
        <v>16</v>
      </c>
      <c r="B794" s="1" t="s">
        <v>51</v>
      </c>
      <c r="C794" s="2" t="s">
        <v>12</v>
      </c>
      <c r="D794" s="1" t="s">
        <v>6</v>
      </c>
      <c r="E794" s="1" t="s">
        <v>44</v>
      </c>
      <c r="F794" s="1">
        <v>-282309.18999999901</v>
      </c>
    </row>
    <row r="795" spans="1:6" x14ac:dyDescent="0.3">
      <c r="A795" s="3" t="s">
        <v>16</v>
      </c>
      <c r="B795" s="3" t="s">
        <v>51</v>
      </c>
      <c r="C795" s="4" t="s">
        <v>12</v>
      </c>
      <c r="D795" s="3" t="s">
        <v>6</v>
      </c>
      <c r="E795" s="3" t="s">
        <v>45</v>
      </c>
      <c r="F795" s="3">
        <v>144585.59999999899</v>
      </c>
    </row>
    <row r="796" spans="1:6" x14ac:dyDescent="0.3">
      <c r="A796" s="1" t="s">
        <v>16</v>
      </c>
      <c r="B796" s="1" t="s">
        <v>51</v>
      </c>
      <c r="C796" s="2" t="s">
        <v>12</v>
      </c>
      <c r="D796" s="1" t="s">
        <v>6</v>
      </c>
      <c r="E796" s="1" t="s">
        <v>46</v>
      </c>
      <c r="F796" s="1">
        <v>3253.7399999999898</v>
      </c>
    </row>
    <row r="797" spans="1:6" x14ac:dyDescent="0.3">
      <c r="A797" s="3" t="s">
        <v>16</v>
      </c>
      <c r="B797" s="3" t="s">
        <v>51</v>
      </c>
      <c r="C797" s="4" t="s">
        <v>12</v>
      </c>
      <c r="D797" s="3" t="s">
        <v>6</v>
      </c>
      <c r="E797" s="3" t="s">
        <v>47</v>
      </c>
      <c r="F797" s="3">
        <v>3694.5999999999899</v>
      </c>
    </row>
    <row r="798" spans="1:6" x14ac:dyDescent="0.3">
      <c r="A798" s="1" t="s">
        <v>16</v>
      </c>
      <c r="B798" s="1" t="s">
        <v>51</v>
      </c>
      <c r="C798" s="2" t="s">
        <v>12</v>
      </c>
      <c r="D798" s="1" t="s">
        <v>6</v>
      </c>
      <c r="E798" s="1" t="s">
        <v>48</v>
      </c>
      <c r="F798" s="1">
        <v>419946.44999999902</v>
      </c>
    </row>
    <row r="799" spans="1:6" x14ac:dyDescent="0.3">
      <c r="A799" s="3" t="s">
        <v>16</v>
      </c>
      <c r="B799" s="3" t="s">
        <v>51</v>
      </c>
      <c r="C799" s="4" t="s">
        <v>12</v>
      </c>
      <c r="D799" s="3" t="s">
        <v>6</v>
      </c>
      <c r="E799" s="3" t="s">
        <v>49</v>
      </c>
      <c r="F799" s="3">
        <v>-1.95254015614279</v>
      </c>
    </row>
    <row r="800" spans="1:6" x14ac:dyDescent="0.3">
      <c r="A800" s="1" t="s">
        <v>16</v>
      </c>
      <c r="B800" s="1" t="s">
        <v>51</v>
      </c>
      <c r="C800" s="2" t="s">
        <v>12</v>
      </c>
      <c r="D800" s="1" t="s">
        <v>9</v>
      </c>
      <c r="E800" s="1" t="s">
        <v>44</v>
      </c>
      <c r="F800" s="1">
        <v>-308852.68999999901</v>
      </c>
    </row>
    <row r="801" spans="1:6" x14ac:dyDescent="0.3">
      <c r="A801" s="3" t="s">
        <v>16</v>
      </c>
      <c r="B801" s="3" t="s">
        <v>51</v>
      </c>
      <c r="C801" s="4" t="s">
        <v>12</v>
      </c>
      <c r="D801" s="3" t="s">
        <v>9</v>
      </c>
      <c r="E801" s="3" t="s">
        <v>45</v>
      </c>
      <c r="F801" s="3">
        <v>144585.59999999899</v>
      </c>
    </row>
    <row r="802" spans="1:6" x14ac:dyDescent="0.3">
      <c r="A802" s="1" t="s">
        <v>16</v>
      </c>
      <c r="B802" s="1" t="s">
        <v>51</v>
      </c>
      <c r="C802" s="2" t="s">
        <v>12</v>
      </c>
      <c r="D802" s="1" t="s">
        <v>9</v>
      </c>
      <c r="E802" s="1" t="s">
        <v>46</v>
      </c>
      <c r="F802" s="1">
        <v>3253.7399999999898</v>
      </c>
    </row>
    <row r="803" spans="1:6" x14ac:dyDescent="0.3">
      <c r="A803" s="3" t="s">
        <v>16</v>
      </c>
      <c r="B803" s="3" t="s">
        <v>51</v>
      </c>
      <c r="C803" s="4" t="s">
        <v>12</v>
      </c>
      <c r="D803" s="3" t="s">
        <v>9</v>
      </c>
      <c r="E803" s="3" t="s">
        <v>47</v>
      </c>
      <c r="F803" s="3">
        <v>3990.99999999999</v>
      </c>
    </row>
    <row r="804" spans="1:6" x14ac:dyDescent="0.3">
      <c r="A804" s="1" t="s">
        <v>16</v>
      </c>
      <c r="B804" s="1" t="s">
        <v>51</v>
      </c>
      <c r="C804" s="2" t="s">
        <v>12</v>
      </c>
      <c r="D804" s="1" t="s">
        <v>9</v>
      </c>
      <c r="E804" s="1" t="s">
        <v>48</v>
      </c>
      <c r="F804" s="1">
        <v>446193.549999999</v>
      </c>
    </row>
    <row r="805" spans="1:6" x14ac:dyDescent="0.3">
      <c r="A805" s="3" t="s">
        <v>16</v>
      </c>
      <c r="B805" s="3" t="s">
        <v>51</v>
      </c>
      <c r="C805" s="4" t="s">
        <v>12</v>
      </c>
      <c r="D805" s="3" t="s">
        <v>9</v>
      </c>
      <c r="E805" s="3" t="s">
        <v>49</v>
      </c>
      <c r="F805" s="3">
        <v>-2.1361234452116902</v>
      </c>
    </row>
    <row r="806" spans="1:6" x14ac:dyDescent="0.3">
      <c r="A806" s="1" t="s">
        <v>16</v>
      </c>
      <c r="B806" s="1" t="s">
        <v>51</v>
      </c>
      <c r="C806" s="2" t="s">
        <v>12</v>
      </c>
      <c r="D806" s="1" t="s">
        <v>11</v>
      </c>
      <c r="E806" s="1" t="s">
        <v>44</v>
      </c>
      <c r="F806" s="1">
        <v>-336132.18999999901</v>
      </c>
    </row>
    <row r="807" spans="1:6" x14ac:dyDescent="0.3">
      <c r="A807" s="3" t="s">
        <v>16</v>
      </c>
      <c r="B807" s="3" t="s">
        <v>51</v>
      </c>
      <c r="C807" s="4" t="s">
        <v>12</v>
      </c>
      <c r="D807" s="3" t="s">
        <v>11</v>
      </c>
      <c r="E807" s="3" t="s">
        <v>45</v>
      </c>
      <c r="F807" s="3">
        <v>144585.59999999899</v>
      </c>
    </row>
    <row r="808" spans="1:6" x14ac:dyDescent="0.3">
      <c r="A808" s="1" t="s">
        <v>16</v>
      </c>
      <c r="B808" s="1" t="s">
        <v>51</v>
      </c>
      <c r="C808" s="2" t="s">
        <v>12</v>
      </c>
      <c r="D808" s="1" t="s">
        <v>11</v>
      </c>
      <c r="E808" s="1" t="s">
        <v>46</v>
      </c>
      <c r="F808" s="1">
        <v>3253.7399999999898</v>
      </c>
    </row>
    <row r="809" spans="1:6" x14ac:dyDescent="0.3">
      <c r="A809" s="3" t="s">
        <v>16</v>
      </c>
      <c r="B809" s="3" t="s">
        <v>51</v>
      </c>
      <c r="C809" s="4" t="s">
        <v>12</v>
      </c>
      <c r="D809" s="3" t="s">
        <v>11</v>
      </c>
      <c r="E809" s="3" t="s">
        <v>47</v>
      </c>
      <c r="F809" s="3">
        <v>5024.5</v>
      </c>
    </row>
    <row r="810" spans="1:6" x14ac:dyDescent="0.3">
      <c r="A810" s="1" t="s">
        <v>16</v>
      </c>
      <c r="B810" s="1" t="s">
        <v>51</v>
      </c>
      <c r="C810" s="2" t="s">
        <v>12</v>
      </c>
      <c r="D810" s="1" t="s">
        <v>11</v>
      </c>
      <c r="E810" s="1" t="s">
        <v>48</v>
      </c>
      <c r="F810" s="1">
        <v>472439.549999999</v>
      </c>
    </row>
    <row r="811" spans="1:6" x14ac:dyDescent="0.3">
      <c r="A811" s="3" t="s">
        <v>16</v>
      </c>
      <c r="B811" s="3" t="s">
        <v>51</v>
      </c>
      <c r="C811" s="4" t="s">
        <v>12</v>
      </c>
      <c r="D811" s="3" t="s">
        <v>11</v>
      </c>
      <c r="E811" s="3" t="s">
        <v>49</v>
      </c>
      <c r="F811" s="3">
        <v>-2.3247971443905802</v>
      </c>
    </row>
    <row r="812" spans="1:6" x14ac:dyDescent="0.3">
      <c r="A812" s="1" t="s">
        <v>16</v>
      </c>
      <c r="B812" s="1" t="s">
        <v>51</v>
      </c>
      <c r="C812" s="2" t="s">
        <v>12</v>
      </c>
      <c r="D812" s="1" t="s">
        <v>1</v>
      </c>
      <c r="E812" s="1" t="s">
        <v>44</v>
      </c>
      <c r="F812" s="1">
        <v>13648.3</v>
      </c>
    </row>
    <row r="813" spans="1:6" x14ac:dyDescent="0.3">
      <c r="A813" s="3" t="s">
        <v>16</v>
      </c>
      <c r="B813" s="3" t="s">
        <v>51</v>
      </c>
      <c r="C813" s="4" t="s">
        <v>12</v>
      </c>
      <c r="D813" s="3" t="s">
        <v>1</v>
      </c>
      <c r="E813" s="3" t="s">
        <v>45</v>
      </c>
      <c r="F813" s="3">
        <v>76545.600000000006</v>
      </c>
    </row>
    <row r="814" spans="1:6" x14ac:dyDescent="0.3">
      <c r="A814" s="1" t="s">
        <v>16</v>
      </c>
      <c r="B814" s="1" t="s">
        <v>51</v>
      </c>
      <c r="C814" s="2" t="s">
        <v>12</v>
      </c>
      <c r="D814" s="1" t="s">
        <v>1</v>
      </c>
      <c r="E814" s="1" t="s">
        <v>47</v>
      </c>
      <c r="F814" s="1">
        <v>3842.15</v>
      </c>
    </row>
    <row r="815" spans="1:6" x14ac:dyDescent="0.3">
      <c r="A815" s="3" t="s">
        <v>16</v>
      </c>
      <c r="B815" s="3" t="s">
        <v>51</v>
      </c>
      <c r="C815" s="4" t="s">
        <v>12</v>
      </c>
      <c r="D815" s="3" t="s">
        <v>1</v>
      </c>
      <c r="E815" s="3" t="s">
        <v>48</v>
      </c>
      <c r="F815" s="3">
        <v>59055.1499999999</v>
      </c>
    </row>
    <row r="816" spans="1:6" x14ac:dyDescent="0.3">
      <c r="A816" s="1" t="s">
        <v>16</v>
      </c>
      <c r="B816" s="1" t="s">
        <v>51</v>
      </c>
      <c r="C816" s="2" t="s">
        <v>12</v>
      </c>
      <c r="D816" s="1" t="s">
        <v>1</v>
      </c>
      <c r="E816" s="1" t="s">
        <v>49</v>
      </c>
      <c r="F816" s="1">
        <v>0.17830286783303001</v>
      </c>
    </row>
    <row r="817" spans="1:6" x14ac:dyDescent="0.3">
      <c r="A817" s="3" t="s">
        <v>16</v>
      </c>
      <c r="B817" s="3" t="s">
        <v>51</v>
      </c>
      <c r="C817" s="4" t="s">
        <v>12</v>
      </c>
      <c r="D817" s="3" t="s">
        <v>6</v>
      </c>
      <c r="E817" s="3" t="s">
        <v>44</v>
      </c>
      <c r="F817" s="3">
        <v>52067.45</v>
      </c>
    </row>
    <row r="818" spans="1:6" x14ac:dyDescent="0.3">
      <c r="A818" s="1" t="s">
        <v>16</v>
      </c>
      <c r="B818" s="1" t="s">
        <v>51</v>
      </c>
      <c r="C818" s="2" t="s">
        <v>12</v>
      </c>
      <c r="D818" s="1" t="s">
        <v>6</v>
      </c>
      <c r="E818" s="1" t="s">
        <v>45</v>
      </c>
      <c r="F818" s="1">
        <v>114817.2</v>
      </c>
    </row>
    <row r="819" spans="1:6" x14ac:dyDescent="0.3">
      <c r="A819" s="3" t="s">
        <v>16</v>
      </c>
      <c r="B819" s="3" t="s">
        <v>51</v>
      </c>
      <c r="C819" s="4" t="s">
        <v>12</v>
      </c>
      <c r="D819" s="3" t="s">
        <v>6</v>
      </c>
      <c r="E819" s="3" t="s">
        <v>47</v>
      </c>
      <c r="F819" s="3">
        <v>3694.5999999999899</v>
      </c>
    </row>
    <row r="820" spans="1:6" x14ac:dyDescent="0.3">
      <c r="A820" s="1" t="s">
        <v>16</v>
      </c>
      <c r="B820" s="1" t="s">
        <v>51</v>
      </c>
      <c r="C820" s="2" t="s">
        <v>12</v>
      </c>
      <c r="D820" s="1" t="s">
        <v>6</v>
      </c>
      <c r="E820" s="1" t="s">
        <v>48</v>
      </c>
      <c r="F820" s="1">
        <v>59055.1499999999</v>
      </c>
    </row>
    <row r="821" spans="1:6" x14ac:dyDescent="0.3">
      <c r="A821" s="3" t="s">
        <v>16</v>
      </c>
      <c r="B821" s="3" t="s">
        <v>51</v>
      </c>
      <c r="C821" s="4" t="s">
        <v>12</v>
      </c>
      <c r="D821" s="3" t="s">
        <v>6</v>
      </c>
      <c r="E821" s="3" t="s">
        <v>49</v>
      </c>
      <c r="F821" s="3">
        <v>0.45348127284065398</v>
      </c>
    </row>
    <row r="822" spans="1:6" x14ac:dyDescent="0.3">
      <c r="A822" s="1" t="s">
        <v>16</v>
      </c>
      <c r="B822" s="1" t="s">
        <v>51</v>
      </c>
      <c r="C822" s="2" t="s">
        <v>12</v>
      </c>
      <c r="D822" s="1" t="s">
        <v>9</v>
      </c>
      <c r="E822" s="1" t="s">
        <v>44</v>
      </c>
      <c r="F822" s="1">
        <v>90043.85</v>
      </c>
    </row>
    <row r="823" spans="1:6" x14ac:dyDescent="0.3">
      <c r="A823" s="3" t="s">
        <v>16</v>
      </c>
      <c r="B823" s="3" t="s">
        <v>51</v>
      </c>
      <c r="C823" s="4" t="s">
        <v>12</v>
      </c>
      <c r="D823" s="3" t="s">
        <v>9</v>
      </c>
      <c r="E823" s="3" t="s">
        <v>45</v>
      </c>
      <c r="F823" s="3">
        <v>153090</v>
      </c>
    </row>
    <row r="824" spans="1:6" x14ac:dyDescent="0.3">
      <c r="A824" s="1" t="s">
        <v>16</v>
      </c>
      <c r="B824" s="1" t="s">
        <v>51</v>
      </c>
      <c r="C824" s="2" t="s">
        <v>12</v>
      </c>
      <c r="D824" s="1" t="s">
        <v>9</v>
      </c>
      <c r="E824" s="1" t="s">
        <v>47</v>
      </c>
      <c r="F824" s="1">
        <v>3990.99999999999</v>
      </c>
    </row>
    <row r="825" spans="1:6" x14ac:dyDescent="0.3">
      <c r="A825" s="3" t="s">
        <v>16</v>
      </c>
      <c r="B825" s="3" t="s">
        <v>51</v>
      </c>
      <c r="C825" s="4" t="s">
        <v>12</v>
      </c>
      <c r="D825" s="3" t="s">
        <v>9</v>
      </c>
      <c r="E825" s="3" t="s">
        <v>48</v>
      </c>
      <c r="F825" s="3">
        <v>59055.1499999999</v>
      </c>
    </row>
    <row r="826" spans="1:6" x14ac:dyDescent="0.3">
      <c r="A826" s="1" t="s">
        <v>16</v>
      </c>
      <c r="B826" s="1" t="s">
        <v>51</v>
      </c>
      <c r="C826" s="2" t="s">
        <v>12</v>
      </c>
      <c r="D826" s="1" t="s">
        <v>9</v>
      </c>
      <c r="E826" s="1" t="s">
        <v>49</v>
      </c>
      <c r="F826" s="1">
        <v>0.58817590959566202</v>
      </c>
    </row>
    <row r="827" spans="1:6" x14ac:dyDescent="0.3">
      <c r="A827" s="3" t="s">
        <v>16</v>
      </c>
      <c r="B827" s="3" t="s">
        <v>51</v>
      </c>
      <c r="C827" s="4" t="s">
        <v>12</v>
      </c>
      <c r="D827" s="3" t="s">
        <v>11</v>
      </c>
      <c r="E827" s="3" t="s">
        <v>44</v>
      </c>
      <c r="F827" s="3">
        <v>127283.15</v>
      </c>
    </row>
    <row r="828" spans="1:6" x14ac:dyDescent="0.3">
      <c r="A828" s="1" t="s">
        <v>16</v>
      </c>
      <c r="B828" s="1" t="s">
        <v>51</v>
      </c>
      <c r="C828" s="2" t="s">
        <v>12</v>
      </c>
      <c r="D828" s="1" t="s">
        <v>11</v>
      </c>
      <c r="E828" s="1" t="s">
        <v>45</v>
      </c>
      <c r="F828" s="1">
        <v>191362.8</v>
      </c>
    </row>
    <row r="829" spans="1:6" x14ac:dyDescent="0.3">
      <c r="A829" s="3" t="s">
        <v>16</v>
      </c>
      <c r="B829" s="3" t="s">
        <v>51</v>
      </c>
      <c r="C829" s="4" t="s">
        <v>12</v>
      </c>
      <c r="D829" s="3" t="s">
        <v>11</v>
      </c>
      <c r="E829" s="3" t="s">
        <v>47</v>
      </c>
      <c r="F829" s="3">
        <v>5024.5</v>
      </c>
    </row>
    <row r="830" spans="1:6" x14ac:dyDescent="0.3">
      <c r="A830" s="1" t="s">
        <v>16</v>
      </c>
      <c r="B830" s="1" t="s">
        <v>51</v>
      </c>
      <c r="C830" s="2" t="s">
        <v>12</v>
      </c>
      <c r="D830" s="1" t="s">
        <v>11</v>
      </c>
      <c r="E830" s="1" t="s">
        <v>48</v>
      </c>
      <c r="F830" s="1">
        <v>59055.1499999999</v>
      </c>
    </row>
    <row r="831" spans="1:6" x14ac:dyDescent="0.3">
      <c r="A831" s="3" t="s">
        <v>16</v>
      </c>
      <c r="B831" s="3" t="s">
        <v>51</v>
      </c>
      <c r="C831" s="4" t="s">
        <v>12</v>
      </c>
      <c r="D831" s="3" t="s">
        <v>11</v>
      </c>
      <c r="E831" s="3" t="s">
        <v>49</v>
      </c>
      <c r="F831" s="3">
        <v>0.665140507977517</v>
      </c>
    </row>
    <row r="832" spans="1:6" x14ac:dyDescent="0.3">
      <c r="A832" s="1" t="s">
        <v>16</v>
      </c>
      <c r="B832" s="1" t="s">
        <v>51</v>
      </c>
      <c r="C832" s="2" t="s">
        <v>12</v>
      </c>
      <c r="D832" s="1" t="s">
        <v>1</v>
      </c>
      <c r="E832" s="1" t="s">
        <v>44</v>
      </c>
      <c r="F832" s="1">
        <v>65064</v>
      </c>
    </row>
    <row r="833" spans="1:6" x14ac:dyDescent="0.3">
      <c r="A833" s="3" t="s">
        <v>16</v>
      </c>
      <c r="B833" s="3" t="s">
        <v>51</v>
      </c>
      <c r="C833" s="4" t="s">
        <v>12</v>
      </c>
      <c r="D833" s="3" t="s">
        <v>1</v>
      </c>
      <c r="E833" s="3" t="s">
        <v>45</v>
      </c>
      <c r="F833" s="3">
        <v>65064</v>
      </c>
    </row>
    <row r="834" spans="1:6" x14ac:dyDescent="0.3">
      <c r="A834" s="1" t="s">
        <v>16</v>
      </c>
      <c r="B834" s="1" t="s">
        <v>51</v>
      </c>
      <c r="C834" s="2" t="s">
        <v>12</v>
      </c>
      <c r="D834" s="1" t="s">
        <v>1</v>
      </c>
      <c r="E834" s="1" t="s">
        <v>49</v>
      </c>
      <c r="F834" s="1">
        <v>1</v>
      </c>
    </row>
    <row r="835" spans="1:6" x14ac:dyDescent="0.3">
      <c r="A835" s="3" t="s">
        <v>16</v>
      </c>
      <c r="B835" s="3" t="s">
        <v>51</v>
      </c>
      <c r="C835" s="4" t="s">
        <v>12</v>
      </c>
      <c r="D835" s="3" t="s">
        <v>6</v>
      </c>
      <c r="E835" s="3" t="s">
        <v>44</v>
      </c>
      <c r="F835" s="3">
        <v>97594.799999999901</v>
      </c>
    </row>
    <row r="836" spans="1:6" x14ac:dyDescent="0.3">
      <c r="A836" s="1" t="s">
        <v>16</v>
      </c>
      <c r="B836" s="1" t="s">
        <v>51</v>
      </c>
      <c r="C836" s="2" t="s">
        <v>12</v>
      </c>
      <c r="D836" s="1" t="s">
        <v>6</v>
      </c>
      <c r="E836" s="1" t="s">
        <v>45</v>
      </c>
      <c r="F836" s="1">
        <v>97594.799999999901</v>
      </c>
    </row>
    <row r="837" spans="1:6" x14ac:dyDescent="0.3">
      <c r="A837" s="3" t="s">
        <v>16</v>
      </c>
      <c r="B837" s="3" t="s">
        <v>51</v>
      </c>
      <c r="C837" s="4" t="s">
        <v>12</v>
      </c>
      <c r="D837" s="3" t="s">
        <v>6</v>
      </c>
      <c r="E837" s="3" t="s">
        <v>49</v>
      </c>
      <c r="F837" s="3">
        <v>1</v>
      </c>
    </row>
    <row r="838" spans="1:6" x14ac:dyDescent="0.3">
      <c r="A838" s="1" t="s">
        <v>16</v>
      </c>
      <c r="B838" s="1" t="s">
        <v>51</v>
      </c>
      <c r="C838" s="2" t="s">
        <v>12</v>
      </c>
      <c r="D838" s="1" t="s">
        <v>9</v>
      </c>
      <c r="E838" s="1" t="s">
        <v>44</v>
      </c>
      <c r="F838" s="1">
        <v>130126.8</v>
      </c>
    </row>
    <row r="839" spans="1:6" x14ac:dyDescent="0.3">
      <c r="A839" s="3" t="s">
        <v>16</v>
      </c>
      <c r="B839" s="3" t="s">
        <v>51</v>
      </c>
      <c r="C839" s="4" t="s">
        <v>12</v>
      </c>
      <c r="D839" s="3" t="s">
        <v>9</v>
      </c>
      <c r="E839" s="3" t="s">
        <v>45</v>
      </c>
      <c r="F839" s="3">
        <v>130126.8</v>
      </c>
    </row>
    <row r="840" spans="1:6" x14ac:dyDescent="0.3">
      <c r="A840" s="1" t="s">
        <v>16</v>
      </c>
      <c r="B840" s="1" t="s">
        <v>51</v>
      </c>
      <c r="C840" s="2" t="s">
        <v>12</v>
      </c>
      <c r="D840" s="1" t="s">
        <v>9</v>
      </c>
      <c r="E840" s="1" t="s">
        <v>49</v>
      </c>
      <c r="F840" s="1">
        <v>1</v>
      </c>
    </row>
    <row r="841" spans="1:6" x14ac:dyDescent="0.3">
      <c r="A841" s="3" t="s">
        <v>16</v>
      </c>
      <c r="B841" s="3" t="s">
        <v>51</v>
      </c>
      <c r="C841" s="4" t="s">
        <v>12</v>
      </c>
      <c r="D841" s="3" t="s">
        <v>11</v>
      </c>
      <c r="E841" s="3" t="s">
        <v>44</v>
      </c>
      <c r="F841" s="3">
        <v>162658.79999999999</v>
      </c>
    </row>
    <row r="842" spans="1:6" x14ac:dyDescent="0.3">
      <c r="A842" s="1" t="s">
        <v>16</v>
      </c>
      <c r="B842" s="1" t="s">
        <v>51</v>
      </c>
      <c r="C842" s="2" t="s">
        <v>12</v>
      </c>
      <c r="D842" s="1" t="s">
        <v>11</v>
      </c>
      <c r="E842" s="1" t="s">
        <v>45</v>
      </c>
      <c r="F842" s="1">
        <v>162658.79999999999</v>
      </c>
    </row>
    <row r="843" spans="1:6" x14ac:dyDescent="0.3">
      <c r="A843" s="3" t="s">
        <v>16</v>
      </c>
      <c r="B843" s="3" t="s">
        <v>51</v>
      </c>
      <c r="C843" s="4" t="s">
        <v>12</v>
      </c>
      <c r="D843" s="3" t="s">
        <v>11</v>
      </c>
      <c r="E843" s="3" t="s">
        <v>49</v>
      </c>
      <c r="F843" s="3">
        <v>1</v>
      </c>
    </row>
    <row r="844" spans="1:6" x14ac:dyDescent="0.3">
      <c r="A844" s="1" t="s">
        <v>16</v>
      </c>
      <c r="B844" s="1" t="s">
        <v>51</v>
      </c>
      <c r="C844" s="2" t="s">
        <v>12</v>
      </c>
      <c r="D844" s="1" t="s">
        <v>1</v>
      </c>
      <c r="E844" s="1" t="s">
        <v>44</v>
      </c>
      <c r="F844" s="1">
        <v>-3393.8999999999901</v>
      </c>
    </row>
    <row r="845" spans="1:6" x14ac:dyDescent="0.3">
      <c r="A845" s="3" t="s">
        <v>16</v>
      </c>
      <c r="B845" s="3" t="s">
        <v>51</v>
      </c>
      <c r="C845" s="4" t="s">
        <v>12</v>
      </c>
      <c r="D845" s="3" t="s">
        <v>1</v>
      </c>
      <c r="E845" s="3" t="s">
        <v>45</v>
      </c>
      <c r="F845" s="3">
        <v>29929.200000000001</v>
      </c>
    </row>
    <row r="846" spans="1:6" x14ac:dyDescent="0.3">
      <c r="A846" s="1" t="s">
        <v>16</v>
      </c>
      <c r="B846" s="1" t="s">
        <v>51</v>
      </c>
      <c r="C846" s="2" t="s">
        <v>12</v>
      </c>
      <c r="D846" s="1" t="s">
        <v>1</v>
      </c>
      <c r="E846" s="1" t="s">
        <v>46</v>
      </c>
      <c r="F846" s="1">
        <v>1815.36</v>
      </c>
    </row>
    <row r="847" spans="1:6" x14ac:dyDescent="0.3">
      <c r="A847" s="3" t="s">
        <v>16</v>
      </c>
      <c r="B847" s="3" t="s">
        <v>51</v>
      </c>
      <c r="C847" s="4" t="s">
        <v>12</v>
      </c>
      <c r="D847" s="3" t="s">
        <v>1</v>
      </c>
      <c r="E847" s="3" t="s">
        <v>47</v>
      </c>
      <c r="F847" s="3">
        <v>11823.24</v>
      </c>
    </row>
    <row r="848" spans="1:6" x14ac:dyDescent="0.3">
      <c r="A848" s="1" t="s">
        <v>16</v>
      </c>
      <c r="B848" s="1" t="s">
        <v>51</v>
      </c>
      <c r="C848" s="2" t="s">
        <v>12</v>
      </c>
      <c r="D848" s="1" t="s">
        <v>1</v>
      </c>
      <c r="E848" s="1" t="s">
        <v>48</v>
      </c>
      <c r="F848" s="1">
        <v>19684.5</v>
      </c>
    </row>
    <row r="849" spans="1:6" x14ac:dyDescent="0.3">
      <c r="A849" s="3" t="s">
        <v>16</v>
      </c>
      <c r="B849" s="3" t="s">
        <v>51</v>
      </c>
      <c r="C849" s="4" t="s">
        <v>12</v>
      </c>
      <c r="D849" s="3" t="s">
        <v>1</v>
      </c>
      <c r="E849" s="3" t="s">
        <v>49</v>
      </c>
      <c r="F849" s="3">
        <v>-0.113397618379375</v>
      </c>
    </row>
    <row r="850" spans="1:6" x14ac:dyDescent="0.3">
      <c r="A850" s="1" t="s">
        <v>16</v>
      </c>
      <c r="B850" s="1" t="s">
        <v>51</v>
      </c>
      <c r="C850" s="2" t="s">
        <v>12</v>
      </c>
      <c r="D850" s="1" t="s">
        <v>6</v>
      </c>
      <c r="E850" s="1" t="s">
        <v>44</v>
      </c>
      <c r="F850" s="1">
        <v>-3544.2799999999902</v>
      </c>
    </row>
    <row r="851" spans="1:6" x14ac:dyDescent="0.3">
      <c r="A851" s="3" t="s">
        <v>16</v>
      </c>
      <c r="B851" s="3" t="s">
        <v>51</v>
      </c>
      <c r="C851" s="4" t="s">
        <v>12</v>
      </c>
      <c r="D851" s="3" t="s">
        <v>6</v>
      </c>
      <c r="E851" s="3" t="s">
        <v>45</v>
      </c>
      <c r="F851" s="3">
        <v>29929.200000000001</v>
      </c>
    </row>
    <row r="852" spans="1:6" x14ac:dyDescent="0.3">
      <c r="A852" s="1" t="s">
        <v>16</v>
      </c>
      <c r="B852" s="1" t="s">
        <v>51</v>
      </c>
      <c r="C852" s="2" t="s">
        <v>12</v>
      </c>
      <c r="D852" s="1" t="s">
        <v>6</v>
      </c>
      <c r="E852" s="1" t="s">
        <v>46</v>
      </c>
      <c r="F852" s="1">
        <v>2420.48</v>
      </c>
    </row>
    <row r="853" spans="1:6" x14ac:dyDescent="0.3">
      <c r="A853" s="3" t="s">
        <v>16</v>
      </c>
      <c r="B853" s="3" t="s">
        <v>51</v>
      </c>
      <c r="C853" s="4" t="s">
        <v>12</v>
      </c>
      <c r="D853" s="3" t="s">
        <v>6</v>
      </c>
      <c r="E853" s="3" t="s">
        <v>47</v>
      </c>
      <c r="F853" s="3">
        <v>11368.5</v>
      </c>
    </row>
    <row r="854" spans="1:6" x14ac:dyDescent="0.3">
      <c r="A854" s="1" t="s">
        <v>16</v>
      </c>
      <c r="B854" s="1" t="s">
        <v>51</v>
      </c>
      <c r="C854" s="2" t="s">
        <v>12</v>
      </c>
      <c r="D854" s="1" t="s">
        <v>6</v>
      </c>
      <c r="E854" s="1" t="s">
        <v>48</v>
      </c>
      <c r="F854" s="1">
        <v>19684.5</v>
      </c>
    </row>
    <row r="855" spans="1:6" x14ac:dyDescent="0.3">
      <c r="A855" s="3" t="s">
        <v>16</v>
      </c>
      <c r="B855" s="3" t="s">
        <v>51</v>
      </c>
      <c r="C855" s="4" t="s">
        <v>12</v>
      </c>
      <c r="D855" s="3" t="s">
        <v>6</v>
      </c>
      <c r="E855" s="3" t="s">
        <v>49</v>
      </c>
      <c r="F855" s="3">
        <v>-0.11842214292396699</v>
      </c>
    </row>
    <row r="856" spans="1:6" x14ac:dyDescent="0.3">
      <c r="A856" s="1" t="s">
        <v>16</v>
      </c>
      <c r="B856" s="1" t="s">
        <v>51</v>
      </c>
      <c r="C856" s="2" t="s">
        <v>12</v>
      </c>
      <c r="D856" s="1" t="s">
        <v>9</v>
      </c>
      <c r="E856" s="1" t="s">
        <v>44</v>
      </c>
      <c r="F856" s="1">
        <v>14288.8</v>
      </c>
    </row>
    <row r="857" spans="1:6" x14ac:dyDescent="0.3">
      <c r="A857" s="3" t="s">
        <v>16</v>
      </c>
      <c r="B857" s="3" t="s">
        <v>51</v>
      </c>
      <c r="C857" s="4" t="s">
        <v>12</v>
      </c>
      <c r="D857" s="3" t="s">
        <v>9</v>
      </c>
      <c r="E857" s="3" t="s">
        <v>45</v>
      </c>
      <c r="F857" s="3">
        <v>49882</v>
      </c>
    </row>
    <row r="858" spans="1:6" x14ac:dyDescent="0.3">
      <c r="A858" s="1" t="s">
        <v>16</v>
      </c>
      <c r="B858" s="1" t="s">
        <v>51</v>
      </c>
      <c r="C858" s="2" t="s">
        <v>12</v>
      </c>
      <c r="D858" s="1" t="s">
        <v>9</v>
      </c>
      <c r="E858" s="1" t="s">
        <v>46</v>
      </c>
      <c r="F858" s="1">
        <v>3630.72</v>
      </c>
    </row>
    <row r="859" spans="1:6" x14ac:dyDescent="0.3">
      <c r="A859" s="3" t="s">
        <v>16</v>
      </c>
      <c r="B859" s="3" t="s">
        <v>51</v>
      </c>
      <c r="C859" s="4" t="s">
        <v>12</v>
      </c>
      <c r="D859" s="3" t="s">
        <v>9</v>
      </c>
      <c r="E859" s="3" t="s">
        <v>47</v>
      </c>
      <c r="F859" s="3">
        <v>12277.98</v>
      </c>
    </row>
    <row r="860" spans="1:6" x14ac:dyDescent="0.3">
      <c r="A860" s="1" t="s">
        <v>16</v>
      </c>
      <c r="B860" s="1" t="s">
        <v>51</v>
      </c>
      <c r="C860" s="2" t="s">
        <v>12</v>
      </c>
      <c r="D860" s="1" t="s">
        <v>9</v>
      </c>
      <c r="E860" s="1" t="s">
        <v>48</v>
      </c>
      <c r="F860" s="1">
        <v>19684.5</v>
      </c>
    </row>
    <row r="861" spans="1:6" x14ac:dyDescent="0.3">
      <c r="A861" s="3" t="s">
        <v>16</v>
      </c>
      <c r="B861" s="3" t="s">
        <v>51</v>
      </c>
      <c r="C861" s="4" t="s">
        <v>12</v>
      </c>
      <c r="D861" s="3" t="s">
        <v>9</v>
      </c>
      <c r="E861" s="3" t="s">
        <v>49</v>
      </c>
      <c r="F861" s="3">
        <v>0.28645202678320802</v>
      </c>
    </row>
    <row r="862" spans="1:6" x14ac:dyDescent="0.3">
      <c r="A862" s="1" t="s">
        <v>16</v>
      </c>
      <c r="B862" s="1" t="s">
        <v>51</v>
      </c>
      <c r="C862" s="2" t="s">
        <v>12</v>
      </c>
      <c r="D862" s="1" t="s">
        <v>11</v>
      </c>
      <c r="E862" s="1" t="s">
        <v>44</v>
      </c>
      <c r="F862" s="1">
        <v>21082.02</v>
      </c>
    </row>
    <row r="863" spans="1:6" x14ac:dyDescent="0.3">
      <c r="A863" s="3" t="s">
        <v>16</v>
      </c>
      <c r="B863" s="3" t="s">
        <v>51</v>
      </c>
      <c r="C863" s="4" t="s">
        <v>12</v>
      </c>
      <c r="D863" s="3" t="s">
        <v>11</v>
      </c>
      <c r="E863" s="3" t="s">
        <v>45</v>
      </c>
      <c r="F863" s="3">
        <v>59858.400000000001</v>
      </c>
    </row>
    <row r="864" spans="1:6" x14ac:dyDescent="0.3">
      <c r="A864" s="1" t="s">
        <v>16</v>
      </c>
      <c r="B864" s="1" t="s">
        <v>51</v>
      </c>
      <c r="C864" s="2" t="s">
        <v>12</v>
      </c>
      <c r="D864" s="1" t="s">
        <v>11</v>
      </c>
      <c r="E864" s="1" t="s">
        <v>46</v>
      </c>
      <c r="F864" s="1">
        <v>3630.72</v>
      </c>
    </row>
    <row r="865" spans="1:6" x14ac:dyDescent="0.3">
      <c r="A865" s="3" t="s">
        <v>16</v>
      </c>
      <c r="B865" s="3" t="s">
        <v>51</v>
      </c>
      <c r="C865" s="4" t="s">
        <v>12</v>
      </c>
      <c r="D865" s="3" t="s">
        <v>11</v>
      </c>
      <c r="E865" s="3" t="s">
        <v>47</v>
      </c>
      <c r="F865" s="3">
        <v>15461.1599999999</v>
      </c>
    </row>
    <row r="866" spans="1:6" x14ac:dyDescent="0.3">
      <c r="A866" s="1" t="s">
        <v>16</v>
      </c>
      <c r="B866" s="1" t="s">
        <v>51</v>
      </c>
      <c r="C866" s="2" t="s">
        <v>12</v>
      </c>
      <c r="D866" s="1" t="s">
        <v>11</v>
      </c>
      <c r="E866" s="1" t="s">
        <v>48</v>
      </c>
      <c r="F866" s="1">
        <v>19684.5</v>
      </c>
    </row>
    <row r="867" spans="1:6" x14ac:dyDescent="0.3">
      <c r="A867" s="3" t="s">
        <v>16</v>
      </c>
      <c r="B867" s="3" t="s">
        <v>51</v>
      </c>
      <c r="C867" s="4" t="s">
        <v>12</v>
      </c>
      <c r="D867" s="3" t="s">
        <v>11</v>
      </c>
      <c r="E867" s="3" t="s">
        <v>49</v>
      </c>
      <c r="F867" s="3">
        <v>0.35219818772302602</v>
      </c>
    </row>
    <row r="868" spans="1:6" x14ac:dyDescent="0.3">
      <c r="A868" s="1" t="s">
        <v>16</v>
      </c>
      <c r="B868" s="1" t="s">
        <v>52</v>
      </c>
      <c r="C868" s="2" t="s">
        <v>12</v>
      </c>
      <c r="D868" s="1" t="s">
        <v>1</v>
      </c>
      <c r="E868" s="1" t="s">
        <v>44</v>
      </c>
      <c r="F868" s="1">
        <v>98500</v>
      </c>
    </row>
    <row r="869" spans="1:6" x14ac:dyDescent="0.3">
      <c r="A869" s="3" t="s">
        <v>16</v>
      </c>
      <c r="B869" s="3" t="s">
        <v>52</v>
      </c>
      <c r="C869" s="4" t="s">
        <v>12</v>
      </c>
      <c r="D869" s="3" t="s">
        <v>1</v>
      </c>
      <c r="E869" s="3" t="s">
        <v>45</v>
      </c>
      <c r="F869" s="3">
        <v>98500</v>
      </c>
    </row>
    <row r="870" spans="1:6" x14ac:dyDescent="0.3">
      <c r="A870" s="1" t="s">
        <v>16</v>
      </c>
      <c r="B870" s="1" t="s">
        <v>52</v>
      </c>
      <c r="C870" s="2" t="s">
        <v>12</v>
      </c>
      <c r="D870" s="1" t="s">
        <v>1</v>
      </c>
      <c r="E870" s="1" t="s">
        <v>49</v>
      </c>
      <c r="F870" s="1">
        <v>1</v>
      </c>
    </row>
    <row r="871" spans="1:6" x14ac:dyDescent="0.3">
      <c r="A871" s="3" t="s">
        <v>16</v>
      </c>
      <c r="B871" s="3" t="s">
        <v>52</v>
      </c>
      <c r="C871" s="4" t="s">
        <v>12</v>
      </c>
      <c r="D871" s="3" t="s">
        <v>6</v>
      </c>
      <c r="E871" s="3" t="s">
        <v>44</v>
      </c>
      <c r="F871" s="3">
        <v>84500</v>
      </c>
    </row>
    <row r="872" spans="1:6" x14ac:dyDescent="0.3">
      <c r="A872" s="1" t="s">
        <v>16</v>
      </c>
      <c r="B872" s="1" t="s">
        <v>52</v>
      </c>
      <c r="C872" s="2" t="s">
        <v>12</v>
      </c>
      <c r="D872" s="1" t="s">
        <v>6</v>
      </c>
      <c r="E872" s="1" t="s">
        <v>45</v>
      </c>
      <c r="F872" s="1">
        <v>84500</v>
      </c>
    </row>
    <row r="873" spans="1:6" x14ac:dyDescent="0.3">
      <c r="A873" s="3" t="s">
        <v>16</v>
      </c>
      <c r="B873" s="3" t="s">
        <v>52</v>
      </c>
      <c r="C873" s="4" t="s">
        <v>12</v>
      </c>
      <c r="D873" s="3" t="s">
        <v>6</v>
      </c>
      <c r="E873" s="3" t="s">
        <v>49</v>
      </c>
      <c r="F873" s="3">
        <v>1</v>
      </c>
    </row>
    <row r="874" spans="1:6" x14ac:dyDescent="0.3">
      <c r="A874" s="1" t="s">
        <v>16</v>
      </c>
      <c r="B874" s="1" t="s">
        <v>52</v>
      </c>
      <c r="C874" s="2" t="s">
        <v>12</v>
      </c>
      <c r="D874" s="1" t="s">
        <v>9</v>
      </c>
      <c r="E874" s="1" t="s">
        <v>44</v>
      </c>
      <c r="F874" s="1">
        <v>98500</v>
      </c>
    </row>
    <row r="875" spans="1:6" x14ac:dyDescent="0.3">
      <c r="A875" s="3" t="s">
        <v>16</v>
      </c>
      <c r="B875" s="3" t="s">
        <v>52</v>
      </c>
      <c r="C875" s="4" t="s">
        <v>12</v>
      </c>
      <c r="D875" s="3" t="s">
        <v>9</v>
      </c>
      <c r="E875" s="3" t="s">
        <v>45</v>
      </c>
      <c r="F875" s="3">
        <v>98500</v>
      </c>
    </row>
    <row r="876" spans="1:6" x14ac:dyDescent="0.3">
      <c r="A876" s="1" t="s">
        <v>16</v>
      </c>
      <c r="B876" s="1" t="s">
        <v>52</v>
      </c>
      <c r="C876" s="2" t="s">
        <v>12</v>
      </c>
      <c r="D876" s="1" t="s">
        <v>9</v>
      </c>
      <c r="E876" s="1" t="s">
        <v>49</v>
      </c>
      <c r="F876" s="1">
        <v>1</v>
      </c>
    </row>
    <row r="877" spans="1:6" x14ac:dyDescent="0.3">
      <c r="A877" s="3" t="s">
        <v>16</v>
      </c>
      <c r="B877" s="3" t="s">
        <v>52</v>
      </c>
      <c r="C877" s="4" t="s">
        <v>12</v>
      </c>
      <c r="D877" s="3" t="s">
        <v>11</v>
      </c>
      <c r="E877" s="3" t="s">
        <v>44</v>
      </c>
      <c r="F877" s="3">
        <v>84500</v>
      </c>
    </row>
    <row r="878" spans="1:6" x14ac:dyDescent="0.3">
      <c r="A878" s="1" t="s">
        <v>16</v>
      </c>
      <c r="B878" s="1" t="s">
        <v>52</v>
      </c>
      <c r="C878" s="2" t="s">
        <v>12</v>
      </c>
      <c r="D878" s="1" t="s">
        <v>11</v>
      </c>
      <c r="E878" s="1" t="s">
        <v>45</v>
      </c>
      <c r="F878" s="1">
        <v>84500</v>
      </c>
    </row>
    <row r="879" spans="1:6" x14ac:dyDescent="0.3">
      <c r="A879" s="3" t="s">
        <v>16</v>
      </c>
      <c r="B879" s="3" t="s">
        <v>52</v>
      </c>
      <c r="C879" s="4" t="s">
        <v>12</v>
      </c>
      <c r="D879" s="3" t="s">
        <v>11</v>
      </c>
      <c r="E879" s="3" t="s">
        <v>49</v>
      </c>
      <c r="F879" s="3">
        <v>1</v>
      </c>
    </row>
    <row r="880" spans="1:6" x14ac:dyDescent="0.3">
      <c r="A880" s="1" t="s">
        <v>16</v>
      </c>
      <c r="B880" s="1" t="s">
        <v>52</v>
      </c>
      <c r="C880" s="2" t="s">
        <v>12</v>
      </c>
      <c r="D880" s="1" t="s">
        <v>1</v>
      </c>
      <c r="E880" s="1" t="s">
        <v>44</v>
      </c>
      <c r="F880" s="1">
        <v>94748.9399999999</v>
      </c>
    </row>
    <row r="881" spans="1:6" x14ac:dyDescent="0.3">
      <c r="A881" s="3" t="s">
        <v>16</v>
      </c>
      <c r="B881" s="3" t="s">
        <v>52</v>
      </c>
      <c r="C881" s="4" t="s">
        <v>12</v>
      </c>
      <c r="D881" s="3" t="s">
        <v>1</v>
      </c>
      <c r="E881" s="3" t="s">
        <v>45</v>
      </c>
      <c r="F881" s="3">
        <v>105250.19999999899</v>
      </c>
    </row>
    <row r="882" spans="1:6" x14ac:dyDescent="0.3">
      <c r="A882" s="1" t="s">
        <v>16</v>
      </c>
      <c r="B882" s="1" t="s">
        <v>52</v>
      </c>
      <c r="C882" s="2" t="s">
        <v>12</v>
      </c>
      <c r="D882" s="1" t="s">
        <v>1</v>
      </c>
      <c r="E882" s="1" t="s">
        <v>47</v>
      </c>
      <c r="F882" s="1">
        <v>3901.2599999999902</v>
      </c>
    </row>
    <row r="883" spans="1:6" x14ac:dyDescent="0.3">
      <c r="A883" s="3" t="s">
        <v>16</v>
      </c>
      <c r="B883" s="3" t="s">
        <v>52</v>
      </c>
      <c r="C883" s="4" t="s">
        <v>12</v>
      </c>
      <c r="D883" s="3" t="s">
        <v>1</v>
      </c>
      <c r="E883" s="3" t="s">
        <v>48</v>
      </c>
      <c r="F883" s="3">
        <v>6600</v>
      </c>
    </row>
    <row r="884" spans="1:6" x14ac:dyDescent="0.3">
      <c r="A884" s="1" t="s">
        <v>16</v>
      </c>
      <c r="B884" s="1" t="s">
        <v>52</v>
      </c>
      <c r="C884" s="2" t="s">
        <v>12</v>
      </c>
      <c r="D884" s="1" t="s">
        <v>1</v>
      </c>
      <c r="E884" s="1" t="s">
        <v>49</v>
      </c>
      <c r="F884" s="1">
        <v>0.900225747789552</v>
      </c>
    </row>
    <row r="885" spans="1:6" x14ac:dyDescent="0.3">
      <c r="A885" s="3" t="s">
        <v>16</v>
      </c>
      <c r="B885" s="3" t="s">
        <v>52</v>
      </c>
      <c r="C885" s="4" t="s">
        <v>12</v>
      </c>
      <c r="D885" s="3" t="s">
        <v>6</v>
      </c>
      <c r="E885" s="3" t="s">
        <v>44</v>
      </c>
      <c r="F885" s="3">
        <v>147522.209999999</v>
      </c>
    </row>
    <row r="886" spans="1:6" x14ac:dyDescent="0.3">
      <c r="A886" s="1" t="s">
        <v>16</v>
      </c>
      <c r="B886" s="1" t="s">
        <v>52</v>
      </c>
      <c r="C886" s="2" t="s">
        <v>12</v>
      </c>
      <c r="D886" s="1" t="s">
        <v>6</v>
      </c>
      <c r="E886" s="1" t="s">
        <v>45</v>
      </c>
      <c r="F886" s="1">
        <v>157873.649999999</v>
      </c>
    </row>
    <row r="887" spans="1:6" x14ac:dyDescent="0.3">
      <c r="A887" s="3" t="s">
        <v>16</v>
      </c>
      <c r="B887" s="3" t="s">
        <v>52</v>
      </c>
      <c r="C887" s="4" t="s">
        <v>12</v>
      </c>
      <c r="D887" s="3" t="s">
        <v>6</v>
      </c>
      <c r="E887" s="3" t="s">
        <v>47</v>
      </c>
      <c r="F887" s="3">
        <v>3751.4399999999901</v>
      </c>
    </row>
    <row r="888" spans="1:6" x14ac:dyDescent="0.3">
      <c r="A888" s="1" t="s">
        <v>16</v>
      </c>
      <c r="B888" s="1" t="s">
        <v>52</v>
      </c>
      <c r="C888" s="2" t="s">
        <v>12</v>
      </c>
      <c r="D888" s="1" t="s">
        <v>6</v>
      </c>
      <c r="E888" s="1" t="s">
        <v>48</v>
      </c>
      <c r="F888" s="1">
        <v>6600</v>
      </c>
    </row>
    <row r="889" spans="1:6" x14ac:dyDescent="0.3">
      <c r="A889" s="3" t="s">
        <v>16</v>
      </c>
      <c r="B889" s="3" t="s">
        <v>52</v>
      </c>
      <c r="C889" s="4" t="s">
        <v>12</v>
      </c>
      <c r="D889" s="3" t="s">
        <v>6</v>
      </c>
      <c r="E889" s="3" t="s">
        <v>49</v>
      </c>
      <c r="F889" s="3">
        <v>0.93443212341008097</v>
      </c>
    </row>
    <row r="890" spans="1:6" x14ac:dyDescent="0.3">
      <c r="A890" s="1" t="s">
        <v>16</v>
      </c>
      <c r="B890" s="1" t="s">
        <v>52</v>
      </c>
      <c r="C890" s="2" t="s">
        <v>12</v>
      </c>
      <c r="D890" s="1" t="s">
        <v>9</v>
      </c>
      <c r="E890" s="1" t="s">
        <v>44</v>
      </c>
      <c r="F890" s="1">
        <v>199846.35</v>
      </c>
    </row>
    <row r="891" spans="1:6" x14ac:dyDescent="0.3">
      <c r="A891" s="3" t="s">
        <v>16</v>
      </c>
      <c r="B891" s="3" t="s">
        <v>52</v>
      </c>
      <c r="C891" s="4" t="s">
        <v>12</v>
      </c>
      <c r="D891" s="3" t="s">
        <v>9</v>
      </c>
      <c r="E891" s="3" t="s">
        <v>45</v>
      </c>
      <c r="F891" s="3">
        <v>210498.75</v>
      </c>
    </row>
    <row r="892" spans="1:6" x14ac:dyDescent="0.3">
      <c r="A892" s="1" t="s">
        <v>16</v>
      </c>
      <c r="B892" s="1" t="s">
        <v>52</v>
      </c>
      <c r="C892" s="2" t="s">
        <v>12</v>
      </c>
      <c r="D892" s="1" t="s">
        <v>9</v>
      </c>
      <c r="E892" s="1" t="s">
        <v>47</v>
      </c>
      <c r="F892" s="1">
        <v>4052.3999999999901</v>
      </c>
    </row>
    <row r="893" spans="1:6" x14ac:dyDescent="0.3">
      <c r="A893" s="3" t="s">
        <v>16</v>
      </c>
      <c r="B893" s="3" t="s">
        <v>52</v>
      </c>
      <c r="C893" s="4" t="s">
        <v>12</v>
      </c>
      <c r="D893" s="3" t="s">
        <v>9</v>
      </c>
      <c r="E893" s="3" t="s">
        <v>48</v>
      </c>
      <c r="F893" s="3">
        <v>6600</v>
      </c>
    </row>
    <row r="894" spans="1:6" x14ac:dyDescent="0.3">
      <c r="A894" s="1" t="s">
        <v>16</v>
      </c>
      <c r="B894" s="1" t="s">
        <v>52</v>
      </c>
      <c r="C894" s="2" t="s">
        <v>12</v>
      </c>
      <c r="D894" s="1" t="s">
        <v>9</v>
      </c>
      <c r="E894" s="1" t="s">
        <v>49</v>
      </c>
      <c r="F894" s="1">
        <v>0.94939447383891795</v>
      </c>
    </row>
    <row r="895" spans="1:6" x14ac:dyDescent="0.3">
      <c r="A895" s="3" t="s">
        <v>16</v>
      </c>
      <c r="B895" s="3" t="s">
        <v>52</v>
      </c>
      <c r="C895" s="4" t="s">
        <v>12</v>
      </c>
      <c r="D895" s="3" t="s">
        <v>11</v>
      </c>
      <c r="E895" s="3" t="s">
        <v>44</v>
      </c>
      <c r="F895" s="3">
        <v>251422.049999999</v>
      </c>
    </row>
    <row r="896" spans="1:6" x14ac:dyDescent="0.3">
      <c r="A896" s="1" t="s">
        <v>16</v>
      </c>
      <c r="B896" s="1" t="s">
        <v>52</v>
      </c>
      <c r="C896" s="2" t="s">
        <v>12</v>
      </c>
      <c r="D896" s="1" t="s">
        <v>11</v>
      </c>
      <c r="E896" s="1" t="s">
        <v>45</v>
      </c>
      <c r="F896" s="1">
        <v>263123.84999999899</v>
      </c>
    </row>
    <row r="897" spans="1:6" x14ac:dyDescent="0.3">
      <c r="A897" s="3" t="s">
        <v>16</v>
      </c>
      <c r="B897" s="3" t="s">
        <v>52</v>
      </c>
      <c r="C897" s="4" t="s">
        <v>12</v>
      </c>
      <c r="D897" s="3" t="s">
        <v>11</v>
      </c>
      <c r="E897" s="3" t="s">
        <v>47</v>
      </c>
      <c r="F897" s="3">
        <v>5101.7999999999902</v>
      </c>
    </row>
    <row r="898" spans="1:6" x14ac:dyDescent="0.3">
      <c r="A898" s="1" t="s">
        <v>16</v>
      </c>
      <c r="B898" s="1" t="s">
        <v>52</v>
      </c>
      <c r="C898" s="2" t="s">
        <v>12</v>
      </c>
      <c r="D898" s="1" t="s">
        <v>11</v>
      </c>
      <c r="E898" s="1" t="s">
        <v>48</v>
      </c>
      <c r="F898" s="1">
        <v>6600</v>
      </c>
    </row>
    <row r="899" spans="1:6" x14ac:dyDescent="0.3">
      <c r="A899" s="3" t="s">
        <v>16</v>
      </c>
      <c r="B899" s="3" t="s">
        <v>52</v>
      </c>
      <c r="C899" s="4" t="s">
        <v>12</v>
      </c>
      <c r="D899" s="3" t="s">
        <v>11</v>
      </c>
      <c r="E899" s="3" t="s">
        <v>49</v>
      </c>
      <c r="F899" s="3">
        <v>0.95552740658058899</v>
      </c>
    </row>
    <row r="900" spans="1:6" x14ac:dyDescent="0.3">
      <c r="A900" s="1" t="s">
        <v>16</v>
      </c>
      <c r="B900" s="1" t="s">
        <v>52</v>
      </c>
      <c r="C900" s="2" t="s">
        <v>12</v>
      </c>
      <c r="D900" s="1" t="s">
        <v>1</v>
      </c>
      <c r="E900" s="1" t="s">
        <v>44</v>
      </c>
      <c r="F900" s="1">
        <v>28716.3</v>
      </c>
    </row>
    <row r="901" spans="1:6" x14ac:dyDescent="0.3">
      <c r="A901" s="3" t="s">
        <v>16</v>
      </c>
      <c r="B901" s="3" t="s">
        <v>52</v>
      </c>
      <c r="C901" s="4" t="s">
        <v>12</v>
      </c>
      <c r="D901" s="3" t="s">
        <v>1</v>
      </c>
      <c r="E901" s="3" t="s">
        <v>45</v>
      </c>
      <c r="F901" s="3">
        <v>48414.3</v>
      </c>
    </row>
    <row r="902" spans="1:6" x14ac:dyDescent="0.3">
      <c r="A902" s="1" t="s">
        <v>16</v>
      </c>
      <c r="B902" s="1" t="s">
        <v>52</v>
      </c>
      <c r="C902" s="2" t="s">
        <v>12</v>
      </c>
      <c r="D902" s="1" t="s">
        <v>1</v>
      </c>
      <c r="E902" s="1" t="s">
        <v>47</v>
      </c>
      <c r="F902" s="1">
        <v>13.5</v>
      </c>
    </row>
    <row r="903" spans="1:6" x14ac:dyDescent="0.3">
      <c r="A903" s="3" t="s">
        <v>16</v>
      </c>
      <c r="B903" s="3" t="s">
        <v>52</v>
      </c>
      <c r="C903" s="4" t="s">
        <v>12</v>
      </c>
      <c r="D903" s="3" t="s">
        <v>1</v>
      </c>
      <c r="E903" s="3" t="s">
        <v>48</v>
      </c>
      <c r="F903" s="3">
        <v>19684.5</v>
      </c>
    </row>
    <row r="904" spans="1:6" x14ac:dyDescent="0.3">
      <c r="A904" s="1" t="s">
        <v>16</v>
      </c>
      <c r="B904" s="1" t="s">
        <v>52</v>
      </c>
      <c r="C904" s="2" t="s">
        <v>12</v>
      </c>
      <c r="D904" s="1" t="s">
        <v>1</v>
      </c>
      <c r="E904" s="1" t="s">
        <v>49</v>
      </c>
      <c r="F904" s="1">
        <v>0.5931367385256</v>
      </c>
    </row>
    <row r="905" spans="1:6" x14ac:dyDescent="0.3">
      <c r="A905" s="3" t="s">
        <v>16</v>
      </c>
      <c r="B905" s="3" t="s">
        <v>52</v>
      </c>
      <c r="C905" s="4" t="s">
        <v>12</v>
      </c>
      <c r="D905" s="3" t="s">
        <v>6</v>
      </c>
      <c r="E905" s="3" t="s">
        <v>44</v>
      </c>
      <c r="F905" s="3">
        <v>28716.3</v>
      </c>
    </row>
    <row r="906" spans="1:6" x14ac:dyDescent="0.3">
      <c r="A906" s="1" t="s">
        <v>16</v>
      </c>
      <c r="B906" s="1" t="s">
        <v>52</v>
      </c>
      <c r="C906" s="2" t="s">
        <v>12</v>
      </c>
      <c r="D906" s="1" t="s">
        <v>6</v>
      </c>
      <c r="E906" s="1" t="s">
        <v>45</v>
      </c>
      <c r="F906" s="1">
        <v>48414.3</v>
      </c>
    </row>
    <row r="907" spans="1:6" x14ac:dyDescent="0.3">
      <c r="A907" s="3" t="s">
        <v>16</v>
      </c>
      <c r="B907" s="3" t="s">
        <v>52</v>
      </c>
      <c r="C907" s="4" t="s">
        <v>12</v>
      </c>
      <c r="D907" s="3" t="s">
        <v>6</v>
      </c>
      <c r="E907" s="3" t="s">
        <v>47</v>
      </c>
      <c r="F907" s="3">
        <v>13.5</v>
      </c>
    </row>
    <row r="908" spans="1:6" x14ac:dyDescent="0.3">
      <c r="A908" s="1" t="s">
        <v>16</v>
      </c>
      <c r="B908" s="1" t="s">
        <v>52</v>
      </c>
      <c r="C908" s="2" t="s">
        <v>12</v>
      </c>
      <c r="D908" s="1" t="s">
        <v>6</v>
      </c>
      <c r="E908" s="1" t="s">
        <v>48</v>
      </c>
      <c r="F908" s="1">
        <v>19684.5</v>
      </c>
    </row>
    <row r="909" spans="1:6" x14ac:dyDescent="0.3">
      <c r="A909" s="3" t="s">
        <v>16</v>
      </c>
      <c r="B909" s="3" t="s">
        <v>52</v>
      </c>
      <c r="C909" s="4" t="s">
        <v>12</v>
      </c>
      <c r="D909" s="3" t="s">
        <v>6</v>
      </c>
      <c r="E909" s="3" t="s">
        <v>49</v>
      </c>
      <c r="F909" s="3">
        <v>0.5931367385256</v>
      </c>
    </row>
    <row r="910" spans="1:6" x14ac:dyDescent="0.3">
      <c r="A910" s="1" t="s">
        <v>16</v>
      </c>
      <c r="B910" s="1" t="s">
        <v>52</v>
      </c>
      <c r="C910" s="2" t="s">
        <v>12</v>
      </c>
      <c r="D910" s="1" t="s">
        <v>9</v>
      </c>
      <c r="E910" s="1" t="s">
        <v>44</v>
      </c>
      <c r="F910" s="1">
        <v>60993.599999999897</v>
      </c>
    </row>
    <row r="911" spans="1:6" x14ac:dyDescent="0.3">
      <c r="A911" s="3" t="s">
        <v>16</v>
      </c>
      <c r="B911" s="3" t="s">
        <v>52</v>
      </c>
      <c r="C911" s="4" t="s">
        <v>12</v>
      </c>
      <c r="D911" s="3" t="s">
        <v>9</v>
      </c>
      <c r="E911" s="3" t="s">
        <v>45</v>
      </c>
      <c r="F911" s="3">
        <v>80691.600000000006</v>
      </c>
    </row>
    <row r="912" spans="1:6" x14ac:dyDescent="0.3">
      <c r="A912" s="1" t="s">
        <v>16</v>
      </c>
      <c r="B912" s="1" t="s">
        <v>52</v>
      </c>
      <c r="C912" s="2" t="s">
        <v>12</v>
      </c>
      <c r="D912" s="1" t="s">
        <v>9</v>
      </c>
      <c r="E912" s="1" t="s">
        <v>47</v>
      </c>
      <c r="F912" s="1">
        <v>13.5</v>
      </c>
    </row>
    <row r="913" spans="1:6" x14ac:dyDescent="0.3">
      <c r="A913" s="3" t="s">
        <v>16</v>
      </c>
      <c r="B913" s="3" t="s">
        <v>52</v>
      </c>
      <c r="C913" s="4" t="s">
        <v>12</v>
      </c>
      <c r="D913" s="3" t="s">
        <v>9</v>
      </c>
      <c r="E913" s="3" t="s">
        <v>48</v>
      </c>
      <c r="F913" s="3">
        <v>19684.5</v>
      </c>
    </row>
    <row r="914" spans="1:6" x14ac:dyDescent="0.3">
      <c r="A914" s="1" t="s">
        <v>16</v>
      </c>
      <c r="B914" s="1" t="s">
        <v>52</v>
      </c>
      <c r="C914" s="2" t="s">
        <v>12</v>
      </c>
      <c r="D914" s="1" t="s">
        <v>9</v>
      </c>
      <c r="E914" s="1" t="s">
        <v>49</v>
      </c>
      <c r="F914" s="1">
        <v>0.75588537096798103</v>
      </c>
    </row>
    <row r="915" spans="1:6" x14ac:dyDescent="0.3">
      <c r="A915" s="3" t="s">
        <v>16</v>
      </c>
      <c r="B915" s="3" t="s">
        <v>52</v>
      </c>
      <c r="C915" s="4" t="s">
        <v>12</v>
      </c>
      <c r="D915" s="3" t="s">
        <v>11</v>
      </c>
      <c r="E915" s="3" t="s">
        <v>44</v>
      </c>
      <c r="F915" s="3">
        <v>77132.25</v>
      </c>
    </row>
    <row r="916" spans="1:6" x14ac:dyDescent="0.3">
      <c r="A916" s="1" t="s">
        <v>16</v>
      </c>
      <c r="B916" s="1" t="s">
        <v>52</v>
      </c>
      <c r="C916" s="2" t="s">
        <v>12</v>
      </c>
      <c r="D916" s="1" t="s">
        <v>11</v>
      </c>
      <c r="E916" s="1" t="s">
        <v>45</v>
      </c>
      <c r="F916" s="1">
        <v>96830.25</v>
      </c>
    </row>
    <row r="917" spans="1:6" x14ac:dyDescent="0.3">
      <c r="A917" s="3" t="s">
        <v>16</v>
      </c>
      <c r="B917" s="3" t="s">
        <v>52</v>
      </c>
      <c r="C917" s="4" t="s">
        <v>12</v>
      </c>
      <c r="D917" s="3" t="s">
        <v>11</v>
      </c>
      <c r="E917" s="3" t="s">
        <v>47</v>
      </c>
      <c r="F917" s="3">
        <v>13.5</v>
      </c>
    </row>
    <row r="918" spans="1:6" x14ac:dyDescent="0.3">
      <c r="A918" s="1" t="s">
        <v>16</v>
      </c>
      <c r="B918" s="1" t="s">
        <v>52</v>
      </c>
      <c r="C918" s="2" t="s">
        <v>12</v>
      </c>
      <c r="D918" s="1" t="s">
        <v>11</v>
      </c>
      <c r="E918" s="1" t="s">
        <v>48</v>
      </c>
      <c r="F918" s="1">
        <v>19684.5</v>
      </c>
    </row>
    <row r="919" spans="1:6" x14ac:dyDescent="0.3">
      <c r="A919" s="3" t="s">
        <v>16</v>
      </c>
      <c r="B919" s="3" t="s">
        <v>52</v>
      </c>
      <c r="C919" s="4" t="s">
        <v>12</v>
      </c>
      <c r="D919" s="3" t="s">
        <v>11</v>
      </c>
      <c r="E919" s="3" t="s">
        <v>49</v>
      </c>
      <c r="F919" s="3">
        <v>0.79657183576413304</v>
      </c>
    </row>
    <row r="920" spans="1:6" x14ac:dyDescent="0.3">
      <c r="A920" s="1" t="s">
        <v>16</v>
      </c>
      <c r="B920" s="1" t="s">
        <v>52</v>
      </c>
      <c r="C920" s="2" t="s">
        <v>12</v>
      </c>
      <c r="D920" s="1" t="s">
        <v>1</v>
      </c>
      <c r="E920" s="1" t="s">
        <v>44</v>
      </c>
      <c r="F920" s="1">
        <v>360500</v>
      </c>
    </row>
    <row r="921" spans="1:6" x14ac:dyDescent="0.3">
      <c r="A921" s="3" t="s">
        <v>16</v>
      </c>
      <c r="B921" s="3" t="s">
        <v>52</v>
      </c>
      <c r="C921" s="4" t="s">
        <v>12</v>
      </c>
      <c r="D921" s="3" t="s">
        <v>1</v>
      </c>
      <c r="E921" s="3" t="s">
        <v>45</v>
      </c>
      <c r="F921" s="3">
        <v>360500</v>
      </c>
    </row>
    <row r="922" spans="1:6" x14ac:dyDescent="0.3">
      <c r="A922" s="1" t="s">
        <v>16</v>
      </c>
      <c r="B922" s="1" t="s">
        <v>52</v>
      </c>
      <c r="C922" s="2" t="s">
        <v>12</v>
      </c>
      <c r="D922" s="1" t="s">
        <v>1</v>
      </c>
      <c r="E922" s="1" t="s">
        <v>49</v>
      </c>
      <c r="F922" s="1">
        <v>1</v>
      </c>
    </row>
    <row r="923" spans="1:6" x14ac:dyDescent="0.3">
      <c r="A923" s="3" t="s">
        <v>16</v>
      </c>
      <c r="B923" s="3" t="s">
        <v>52</v>
      </c>
      <c r="C923" s="4" t="s">
        <v>12</v>
      </c>
      <c r="D923" s="3" t="s">
        <v>6</v>
      </c>
      <c r="E923" s="3" t="s">
        <v>44</v>
      </c>
      <c r="F923" s="3">
        <v>360464</v>
      </c>
    </row>
    <row r="924" spans="1:6" x14ac:dyDescent="0.3">
      <c r="A924" s="1" t="s">
        <v>16</v>
      </c>
      <c r="B924" s="1" t="s">
        <v>52</v>
      </c>
      <c r="C924" s="2" t="s">
        <v>12</v>
      </c>
      <c r="D924" s="1" t="s">
        <v>6</v>
      </c>
      <c r="E924" s="1" t="s">
        <v>45</v>
      </c>
      <c r="F924" s="1">
        <v>360464</v>
      </c>
    </row>
    <row r="925" spans="1:6" x14ac:dyDescent="0.3">
      <c r="A925" s="3" t="s">
        <v>16</v>
      </c>
      <c r="B925" s="3" t="s">
        <v>52</v>
      </c>
      <c r="C925" s="4" t="s">
        <v>12</v>
      </c>
      <c r="D925" s="3" t="s">
        <v>6</v>
      </c>
      <c r="E925" s="3" t="s">
        <v>49</v>
      </c>
      <c r="F925" s="3">
        <v>1</v>
      </c>
    </row>
    <row r="926" spans="1:6" x14ac:dyDescent="0.3">
      <c r="A926" s="1" t="s">
        <v>16</v>
      </c>
      <c r="B926" s="1" t="s">
        <v>52</v>
      </c>
      <c r="C926" s="2" t="s">
        <v>12</v>
      </c>
      <c r="D926" s="1" t="s">
        <v>9</v>
      </c>
      <c r="E926" s="1" t="s">
        <v>44</v>
      </c>
      <c r="F926" s="1">
        <v>1930103</v>
      </c>
    </row>
    <row r="927" spans="1:6" x14ac:dyDescent="0.3">
      <c r="A927" s="3" t="s">
        <v>16</v>
      </c>
      <c r="B927" s="3" t="s">
        <v>52</v>
      </c>
      <c r="C927" s="4" t="s">
        <v>12</v>
      </c>
      <c r="D927" s="3" t="s">
        <v>9</v>
      </c>
      <c r="E927" s="3" t="s">
        <v>45</v>
      </c>
      <c r="F927" s="3">
        <v>1930103</v>
      </c>
    </row>
    <row r="928" spans="1:6" x14ac:dyDescent="0.3">
      <c r="A928" s="1" t="s">
        <v>16</v>
      </c>
      <c r="B928" s="1" t="s">
        <v>52</v>
      </c>
      <c r="C928" s="2" t="s">
        <v>12</v>
      </c>
      <c r="D928" s="1" t="s">
        <v>9</v>
      </c>
      <c r="E928" s="1" t="s">
        <v>49</v>
      </c>
      <c r="F928" s="1">
        <v>1</v>
      </c>
    </row>
    <row r="929" spans="1:6" x14ac:dyDescent="0.3">
      <c r="A929" s="3" t="s">
        <v>16</v>
      </c>
      <c r="B929" s="3" t="s">
        <v>52</v>
      </c>
      <c r="C929" s="4" t="s">
        <v>12</v>
      </c>
      <c r="D929" s="3" t="s">
        <v>11</v>
      </c>
      <c r="E929" s="3" t="s">
        <v>44</v>
      </c>
      <c r="F929" s="3">
        <v>1440064</v>
      </c>
    </row>
    <row r="930" spans="1:6" x14ac:dyDescent="0.3">
      <c r="A930" s="1" t="s">
        <v>16</v>
      </c>
      <c r="B930" s="1" t="s">
        <v>52</v>
      </c>
      <c r="C930" s="2" t="s">
        <v>12</v>
      </c>
      <c r="D930" s="1" t="s">
        <v>11</v>
      </c>
      <c r="E930" s="1" t="s">
        <v>45</v>
      </c>
      <c r="F930" s="1">
        <v>1440064</v>
      </c>
    </row>
    <row r="931" spans="1:6" x14ac:dyDescent="0.3">
      <c r="A931" s="3" t="s">
        <v>16</v>
      </c>
      <c r="B931" s="3" t="s">
        <v>52</v>
      </c>
      <c r="C931" s="4" t="s">
        <v>12</v>
      </c>
      <c r="D931" s="3" t="s">
        <v>11</v>
      </c>
      <c r="E931" s="3" t="s">
        <v>49</v>
      </c>
      <c r="F931" s="3">
        <v>1</v>
      </c>
    </row>
    <row r="932" spans="1:6" x14ac:dyDescent="0.3">
      <c r="A932" s="1" t="s">
        <v>16</v>
      </c>
      <c r="B932" s="1" t="s">
        <v>52</v>
      </c>
      <c r="C932" s="2" t="s">
        <v>12</v>
      </c>
      <c r="D932" s="1" t="s">
        <v>1</v>
      </c>
      <c r="E932" s="1" t="s">
        <v>44</v>
      </c>
      <c r="F932" s="1">
        <v>62369.549999999901</v>
      </c>
    </row>
    <row r="933" spans="1:6" x14ac:dyDescent="0.3">
      <c r="A933" s="3" t="s">
        <v>16</v>
      </c>
      <c r="B933" s="3" t="s">
        <v>52</v>
      </c>
      <c r="C933" s="4" t="s">
        <v>12</v>
      </c>
      <c r="D933" s="3" t="s">
        <v>1</v>
      </c>
      <c r="E933" s="3" t="s">
        <v>45</v>
      </c>
      <c r="F933" s="3">
        <v>105250.19999999899</v>
      </c>
    </row>
    <row r="934" spans="1:6" x14ac:dyDescent="0.3">
      <c r="A934" s="1" t="s">
        <v>16</v>
      </c>
      <c r="B934" s="1" t="s">
        <v>52</v>
      </c>
      <c r="C934" s="2" t="s">
        <v>12</v>
      </c>
      <c r="D934" s="1" t="s">
        <v>1</v>
      </c>
      <c r="E934" s="1" t="s">
        <v>47</v>
      </c>
      <c r="F934" s="1">
        <v>3509.99999999999</v>
      </c>
    </row>
    <row r="935" spans="1:6" x14ac:dyDescent="0.3">
      <c r="A935" s="3" t="s">
        <v>16</v>
      </c>
      <c r="B935" s="3" t="s">
        <v>52</v>
      </c>
      <c r="C935" s="4" t="s">
        <v>12</v>
      </c>
      <c r="D935" s="3" t="s">
        <v>1</v>
      </c>
      <c r="E935" s="3" t="s">
        <v>48</v>
      </c>
      <c r="F935" s="3">
        <v>39370.6499999999</v>
      </c>
    </row>
    <row r="936" spans="1:6" x14ac:dyDescent="0.3">
      <c r="A936" s="1" t="s">
        <v>16</v>
      </c>
      <c r="B936" s="1" t="s">
        <v>52</v>
      </c>
      <c r="C936" s="2" t="s">
        <v>12</v>
      </c>
      <c r="D936" s="1" t="s">
        <v>1</v>
      </c>
      <c r="E936" s="1" t="s">
        <v>49</v>
      </c>
      <c r="F936" s="1">
        <v>0.59258367205002904</v>
      </c>
    </row>
    <row r="937" spans="1:6" x14ac:dyDescent="0.3">
      <c r="A937" s="3" t="s">
        <v>16</v>
      </c>
      <c r="B937" s="3" t="s">
        <v>52</v>
      </c>
      <c r="C937" s="4" t="s">
        <v>12</v>
      </c>
      <c r="D937" s="3" t="s">
        <v>6</v>
      </c>
      <c r="E937" s="3" t="s">
        <v>44</v>
      </c>
      <c r="F937" s="3">
        <v>60614.549999999901</v>
      </c>
    </row>
    <row r="938" spans="1:6" x14ac:dyDescent="0.3">
      <c r="A938" s="1" t="s">
        <v>16</v>
      </c>
      <c r="B938" s="1" t="s">
        <v>52</v>
      </c>
      <c r="C938" s="2" t="s">
        <v>12</v>
      </c>
      <c r="D938" s="1" t="s">
        <v>6</v>
      </c>
      <c r="E938" s="1" t="s">
        <v>45</v>
      </c>
      <c r="F938" s="1">
        <v>105250.19999999899</v>
      </c>
    </row>
    <row r="939" spans="1:6" x14ac:dyDescent="0.3">
      <c r="A939" s="3" t="s">
        <v>16</v>
      </c>
      <c r="B939" s="3" t="s">
        <v>52</v>
      </c>
      <c r="C939" s="4" t="s">
        <v>12</v>
      </c>
      <c r="D939" s="3" t="s">
        <v>6</v>
      </c>
      <c r="E939" s="3" t="s">
        <v>47</v>
      </c>
      <c r="F939" s="3">
        <v>5265</v>
      </c>
    </row>
    <row r="940" spans="1:6" x14ac:dyDescent="0.3">
      <c r="A940" s="1" t="s">
        <v>16</v>
      </c>
      <c r="B940" s="1" t="s">
        <v>52</v>
      </c>
      <c r="C940" s="2" t="s">
        <v>12</v>
      </c>
      <c r="D940" s="1" t="s">
        <v>6</v>
      </c>
      <c r="E940" s="1" t="s">
        <v>48</v>
      </c>
      <c r="F940" s="1">
        <v>39370.6499999999</v>
      </c>
    </row>
    <row r="941" spans="1:6" x14ac:dyDescent="0.3">
      <c r="A941" s="3" t="s">
        <v>16</v>
      </c>
      <c r="B941" s="3" t="s">
        <v>52</v>
      </c>
      <c r="C941" s="4" t="s">
        <v>12</v>
      </c>
      <c r="D941" s="3" t="s">
        <v>6</v>
      </c>
      <c r="E941" s="3" t="s">
        <v>49</v>
      </c>
      <c r="F941" s="3">
        <v>0.57590911941259904</v>
      </c>
    </row>
    <row r="942" spans="1:6" x14ac:dyDescent="0.3">
      <c r="A942" s="1" t="s">
        <v>16</v>
      </c>
      <c r="B942" s="1" t="s">
        <v>52</v>
      </c>
      <c r="C942" s="2" t="s">
        <v>12</v>
      </c>
      <c r="D942" s="1" t="s">
        <v>9</v>
      </c>
      <c r="E942" s="1" t="s">
        <v>44</v>
      </c>
      <c r="F942" s="1">
        <v>58859.549999999901</v>
      </c>
    </row>
    <row r="943" spans="1:6" x14ac:dyDescent="0.3">
      <c r="A943" s="3" t="s">
        <v>16</v>
      </c>
      <c r="B943" s="3" t="s">
        <v>52</v>
      </c>
      <c r="C943" s="4" t="s">
        <v>12</v>
      </c>
      <c r="D943" s="3" t="s">
        <v>9</v>
      </c>
      <c r="E943" s="3" t="s">
        <v>45</v>
      </c>
      <c r="F943" s="3">
        <v>105250.19999999899</v>
      </c>
    </row>
    <row r="944" spans="1:6" x14ac:dyDescent="0.3">
      <c r="A944" s="1" t="s">
        <v>16</v>
      </c>
      <c r="B944" s="1" t="s">
        <v>52</v>
      </c>
      <c r="C944" s="2" t="s">
        <v>12</v>
      </c>
      <c r="D944" s="1" t="s">
        <v>9</v>
      </c>
      <c r="E944" s="1" t="s">
        <v>47</v>
      </c>
      <c r="F944" s="1">
        <v>7019.99999999999</v>
      </c>
    </row>
    <row r="945" spans="1:6" x14ac:dyDescent="0.3">
      <c r="A945" s="3" t="s">
        <v>16</v>
      </c>
      <c r="B945" s="3" t="s">
        <v>52</v>
      </c>
      <c r="C945" s="4" t="s">
        <v>12</v>
      </c>
      <c r="D945" s="3" t="s">
        <v>9</v>
      </c>
      <c r="E945" s="3" t="s">
        <v>48</v>
      </c>
      <c r="F945" s="3">
        <v>39370.6499999999</v>
      </c>
    </row>
    <row r="946" spans="1:6" x14ac:dyDescent="0.3">
      <c r="A946" s="1" t="s">
        <v>16</v>
      </c>
      <c r="B946" s="1" t="s">
        <v>52</v>
      </c>
      <c r="C946" s="2" t="s">
        <v>12</v>
      </c>
      <c r="D946" s="1" t="s">
        <v>9</v>
      </c>
      <c r="E946" s="1" t="s">
        <v>49</v>
      </c>
      <c r="F946" s="1">
        <v>0.55923456677517003</v>
      </c>
    </row>
    <row r="947" spans="1:6" x14ac:dyDescent="0.3">
      <c r="A947" s="3" t="s">
        <v>16</v>
      </c>
      <c r="B947" s="3" t="s">
        <v>52</v>
      </c>
      <c r="C947" s="4" t="s">
        <v>12</v>
      </c>
      <c r="D947" s="3" t="s">
        <v>11</v>
      </c>
      <c r="E947" s="3" t="s">
        <v>44</v>
      </c>
      <c r="F947" s="3">
        <v>57104.549999999901</v>
      </c>
    </row>
    <row r="948" spans="1:6" x14ac:dyDescent="0.3">
      <c r="A948" s="1" t="s">
        <v>16</v>
      </c>
      <c r="B948" s="1" t="s">
        <v>52</v>
      </c>
      <c r="C948" s="2" t="s">
        <v>12</v>
      </c>
      <c r="D948" s="1" t="s">
        <v>11</v>
      </c>
      <c r="E948" s="1" t="s">
        <v>45</v>
      </c>
      <c r="F948" s="1">
        <v>105250.19999999899</v>
      </c>
    </row>
    <row r="949" spans="1:6" x14ac:dyDescent="0.3">
      <c r="A949" s="3" t="s">
        <v>16</v>
      </c>
      <c r="B949" s="3" t="s">
        <v>52</v>
      </c>
      <c r="C949" s="4" t="s">
        <v>12</v>
      </c>
      <c r="D949" s="3" t="s">
        <v>11</v>
      </c>
      <c r="E949" s="3" t="s">
        <v>47</v>
      </c>
      <c r="F949" s="3">
        <v>8774.9999999999909</v>
      </c>
    </row>
    <row r="950" spans="1:6" x14ac:dyDescent="0.3">
      <c r="A950" s="1" t="s">
        <v>16</v>
      </c>
      <c r="B950" s="1" t="s">
        <v>52</v>
      </c>
      <c r="C950" s="2" t="s">
        <v>12</v>
      </c>
      <c r="D950" s="1" t="s">
        <v>11</v>
      </c>
      <c r="E950" s="1" t="s">
        <v>48</v>
      </c>
      <c r="F950" s="1">
        <v>39370.6499999999</v>
      </c>
    </row>
    <row r="951" spans="1:6" x14ac:dyDescent="0.3">
      <c r="A951" s="3" t="s">
        <v>16</v>
      </c>
      <c r="B951" s="3" t="s">
        <v>52</v>
      </c>
      <c r="C951" s="4" t="s">
        <v>12</v>
      </c>
      <c r="D951" s="3" t="s">
        <v>11</v>
      </c>
      <c r="E951" s="3" t="s">
        <v>49</v>
      </c>
      <c r="F951" s="3">
        <v>0.54256001413774002</v>
      </c>
    </row>
    <row r="952" spans="1:6" x14ac:dyDescent="0.3">
      <c r="A952" s="1" t="s">
        <v>16</v>
      </c>
      <c r="B952" s="1" t="s">
        <v>52</v>
      </c>
      <c r="C952" s="2" t="s">
        <v>12</v>
      </c>
      <c r="D952" s="1" t="s">
        <v>1</v>
      </c>
      <c r="E952" s="1" t="s">
        <v>44</v>
      </c>
      <c r="F952" s="1">
        <v>48798</v>
      </c>
    </row>
    <row r="953" spans="1:6" x14ac:dyDescent="0.3">
      <c r="A953" s="3" t="s">
        <v>16</v>
      </c>
      <c r="B953" s="3" t="s">
        <v>52</v>
      </c>
      <c r="C953" s="4" t="s">
        <v>12</v>
      </c>
      <c r="D953" s="3" t="s">
        <v>1</v>
      </c>
      <c r="E953" s="3" t="s">
        <v>45</v>
      </c>
      <c r="F953" s="3">
        <v>48798</v>
      </c>
    </row>
    <row r="954" spans="1:6" x14ac:dyDescent="0.3">
      <c r="A954" s="1" t="s">
        <v>16</v>
      </c>
      <c r="B954" s="1" t="s">
        <v>52</v>
      </c>
      <c r="C954" s="2" t="s">
        <v>12</v>
      </c>
      <c r="D954" s="1" t="s">
        <v>1</v>
      </c>
      <c r="E954" s="1" t="s">
        <v>49</v>
      </c>
      <c r="F954" s="1">
        <v>1</v>
      </c>
    </row>
    <row r="955" spans="1:6" x14ac:dyDescent="0.3">
      <c r="A955" s="3" t="s">
        <v>16</v>
      </c>
      <c r="B955" s="3" t="s">
        <v>52</v>
      </c>
      <c r="C955" s="4" t="s">
        <v>12</v>
      </c>
      <c r="D955" s="3" t="s">
        <v>6</v>
      </c>
      <c r="E955" s="3" t="s">
        <v>44</v>
      </c>
      <c r="F955" s="3">
        <v>48798</v>
      </c>
    </row>
    <row r="956" spans="1:6" x14ac:dyDescent="0.3">
      <c r="A956" s="1" t="s">
        <v>16</v>
      </c>
      <c r="B956" s="1" t="s">
        <v>52</v>
      </c>
      <c r="C956" s="2" t="s">
        <v>12</v>
      </c>
      <c r="D956" s="1" t="s">
        <v>6</v>
      </c>
      <c r="E956" s="1" t="s">
        <v>45</v>
      </c>
      <c r="F956" s="1">
        <v>48798</v>
      </c>
    </row>
    <row r="957" spans="1:6" x14ac:dyDescent="0.3">
      <c r="A957" s="3" t="s">
        <v>16</v>
      </c>
      <c r="B957" s="3" t="s">
        <v>52</v>
      </c>
      <c r="C957" s="4" t="s">
        <v>12</v>
      </c>
      <c r="D957" s="3" t="s">
        <v>6</v>
      </c>
      <c r="E957" s="3" t="s">
        <v>49</v>
      </c>
      <c r="F957" s="3">
        <v>1</v>
      </c>
    </row>
    <row r="958" spans="1:6" x14ac:dyDescent="0.3">
      <c r="A958" s="1" t="s">
        <v>16</v>
      </c>
      <c r="B958" s="1" t="s">
        <v>52</v>
      </c>
      <c r="C958" s="2" t="s">
        <v>12</v>
      </c>
      <c r="D958" s="1" t="s">
        <v>9</v>
      </c>
      <c r="E958" s="1" t="s">
        <v>44</v>
      </c>
      <c r="F958" s="1">
        <v>48798</v>
      </c>
    </row>
    <row r="959" spans="1:6" x14ac:dyDescent="0.3">
      <c r="A959" s="3" t="s">
        <v>16</v>
      </c>
      <c r="B959" s="3" t="s">
        <v>52</v>
      </c>
      <c r="C959" s="4" t="s">
        <v>12</v>
      </c>
      <c r="D959" s="3" t="s">
        <v>9</v>
      </c>
      <c r="E959" s="3" t="s">
        <v>45</v>
      </c>
      <c r="F959" s="3">
        <v>48798</v>
      </c>
    </row>
    <row r="960" spans="1:6" x14ac:dyDescent="0.3">
      <c r="A960" s="1" t="s">
        <v>16</v>
      </c>
      <c r="B960" s="1" t="s">
        <v>52</v>
      </c>
      <c r="C960" s="2" t="s">
        <v>12</v>
      </c>
      <c r="D960" s="1" t="s">
        <v>9</v>
      </c>
      <c r="E960" s="1" t="s">
        <v>49</v>
      </c>
      <c r="F960" s="1">
        <v>1</v>
      </c>
    </row>
    <row r="961" spans="1:6" x14ac:dyDescent="0.3">
      <c r="A961" s="3" t="s">
        <v>16</v>
      </c>
      <c r="B961" s="3" t="s">
        <v>52</v>
      </c>
      <c r="C961" s="4" t="s">
        <v>12</v>
      </c>
      <c r="D961" s="3" t="s">
        <v>11</v>
      </c>
      <c r="E961" s="3" t="s">
        <v>44</v>
      </c>
      <c r="F961" s="3">
        <v>48798</v>
      </c>
    </row>
    <row r="962" spans="1:6" x14ac:dyDescent="0.3">
      <c r="A962" s="1" t="s">
        <v>16</v>
      </c>
      <c r="B962" s="1" t="s">
        <v>52</v>
      </c>
      <c r="C962" s="2" t="s">
        <v>12</v>
      </c>
      <c r="D962" s="1" t="s">
        <v>11</v>
      </c>
      <c r="E962" s="1" t="s">
        <v>45</v>
      </c>
      <c r="F962" s="1">
        <v>48798</v>
      </c>
    </row>
    <row r="963" spans="1:6" x14ac:dyDescent="0.3">
      <c r="A963" s="3" t="s">
        <v>16</v>
      </c>
      <c r="B963" s="3" t="s">
        <v>52</v>
      </c>
      <c r="C963" s="4" t="s">
        <v>12</v>
      </c>
      <c r="D963" s="3" t="s">
        <v>11</v>
      </c>
      <c r="E963" s="3" t="s">
        <v>49</v>
      </c>
      <c r="F963" s="3">
        <v>1</v>
      </c>
    </row>
    <row r="964" spans="1:6" x14ac:dyDescent="0.3">
      <c r="A964" s="1" t="s">
        <v>16</v>
      </c>
      <c r="B964" s="1" t="s">
        <v>52</v>
      </c>
      <c r="C964" s="2" t="s">
        <v>12</v>
      </c>
      <c r="D964" s="1" t="s">
        <v>1</v>
      </c>
      <c r="E964" s="1" t="s">
        <v>44</v>
      </c>
      <c r="F964" s="1">
        <v>31331.999999999902</v>
      </c>
    </row>
    <row r="965" spans="1:6" x14ac:dyDescent="0.3">
      <c r="A965" s="3" t="s">
        <v>16</v>
      </c>
      <c r="B965" s="3" t="s">
        <v>52</v>
      </c>
      <c r="C965" s="4" t="s">
        <v>12</v>
      </c>
      <c r="D965" s="3" t="s">
        <v>1</v>
      </c>
      <c r="E965" s="3" t="s">
        <v>45</v>
      </c>
      <c r="F965" s="3">
        <v>51029.999999999898</v>
      </c>
    </row>
    <row r="966" spans="1:6" x14ac:dyDescent="0.3">
      <c r="A966" s="1" t="s">
        <v>16</v>
      </c>
      <c r="B966" s="1" t="s">
        <v>52</v>
      </c>
      <c r="C966" s="2" t="s">
        <v>12</v>
      </c>
      <c r="D966" s="1" t="s">
        <v>1</v>
      </c>
      <c r="E966" s="1" t="s">
        <v>47</v>
      </c>
      <c r="F966" s="1">
        <v>13.5</v>
      </c>
    </row>
    <row r="967" spans="1:6" x14ac:dyDescent="0.3">
      <c r="A967" s="3" t="s">
        <v>16</v>
      </c>
      <c r="B967" s="3" t="s">
        <v>52</v>
      </c>
      <c r="C967" s="4" t="s">
        <v>12</v>
      </c>
      <c r="D967" s="3" t="s">
        <v>1</v>
      </c>
      <c r="E967" s="3" t="s">
        <v>48</v>
      </c>
      <c r="F967" s="3">
        <v>19684.5</v>
      </c>
    </row>
    <row r="968" spans="1:6" x14ac:dyDescent="0.3">
      <c r="A968" s="1" t="s">
        <v>16</v>
      </c>
      <c r="B968" s="1" t="s">
        <v>52</v>
      </c>
      <c r="C968" s="2" t="s">
        <v>12</v>
      </c>
      <c r="D968" s="1" t="s">
        <v>1</v>
      </c>
      <c r="E968" s="1" t="s">
        <v>49</v>
      </c>
      <c r="F968" s="1">
        <v>0.61399176954732404</v>
      </c>
    </row>
    <row r="969" spans="1:6" x14ac:dyDescent="0.3">
      <c r="A969" s="3" t="s">
        <v>16</v>
      </c>
      <c r="B969" s="3" t="s">
        <v>52</v>
      </c>
      <c r="C969" s="4" t="s">
        <v>12</v>
      </c>
      <c r="D969" s="3" t="s">
        <v>6</v>
      </c>
      <c r="E969" s="3" t="s">
        <v>44</v>
      </c>
      <c r="F969" s="3">
        <v>56846.999999999898</v>
      </c>
    </row>
    <row r="970" spans="1:6" x14ac:dyDescent="0.3">
      <c r="A970" s="1" t="s">
        <v>16</v>
      </c>
      <c r="B970" s="1" t="s">
        <v>52</v>
      </c>
      <c r="C970" s="2" t="s">
        <v>12</v>
      </c>
      <c r="D970" s="1" t="s">
        <v>6</v>
      </c>
      <c r="E970" s="1" t="s">
        <v>45</v>
      </c>
      <c r="F970" s="1">
        <v>76544.999999999898</v>
      </c>
    </row>
    <row r="971" spans="1:6" x14ac:dyDescent="0.3">
      <c r="A971" s="3" t="s">
        <v>16</v>
      </c>
      <c r="B971" s="3" t="s">
        <v>52</v>
      </c>
      <c r="C971" s="4" t="s">
        <v>12</v>
      </c>
      <c r="D971" s="3" t="s">
        <v>6</v>
      </c>
      <c r="E971" s="3" t="s">
        <v>47</v>
      </c>
      <c r="F971" s="3">
        <v>13.5</v>
      </c>
    </row>
    <row r="972" spans="1:6" x14ac:dyDescent="0.3">
      <c r="A972" s="1" t="s">
        <v>16</v>
      </c>
      <c r="B972" s="1" t="s">
        <v>52</v>
      </c>
      <c r="C972" s="2" t="s">
        <v>12</v>
      </c>
      <c r="D972" s="1" t="s">
        <v>6</v>
      </c>
      <c r="E972" s="1" t="s">
        <v>48</v>
      </c>
      <c r="F972" s="1">
        <v>19684.5</v>
      </c>
    </row>
    <row r="973" spans="1:6" x14ac:dyDescent="0.3">
      <c r="A973" s="3" t="s">
        <v>16</v>
      </c>
      <c r="B973" s="3" t="s">
        <v>52</v>
      </c>
      <c r="C973" s="4" t="s">
        <v>12</v>
      </c>
      <c r="D973" s="3" t="s">
        <v>6</v>
      </c>
      <c r="E973" s="3" t="s">
        <v>49</v>
      </c>
      <c r="F973" s="3">
        <v>0.74266117969821599</v>
      </c>
    </row>
    <row r="974" spans="1:6" x14ac:dyDescent="0.3">
      <c r="A974" s="1" t="s">
        <v>16</v>
      </c>
      <c r="B974" s="1" t="s">
        <v>52</v>
      </c>
      <c r="C974" s="2" t="s">
        <v>12</v>
      </c>
      <c r="D974" s="1" t="s">
        <v>9</v>
      </c>
      <c r="E974" s="1" t="s">
        <v>44</v>
      </c>
      <c r="F974" s="1">
        <v>69237.899999999907</v>
      </c>
    </row>
    <row r="975" spans="1:6" x14ac:dyDescent="0.3">
      <c r="A975" s="3" t="s">
        <v>16</v>
      </c>
      <c r="B975" s="3" t="s">
        <v>52</v>
      </c>
      <c r="C975" s="4" t="s">
        <v>12</v>
      </c>
      <c r="D975" s="3" t="s">
        <v>9</v>
      </c>
      <c r="E975" s="3" t="s">
        <v>45</v>
      </c>
      <c r="F975" s="3">
        <v>102059.999999999</v>
      </c>
    </row>
    <row r="976" spans="1:6" x14ac:dyDescent="0.3">
      <c r="A976" s="1" t="s">
        <v>16</v>
      </c>
      <c r="B976" s="1" t="s">
        <v>52</v>
      </c>
      <c r="C976" s="2" t="s">
        <v>12</v>
      </c>
      <c r="D976" s="1" t="s">
        <v>9</v>
      </c>
      <c r="E976" s="1" t="s">
        <v>47</v>
      </c>
      <c r="F976" s="1">
        <v>13.5</v>
      </c>
    </row>
    <row r="977" spans="1:6" x14ac:dyDescent="0.3">
      <c r="A977" s="3" t="s">
        <v>16</v>
      </c>
      <c r="B977" s="3" t="s">
        <v>52</v>
      </c>
      <c r="C977" s="4" t="s">
        <v>12</v>
      </c>
      <c r="D977" s="3" t="s">
        <v>9</v>
      </c>
      <c r="E977" s="3" t="s">
        <v>48</v>
      </c>
      <c r="F977" s="3">
        <v>32808.599999999897</v>
      </c>
    </row>
    <row r="978" spans="1:6" x14ac:dyDescent="0.3">
      <c r="A978" s="1" t="s">
        <v>16</v>
      </c>
      <c r="B978" s="1" t="s">
        <v>52</v>
      </c>
      <c r="C978" s="2" t="s">
        <v>12</v>
      </c>
      <c r="D978" s="1" t="s">
        <v>9</v>
      </c>
      <c r="E978" s="1" t="s">
        <v>49</v>
      </c>
      <c r="F978" s="1">
        <v>0.67840388007054597</v>
      </c>
    </row>
    <row r="979" spans="1:6" x14ac:dyDescent="0.3">
      <c r="A979" s="3" t="s">
        <v>16</v>
      </c>
      <c r="B979" s="3" t="s">
        <v>52</v>
      </c>
      <c r="C979" s="4" t="s">
        <v>12</v>
      </c>
      <c r="D979" s="3" t="s">
        <v>11</v>
      </c>
      <c r="E979" s="3" t="s">
        <v>44</v>
      </c>
      <c r="F979" s="3">
        <v>88190.849999999904</v>
      </c>
    </row>
    <row r="980" spans="1:6" x14ac:dyDescent="0.3">
      <c r="A980" s="1" t="s">
        <v>16</v>
      </c>
      <c r="B980" s="1" t="s">
        <v>52</v>
      </c>
      <c r="C980" s="2" t="s">
        <v>12</v>
      </c>
      <c r="D980" s="1" t="s">
        <v>11</v>
      </c>
      <c r="E980" s="1" t="s">
        <v>45</v>
      </c>
      <c r="F980" s="1">
        <v>127574.999999999</v>
      </c>
    </row>
    <row r="981" spans="1:6" x14ac:dyDescent="0.3">
      <c r="A981" s="3" t="s">
        <v>16</v>
      </c>
      <c r="B981" s="3" t="s">
        <v>52</v>
      </c>
      <c r="C981" s="4" t="s">
        <v>12</v>
      </c>
      <c r="D981" s="3" t="s">
        <v>11</v>
      </c>
      <c r="E981" s="3" t="s">
        <v>47</v>
      </c>
      <c r="F981" s="3">
        <v>13.5</v>
      </c>
    </row>
    <row r="982" spans="1:6" x14ac:dyDescent="0.3">
      <c r="A982" s="1" t="s">
        <v>16</v>
      </c>
      <c r="B982" s="1" t="s">
        <v>52</v>
      </c>
      <c r="C982" s="2" t="s">
        <v>12</v>
      </c>
      <c r="D982" s="1" t="s">
        <v>11</v>
      </c>
      <c r="E982" s="1" t="s">
        <v>48</v>
      </c>
      <c r="F982" s="1">
        <v>39370.6499999999</v>
      </c>
    </row>
    <row r="983" spans="1:6" x14ac:dyDescent="0.3">
      <c r="A983" s="3" t="s">
        <v>16</v>
      </c>
      <c r="B983" s="3" t="s">
        <v>52</v>
      </c>
      <c r="C983" s="4" t="s">
        <v>12</v>
      </c>
      <c r="D983" s="3" t="s">
        <v>11</v>
      </c>
      <c r="E983" s="3" t="s">
        <v>49</v>
      </c>
      <c r="F983" s="3">
        <v>0.69128630217519105</v>
      </c>
    </row>
    <row r="984" spans="1:6" x14ac:dyDescent="0.3">
      <c r="A984" s="1" t="s">
        <v>5</v>
      </c>
      <c r="B984" s="1" t="s">
        <v>43</v>
      </c>
      <c r="C984" s="2" t="s">
        <v>4</v>
      </c>
      <c r="D984" s="1" t="s">
        <v>1</v>
      </c>
      <c r="E984" s="1" t="s">
        <v>44</v>
      </c>
      <c r="F984" s="1">
        <v>35478.5</v>
      </c>
    </row>
    <row r="985" spans="1:6" x14ac:dyDescent="0.3">
      <c r="A985" s="3" t="s">
        <v>5</v>
      </c>
      <c r="B985" s="3" t="s">
        <v>43</v>
      </c>
      <c r="C985" s="4" t="s">
        <v>4</v>
      </c>
      <c r="D985" s="3" t="s">
        <v>1</v>
      </c>
      <c r="E985" s="3" t="s">
        <v>45</v>
      </c>
      <c r="F985" s="3">
        <v>191362.5</v>
      </c>
    </row>
    <row r="986" spans="1:6" x14ac:dyDescent="0.3">
      <c r="A986" s="1" t="s">
        <v>5</v>
      </c>
      <c r="B986" s="1" t="s">
        <v>43</v>
      </c>
      <c r="C986" s="2" t="s">
        <v>4</v>
      </c>
      <c r="D986" s="1" t="s">
        <v>1</v>
      </c>
      <c r="E986" s="1" t="s">
        <v>46</v>
      </c>
      <c r="F986" s="1">
        <v>133770</v>
      </c>
    </row>
    <row r="987" spans="1:6" x14ac:dyDescent="0.3">
      <c r="A987" s="3" t="s">
        <v>5</v>
      </c>
      <c r="B987" s="3" t="s">
        <v>43</v>
      </c>
      <c r="C987" s="4" t="s">
        <v>4</v>
      </c>
      <c r="D987" s="3" t="s">
        <v>1</v>
      </c>
      <c r="E987" s="3" t="s">
        <v>47</v>
      </c>
      <c r="F987" s="3">
        <v>17914</v>
      </c>
    </row>
    <row r="988" spans="1:6" x14ac:dyDescent="0.3">
      <c r="A988" s="1" t="s">
        <v>5</v>
      </c>
      <c r="B988" s="1" t="s">
        <v>43</v>
      </c>
      <c r="C988" s="2" t="s">
        <v>4</v>
      </c>
      <c r="D988" s="1" t="s">
        <v>1</v>
      </c>
      <c r="E988" s="1" t="s">
        <v>48</v>
      </c>
      <c r="F988" s="1">
        <v>4200</v>
      </c>
    </row>
    <row r="989" spans="1:6" x14ac:dyDescent="0.3">
      <c r="A989" s="3" t="s">
        <v>5</v>
      </c>
      <c r="B989" s="3" t="s">
        <v>43</v>
      </c>
      <c r="C989" s="4" t="s">
        <v>4</v>
      </c>
      <c r="D989" s="3" t="s">
        <v>1</v>
      </c>
      <c r="E989" s="3" t="s">
        <v>49</v>
      </c>
      <c r="F989" s="3">
        <v>0.185399438238944</v>
      </c>
    </row>
    <row r="990" spans="1:6" x14ac:dyDescent="0.3">
      <c r="A990" s="1" t="s">
        <v>5</v>
      </c>
      <c r="B990" s="1" t="s">
        <v>43</v>
      </c>
      <c r="C990" s="2" t="s">
        <v>4</v>
      </c>
      <c r="D990" s="1" t="s">
        <v>6</v>
      </c>
      <c r="E990" s="1" t="s">
        <v>44</v>
      </c>
      <c r="F990" s="1">
        <v>134893.74999999901</v>
      </c>
    </row>
    <row r="991" spans="1:6" x14ac:dyDescent="0.3">
      <c r="A991" s="3" t="s">
        <v>5</v>
      </c>
      <c r="B991" s="3" t="s">
        <v>43</v>
      </c>
      <c r="C991" s="4" t="s">
        <v>4</v>
      </c>
      <c r="D991" s="3" t="s">
        <v>6</v>
      </c>
      <c r="E991" s="3" t="s">
        <v>45</v>
      </c>
      <c r="F991" s="3">
        <v>287043.74999999901</v>
      </c>
    </row>
    <row r="992" spans="1:6" x14ac:dyDescent="0.3">
      <c r="A992" s="1" t="s">
        <v>5</v>
      </c>
      <c r="B992" s="1" t="s">
        <v>43</v>
      </c>
      <c r="C992" s="2" t="s">
        <v>4</v>
      </c>
      <c r="D992" s="1" t="s">
        <v>6</v>
      </c>
      <c r="E992" s="1" t="s">
        <v>46</v>
      </c>
      <c r="F992" s="1">
        <v>128625</v>
      </c>
    </row>
    <row r="993" spans="1:6" x14ac:dyDescent="0.3">
      <c r="A993" s="3" t="s">
        <v>5</v>
      </c>
      <c r="B993" s="3" t="s">
        <v>43</v>
      </c>
      <c r="C993" s="4" t="s">
        <v>4</v>
      </c>
      <c r="D993" s="3" t="s">
        <v>6</v>
      </c>
      <c r="E993" s="3" t="s">
        <v>47</v>
      </c>
      <c r="F993" s="3">
        <v>17225</v>
      </c>
    </row>
    <row r="994" spans="1:6" x14ac:dyDescent="0.3">
      <c r="A994" s="1" t="s">
        <v>5</v>
      </c>
      <c r="B994" s="1" t="s">
        <v>43</v>
      </c>
      <c r="C994" s="2" t="s">
        <v>4</v>
      </c>
      <c r="D994" s="1" t="s">
        <v>6</v>
      </c>
      <c r="E994" s="1" t="s">
        <v>48</v>
      </c>
      <c r="F994" s="1">
        <v>6300</v>
      </c>
    </row>
    <row r="995" spans="1:6" x14ac:dyDescent="0.3">
      <c r="A995" s="3" t="s">
        <v>5</v>
      </c>
      <c r="B995" s="3" t="s">
        <v>43</v>
      </c>
      <c r="C995" s="4" t="s">
        <v>4</v>
      </c>
      <c r="D995" s="3" t="s">
        <v>6</v>
      </c>
      <c r="E995" s="3" t="s">
        <v>49</v>
      </c>
      <c r="F995" s="3">
        <v>0.46994142878916501</v>
      </c>
    </row>
    <row r="996" spans="1:6" x14ac:dyDescent="0.3">
      <c r="A996" s="1" t="s">
        <v>5</v>
      </c>
      <c r="B996" s="1" t="s">
        <v>43</v>
      </c>
      <c r="C996" s="2" t="s">
        <v>4</v>
      </c>
      <c r="D996" s="1" t="s">
        <v>9</v>
      </c>
      <c r="E996" s="1" t="s">
        <v>44</v>
      </c>
      <c r="F996" s="1">
        <v>216807</v>
      </c>
    </row>
    <row r="997" spans="1:6" x14ac:dyDescent="0.3">
      <c r="A997" s="3" t="s">
        <v>5</v>
      </c>
      <c r="B997" s="3" t="s">
        <v>43</v>
      </c>
      <c r="C997" s="4" t="s">
        <v>4</v>
      </c>
      <c r="D997" s="3" t="s">
        <v>9</v>
      </c>
      <c r="E997" s="3" t="s">
        <v>45</v>
      </c>
      <c r="F997" s="3">
        <v>382725</v>
      </c>
    </row>
    <row r="998" spans="1:6" x14ac:dyDescent="0.3">
      <c r="A998" s="1" t="s">
        <v>5</v>
      </c>
      <c r="B998" s="1" t="s">
        <v>43</v>
      </c>
      <c r="C998" s="2" t="s">
        <v>4</v>
      </c>
      <c r="D998" s="1" t="s">
        <v>9</v>
      </c>
      <c r="E998" s="1" t="s">
        <v>46</v>
      </c>
      <c r="F998" s="1">
        <v>138915</v>
      </c>
    </row>
    <row r="999" spans="1:6" x14ac:dyDescent="0.3">
      <c r="A999" s="3" t="s">
        <v>5</v>
      </c>
      <c r="B999" s="3" t="s">
        <v>43</v>
      </c>
      <c r="C999" s="4" t="s">
        <v>4</v>
      </c>
      <c r="D999" s="3" t="s">
        <v>9</v>
      </c>
      <c r="E999" s="3" t="s">
        <v>47</v>
      </c>
      <c r="F999" s="3">
        <v>18603</v>
      </c>
    </row>
    <row r="1000" spans="1:6" x14ac:dyDescent="0.3">
      <c r="A1000" s="1" t="s">
        <v>5</v>
      </c>
      <c r="B1000" s="1" t="s">
        <v>43</v>
      </c>
      <c r="C1000" s="2" t="s">
        <v>4</v>
      </c>
      <c r="D1000" s="1" t="s">
        <v>9</v>
      </c>
      <c r="E1000" s="1" t="s">
        <v>48</v>
      </c>
      <c r="F1000" s="1">
        <v>8400</v>
      </c>
    </row>
    <row r="1001" spans="1:6" x14ac:dyDescent="0.3">
      <c r="A1001" s="3" t="s">
        <v>5</v>
      </c>
      <c r="B1001" s="3" t="s">
        <v>43</v>
      </c>
      <c r="C1001" s="4" t="s">
        <v>4</v>
      </c>
      <c r="D1001" s="3" t="s">
        <v>9</v>
      </c>
      <c r="E1001" s="3" t="s">
        <v>49</v>
      </c>
      <c r="F1001" s="3">
        <v>0.56648246129727597</v>
      </c>
    </row>
    <row r="1002" spans="1:6" x14ac:dyDescent="0.3">
      <c r="A1002" s="1" t="s">
        <v>5</v>
      </c>
      <c r="B1002" s="1" t="s">
        <v>43</v>
      </c>
      <c r="C1002" s="2" t="s">
        <v>4</v>
      </c>
      <c r="D1002" s="1" t="s">
        <v>11</v>
      </c>
      <c r="E1002" s="1" t="s">
        <v>44</v>
      </c>
      <c r="F1002" s="1">
        <v>269550.24999999901</v>
      </c>
    </row>
    <row r="1003" spans="1:6" x14ac:dyDescent="0.3">
      <c r="A1003" s="3" t="s">
        <v>5</v>
      </c>
      <c r="B1003" s="3" t="s">
        <v>43</v>
      </c>
      <c r="C1003" s="4" t="s">
        <v>4</v>
      </c>
      <c r="D1003" s="3" t="s">
        <v>11</v>
      </c>
      <c r="E1003" s="3" t="s">
        <v>45</v>
      </c>
      <c r="F1003" s="3">
        <v>478406.24999999901</v>
      </c>
    </row>
    <row r="1004" spans="1:6" x14ac:dyDescent="0.3">
      <c r="A1004" s="1" t="s">
        <v>5</v>
      </c>
      <c r="B1004" s="1" t="s">
        <v>43</v>
      </c>
      <c r="C1004" s="2" t="s">
        <v>4</v>
      </c>
      <c r="D1004" s="1" t="s">
        <v>11</v>
      </c>
      <c r="E1004" s="1" t="s">
        <v>46</v>
      </c>
      <c r="F1004" s="1">
        <v>174930</v>
      </c>
    </row>
    <row r="1005" spans="1:6" x14ac:dyDescent="0.3">
      <c r="A1005" s="3" t="s">
        <v>5</v>
      </c>
      <c r="B1005" s="3" t="s">
        <v>43</v>
      </c>
      <c r="C1005" s="4" t="s">
        <v>4</v>
      </c>
      <c r="D1005" s="3" t="s">
        <v>11</v>
      </c>
      <c r="E1005" s="3" t="s">
        <v>47</v>
      </c>
      <c r="F1005" s="3">
        <v>23426</v>
      </c>
    </row>
    <row r="1006" spans="1:6" x14ac:dyDescent="0.3">
      <c r="A1006" s="1" t="s">
        <v>5</v>
      </c>
      <c r="B1006" s="1" t="s">
        <v>43</v>
      </c>
      <c r="C1006" s="2" t="s">
        <v>4</v>
      </c>
      <c r="D1006" s="1" t="s">
        <v>11</v>
      </c>
      <c r="E1006" s="1" t="s">
        <v>48</v>
      </c>
      <c r="F1006" s="1">
        <v>10500</v>
      </c>
    </row>
    <row r="1007" spans="1:6" x14ac:dyDescent="0.3">
      <c r="A1007" s="3" t="s">
        <v>5</v>
      </c>
      <c r="B1007" s="3" t="s">
        <v>43</v>
      </c>
      <c r="C1007" s="4" t="s">
        <v>4</v>
      </c>
      <c r="D1007" s="3" t="s">
        <v>11</v>
      </c>
      <c r="E1007" s="3" t="s">
        <v>49</v>
      </c>
      <c r="F1007" s="3">
        <v>0.56343379711280905</v>
      </c>
    </row>
    <row r="1008" spans="1:6" x14ac:dyDescent="0.3">
      <c r="A1008" s="1" t="s">
        <v>5</v>
      </c>
      <c r="B1008" s="1" t="s">
        <v>43</v>
      </c>
      <c r="C1008" s="2" t="s">
        <v>4</v>
      </c>
      <c r="D1008" s="1" t="s">
        <v>1</v>
      </c>
      <c r="E1008" s="1" t="s">
        <v>0</v>
      </c>
      <c r="F1008" s="1">
        <v>15</v>
      </c>
    </row>
    <row r="1009" spans="1:6" x14ac:dyDescent="0.3">
      <c r="A1009" s="3" t="s">
        <v>5</v>
      </c>
      <c r="B1009" s="3" t="s">
        <v>43</v>
      </c>
      <c r="C1009" s="4" t="s">
        <v>4</v>
      </c>
      <c r="D1009" s="3" t="s">
        <v>1</v>
      </c>
      <c r="E1009" s="3" t="s">
        <v>44</v>
      </c>
      <c r="F1009" s="3">
        <v>2532</v>
      </c>
    </row>
    <row r="1010" spans="1:6" x14ac:dyDescent="0.3">
      <c r="A1010" s="1" t="s">
        <v>5</v>
      </c>
      <c r="B1010" s="1" t="s">
        <v>43</v>
      </c>
      <c r="C1010" s="2" t="s">
        <v>4</v>
      </c>
      <c r="D1010" s="1" t="s">
        <v>1</v>
      </c>
      <c r="E1010" s="1" t="s">
        <v>45</v>
      </c>
      <c r="F1010" s="1">
        <v>2532</v>
      </c>
    </row>
    <row r="1011" spans="1:6" x14ac:dyDescent="0.3">
      <c r="A1011" s="3" t="s">
        <v>5</v>
      </c>
      <c r="B1011" s="3" t="s">
        <v>43</v>
      </c>
      <c r="C1011" s="4" t="s">
        <v>4</v>
      </c>
      <c r="D1011" s="3" t="s">
        <v>1</v>
      </c>
      <c r="E1011" s="3" t="s">
        <v>49</v>
      </c>
      <c r="F1011" s="3">
        <v>1</v>
      </c>
    </row>
    <row r="1012" spans="1:6" x14ac:dyDescent="0.3">
      <c r="A1012" s="1" t="s">
        <v>5</v>
      </c>
      <c r="B1012" s="1" t="s">
        <v>43</v>
      </c>
      <c r="C1012" s="2" t="s">
        <v>4</v>
      </c>
      <c r="D1012" s="1" t="s">
        <v>6</v>
      </c>
      <c r="E1012" s="1" t="s">
        <v>0</v>
      </c>
      <c r="F1012" s="1">
        <v>15</v>
      </c>
    </row>
    <row r="1013" spans="1:6" x14ac:dyDescent="0.3">
      <c r="A1013" s="3" t="s">
        <v>5</v>
      </c>
      <c r="B1013" s="3" t="s">
        <v>43</v>
      </c>
      <c r="C1013" s="4" t="s">
        <v>4</v>
      </c>
      <c r="D1013" s="3" t="s">
        <v>6</v>
      </c>
      <c r="E1013" s="3" t="s">
        <v>44</v>
      </c>
      <c r="F1013" s="3">
        <v>5045</v>
      </c>
    </row>
    <row r="1014" spans="1:6" x14ac:dyDescent="0.3">
      <c r="A1014" s="1" t="s">
        <v>5</v>
      </c>
      <c r="B1014" s="1" t="s">
        <v>43</v>
      </c>
      <c r="C1014" s="2" t="s">
        <v>4</v>
      </c>
      <c r="D1014" s="1" t="s">
        <v>6</v>
      </c>
      <c r="E1014" s="1" t="s">
        <v>45</v>
      </c>
      <c r="F1014" s="1">
        <v>5045</v>
      </c>
    </row>
    <row r="1015" spans="1:6" x14ac:dyDescent="0.3">
      <c r="A1015" s="3" t="s">
        <v>5</v>
      </c>
      <c r="B1015" s="3" t="s">
        <v>43</v>
      </c>
      <c r="C1015" s="4" t="s">
        <v>4</v>
      </c>
      <c r="D1015" s="3" t="s">
        <v>6</v>
      </c>
      <c r="E1015" s="3" t="s">
        <v>49</v>
      </c>
      <c r="F1015" s="3">
        <v>1</v>
      </c>
    </row>
    <row r="1016" spans="1:6" x14ac:dyDescent="0.3">
      <c r="A1016" s="1" t="s">
        <v>5</v>
      </c>
      <c r="B1016" s="1" t="s">
        <v>43</v>
      </c>
      <c r="C1016" s="2" t="s">
        <v>4</v>
      </c>
      <c r="D1016" s="1" t="s">
        <v>9</v>
      </c>
      <c r="E1016" s="1" t="s">
        <v>0</v>
      </c>
      <c r="F1016" s="1">
        <v>31.865665114887801</v>
      </c>
    </row>
    <row r="1017" spans="1:6" x14ac:dyDescent="0.3">
      <c r="A1017" s="3" t="s">
        <v>5</v>
      </c>
      <c r="B1017" s="3" t="s">
        <v>43</v>
      </c>
      <c r="C1017" s="4" t="s">
        <v>4</v>
      </c>
      <c r="D1017" s="3" t="s">
        <v>9</v>
      </c>
      <c r="E1017" s="3" t="s">
        <v>44</v>
      </c>
      <c r="F1017" s="3">
        <v>6405</v>
      </c>
    </row>
    <row r="1018" spans="1:6" x14ac:dyDescent="0.3">
      <c r="A1018" s="1" t="s">
        <v>5</v>
      </c>
      <c r="B1018" s="1" t="s">
        <v>43</v>
      </c>
      <c r="C1018" s="2" t="s">
        <v>4</v>
      </c>
      <c r="D1018" s="1" t="s">
        <v>9</v>
      </c>
      <c r="E1018" s="1" t="s">
        <v>45</v>
      </c>
      <c r="F1018" s="1">
        <v>6405</v>
      </c>
    </row>
    <row r="1019" spans="1:6" x14ac:dyDescent="0.3">
      <c r="A1019" s="3" t="s">
        <v>5</v>
      </c>
      <c r="B1019" s="3" t="s">
        <v>43</v>
      </c>
      <c r="C1019" s="4" t="s">
        <v>4</v>
      </c>
      <c r="D1019" s="3" t="s">
        <v>9</v>
      </c>
      <c r="E1019" s="3" t="s">
        <v>49</v>
      </c>
      <c r="F1019" s="3">
        <v>1</v>
      </c>
    </row>
    <row r="1020" spans="1:6" x14ac:dyDescent="0.3">
      <c r="A1020" s="1" t="s">
        <v>5</v>
      </c>
      <c r="B1020" s="1" t="s">
        <v>43</v>
      </c>
      <c r="C1020" s="2" t="s">
        <v>4</v>
      </c>
      <c r="D1020" s="1" t="s">
        <v>11</v>
      </c>
      <c r="E1020" s="1" t="s">
        <v>0</v>
      </c>
      <c r="F1020" s="1">
        <v>34.013256845381001</v>
      </c>
    </row>
    <row r="1021" spans="1:6" x14ac:dyDescent="0.3">
      <c r="A1021" s="3" t="s">
        <v>5</v>
      </c>
      <c r="B1021" s="3" t="s">
        <v>43</v>
      </c>
      <c r="C1021" s="4" t="s">
        <v>4</v>
      </c>
      <c r="D1021" s="3" t="s">
        <v>11</v>
      </c>
      <c r="E1021" s="3" t="s">
        <v>44</v>
      </c>
      <c r="F1021" s="3">
        <v>41843</v>
      </c>
    </row>
    <row r="1022" spans="1:6" x14ac:dyDescent="0.3">
      <c r="A1022" s="1" t="s">
        <v>5</v>
      </c>
      <c r="B1022" s="1" t="s">
        <v>43</v>
      </c>
      <c r="C1022" s="2" t="s">
        <v>4</v>
      </c>
      <c r="D1022" s="1" t="s">
        <v>11</v>
      </c>
      <c r="E1022" s="1" t="s">
        <v>45</v>
      </c>
      <c r="F1022" s="1">
        <v>41843</v>
      </c>
    </row>
    <row r="1023" spans="1:6" x14ac:dyDescent="0.3">
      <c r="A1023" s="3" t="s">
        <v>5</v>
      </c>
      <c r="B1023" s="3" t="s">
        <v>43</v>
      </c>
      <c r="C1023" s="4" t="s">
        <v>4</v>
      </c>
      <c r="D1023" s="3" t="s">
        <v>11</v>
      </c>
      <c r="E1023" s="3" t="s">
        <v>49</v>
      </c>
      <c r="F1023" s="3">
        <v>1</v>
      </c>
    </row>
    <row r="1024" spans="1:6" x14ac:dyDescent="0.3">
      <c r="A1024" s="1" t="s">
        <v>5</v>
      </c>
      <c r="B1024" s="1" t="s">
        <v>43</v>
      </c>
      <c r="C1024" s="2" t="s">
        <v>4</v>
      </c>
      <c r="D1024" s="1" t="s">
        <v>1</v>
      </c>
      <c r="E1024" s="1" t="s">
        <v>0</v>
      </c>
      <c r="F1024" s="1">
        <v>12</v>
      </c>
    </row>
    <row r="1025" spans="1:6" x14ac:dyDescent="0.3">
      <c r="A1025" s="3" t="s">
        <v>5</v>
      </c>
      <c r="B1025" s="3" t="s">
        <v>43</v>
      </c>
      <c r="C1025" s="4" t="s">
        <v>4</v>
      </c>
      <c r="D1025" s="3" t="s">
        <v>1</v>
      </c>
      <c r="E1025" s="3" t="s">
        <v>44</v>
      </c>
      <c r="F1025" s="3">
        <v>-116165.3064</v>
      </c>
    </row>
    <row r="1026" spans="1:6" x14ac:dyDescent="0.3">
      <c r="A1026" s="1" t="s">
        <v>5</v>
      </c>
      <c r="B1026" s="1" t="s">
        <v>43</v>
      </c>
      <c r="C1026" s="2" t="s">
        <v>4</v>
      </c>
      <c r="D1026" s="1" t="s">
        <v>1</v>
      </c>
      <c r="E1026" s="1" t="s">
        <v>45</v>
      </c>
      <c r="F1026" s="1">
        <v>88026.75</v>
      </c>
    </row>
    <row r="1027" spans="1:6" x14ac:dyDescent="0.3">
      <c r="A1027" s="3" t="s">
        <v>5</v>
      </c>
      <c r="B1027" s="3" t="s">
        <v>43</v>
      </c>
      <c r="C1027" s="4" t="s">
        <v>4</v>
      </c>
      <c r="D1027" s="3" t="s">
        <v>1</v>
      </c>
      <c r="E1027" s="3" t="s">
        <v>46</v>
      </c>
      <c r="F1027" s="3">
        <v>190365</v>
      </c>
    </row>
    <row r="1028" spans="1:6" x14ac:dyDescent="0.3">
      <c r="A1028" s="1" t="s">
        <v>5</v>
      </c>
      <c r="B1028" s="1" t="s">
        <v>43</v>
      </c>
      <c r="C1028" s="2" t="s">
        <v>4</v>
      </c>
      <c r="D1028" s="1" t="s">
        <v>1</v>
      </c>
      <c r="E1028" s="1" t="s">
        <v>47</v>
      </c>
      <c r="F1028" s="1">
        <v>1300.5563999999899</v>
      </c>
    </row>
    <row r="1029" spans="1:6" x14ac:dyDescent="0.3">
      <c r="A1029" s="3" t="s">
        <v>5</v>
      </c>
      <c r="B1029" s="3" t="s">
        <v>43</v>
      </c>
      <c r="C1029" s="4" t="s">
        <v>4</v>
      </c>
      <c r="D1029" s="3" t="s">
        <v>1</v>
      </c>
      <c r="E1029" s="3" t="s">
        <v>48</v>
      </c>
      <c r="F1029" s="3">
        <v>12526.5</v>
      </c>
    </row>
    <row r="1030" spans="1:6" x14ac:dyDescent="0.3">
      <c r="A1030" s="1" t="s">
        <v>5</v>
      </c>
      <c r="B1030" s="1" t="s">
        <v>43</v>
      </c>
      <c r="C1030" s="2" t="s">
        <v>4</v>
      </c>
      <c r="D1030" s="1" t="s">
        <v>1</v>
      </c>
      <c r="E1030" s="1" t="s">
        <v>49</v>
      </c>
      <c r="F1030" s="1">
        <v>-1.3196591536095501</v>
      </c>
    </row>
    <row r="1031" spans="1:6" x14ac:dyDescent="0.3">
      <c r="A1031" s="3" t="s">
        <v>5</v>
      </c>
      <c r="B1031" s="3" t="s">
        <v>43</v>
      </c>
      <c r="C1031" s="4" t="s">
        <v>4</v>
      </c>
      <c r="D1031" s="3" t="s">
        <v>6</v>
      </c>
      <c r="E1031" s="3" t="s">
        <v>44</v>
      </c>
      <c r="F1031" s="3">
        <v>-136695.28499999901</v>
      </c>
    </row>
    <row r="1032" spans="1:6" x14ac:dyDescent="0.3">
      <c r="A1032" s="1" t="s">
        <v>5</v>
      </c>
      <c r="B1032" s="1" t="s">
        <v>43</v>
      </c>
      <c r="C1032" s="2" t="s">
        <v>4</v>
      </c>
      <c r="D1032" s="1" t="s">
        <v>6</v>
      </c>
      <c r="E1032" s="1" t="s">
        <v>45</v>
      </c>
      <c r="F1032" s="1">
        <v>88026.75</v>
      </c>
    </row>
    <row r="1033" spans="1:6" x14ac:dyDescent="0.3">
      <c r="A1033" s="3" t="s">
        <v>5</v>
      </c>
      <c r="B1033" s="3" t="s">
        <v>43</v>
      </c>
      <c r="C1033" s="4" t="s">
        <v>4</v>
      </c>
      <c r="D1033" s="3" t="s">
        <v>6</v>
      </c>
      <c r="E1033" s="3" t="s">
        <v>46</v>
      </c>
      <c r="F1033" s="3">
        <v>210945</v>
      </c>
    </row>
    <row r="1034" spans="1:6" x14ac:dyDescent="0.3">
      <c r="A1034" s="1" t="s">
        <v>5</v>
      </c>
      <c r="B1034" s="1" t="s">
        <v>43</v>
      </c>
      <c r="C1034" s="2" t="s">
        <v>4</v>
      </c>
      <c r="D1034" s="1" t="s">
        <v>6</v>
      </c>
      <c r="E1034" s="1" t="s">
        <v>47</v>
      </c>
      <c r="F1034" s="1">
        <v>1250.5349999999901</v>
      </c>
    </row>
    <row r="1035" spans="1:6" x14ac:dyDescent="0.3">
      <c r="A1035" s="3" t="s">
        <v>5</v>
      </c>
      <c r="B1035" s="3" t="s">
        <v>43</v>
      </c>
      <c r="C1035" s="4" t="s">
        <v>4</v>
      </c>
      <c r="D1035" s="3" t="s">
        <v>6</v>
      </c>
      <c r="E1035" s="3" t="s">
        <v>48</v>
      </c>
      <c r="F1035" s="3">
        <v>12526.5</v>
      </c>
    </row>
    <row r="1036" spans="1:6" x14ac:dyDescent="0.3">
      <c r="A1036" s="1" t="s">
        <v>5</v>
      </c>
      <c r="B1036" s="1" t="s">
        <v>43</v>
      </c>
      <c r="C1036" s="2" t="s">
        <v>4</v>
      </c>
      <c r="D1036" s="1" t="s">
        <v>6</v>
      </c>
      <c r="E1036" s="1" t="s">
        <v>49</v>
      </c>
      <c r="F1036" s="1">
        <v>-1.5528834700815299</v>
      </c>
    </row>
    <row r="1037" spans="1:6" x14ac:dyDescent="0.3">
      <c r="A1037" s="3" t="s">
        <v>5</v>
      </c>
      <c r="B1037" s="3" t="s">
        <v>43</v>
      </c>
      <c r="C1037" s="4" t="s">
        <v>4</v>
      </c>
      <c r="D1037" s="3" t="s">
        <v>9</v>
      </c>
      <c r="E1037" s="3" t="s">
        <v>44</v>
      </c>
      <c r="F1037" s="3">
        <v>-107042.5278</v>
      </c>
    </row>
    <row r="1038" spans="1:6" x14ac:dyDescent="0.3">
      <c r="A1038" s="1" t="s">
        <v>5</v>
      </c>
      <c r="B1038" s="1" t="s">
        <v>43</v>
      </c>
      <c r="C1038" s="2" t="s">
        <v>4</v>
      </c>
      <c r="D1038" s="1" t="s">
        <v>9</v>
      </c>
      <c r="E1038" s="1" t="s">
        <v>45</v>
      </c>
      <c r="F1038" s="1">
        <v>146711.25</v>
      </c>
    </row>
    <row r="1039" spans="1:6" x14ac:dyDescent="0.3">
      <c r="A1039" s="3" t="s">
        <v>5</v>
      </c>
      <c r="B1039" s="3" t="s">
        <v>43</v>
      </c>
      <c r="C1039" s="4" t="s">
        <v>4</v>
      </c>
      <c r="D1039" s="3" t="s">
        <v>9</v>
      </c>
      <c r="E1039" s="3" t="s">
        <v>46</v>
      </c>
      <c r="F1039" s="3">
        <v>231525</v>
      </c>
    </row>
    <row r="1040" spans="1:6" x14ac:dyDescent="0.3">
      <c r="A1040" s="1" t="s">
        <v>5</v>
      </c>
      <c r="B1040" s="1" t="s">
        <v>43</v>
      </c>
      <c r="C1040" s="2" t="s">
        <v>4</v>
      </c>
      <c r="D1040" s="1" t="s">
        <v>9</v>
      </c>
      <c r="E1040" s="1" t="s">
        <v>47</v>
      </c>
      <c r="F1040" s="1">
        <v>1350.57779999999</v>
      </c>
    </row>
    <row r="1041" spans="1:6" x14ac:dyDescent="0.3">
      <c r="A1041" s="3" t="s">
        <v>5</v>
      </c>
      <c r="B1041" s="3" t="s">
        <v>43</v>
      </c>
      <c r="C1041" s="4" t="s">
        <v>4</v>
      </c>
      <c r="D1041" s="3" t="s">
        <v>9</v>
      </c>
      <c r="E1041" s="3" t="s">
        <v>48</v>
      </c>
      <c r="F1041" s="3">
        <v>20878.2</v>
      </c>
    </row>
    <row r="1042" spans="1:6" x14ac:dyDescent="0.3">
      <c r="A1042" s="1" t="s">
        <v>5</v>
      </c>
      <c r="B1042" s="1" t="s">
        <v>43</v>
      </c>
      <c r="C1042" s="2" t="s">
        <v>4</v>
      </c>
      <c r="D1042" s="1" t="s">
        <v>9</v>
      </c>
      <c r="E1042" s="1" t="s">
        <v>49</v>
      </c>
      <c r="F1042" s="1">
        <v>-0.72961363085652897</v>
      </c>
    </row>
    <row r="1043" spans="1:6" x14ac:dyDescent="0.3">
      <c r="A1043" s="3" t="s">
        <v>5</v>
      </c>
      <c r="B1043" s="3" t="s">
        <v>43</v>
      </c>
      <c r="C1043" s="4" t="s">
        <v>4</v>
      </c>
      <c r="D1043" s="3" t="s">
        <v>11</v>
      </c>
      <c r="E1043" s="3" t="s">
        <v>44</v>
      </c>
      <c r="F1043" s="3">
        <v>-46211.277600000001</v>
      </c>
    </row>
    <row r="1044" spans="1:6" x14ac:dyDescent="0.3">
      <c r="A1044" s="1" t="s">
        <v>5</v>
      </c>
      <c r="B1044" s="1" t="s">
        <v>43</v>
      </c>
      <c r="C1044" s="2" t="s">
        <v>4</v>
      </c>
      <c r="D1044" s="1" t="s">
        <v>11</v>
      </c>
      <c r="E1044" s="1" t="s">
        <v>45</v>
      </c>
      <c r="F1044" s="1">
        <v>176053.5</v>
      </c>
    </row>
    <row r="1045" spans="1:6" x14ac:dyDescent="0.3">
      <c r="A1045" s="3" t="s">
        <v>5</v>
      </c>
      <c r="B1045" s="3" t="s">
        <v>43</v>
      </c>
      <c r="C1045" s="4" t="s">
        <v>4</v>
      </c>
      <c r="D1045" s="3" t="s">
        <v>11</v>
      </c>
      <c r="E1045" s="3" t="s">
        <v>46</v>
      </c>
      <c r="F1045" s="3">
        <v>195510</v>
      </c>
    </row>
    <row r="1046" spans="1:6" x14ac:dyDescent="0.3">
      <c r="A1046" s="1" t="s">
        <v>5</v>
      </c>
      <c r="B1046" s="1" t="s">
        <v>43</v>
      </c>
      <c r="C1046" s="2" t="s">
        <v>4</v>
      </c>
      <c r="D1046" s="1" t="s">
        <v>11</v>
      </c>
      <c r="E1046" s="1" t="s">
        <v>47</v>
      </c>
      <c r="F1046" s="1">
        <v>1700.7275999999899</v>
      </c>
    </row>
    <row r="1047" spans="1:6" x14ac:dyDescent="0.3">
      <c r="A1047" s="3" t="s">
        <v>5</v>
      </c>
      <c r="B1047" s="3" t="s">
        <v>43</v>
      </c>
      <c r="C1047" s="4" t="s">
        <v>4</v>
      </c>
      <c r="D1047" s="3" t="s">
        <v>11</v>
      </c>
      <c r="E1047" s="3" t="s">
        <v>48</v>
      </c>
      <c r="F1047" s="3">
        <v>25054.05</v>
      </c>
    </row>
    <row r="1048" spans="1:6" x14ac:dyDescent="0.3">
      <c r="A1048" s="1" t="s">
        <v>5</v>
      </c>
      <c r="B1048" s="1" t="s">
        <v>43</v>
      </c>
      <c r="C1048" s="2" t="s">
        <v>4</v>
      </c>
      <c r="D1048" s="1" t="s">
        <v>11</v>
      </c>
      <c r="E1048" s="1" t="s">
        <v>49</v>
      </c>
      <c r="F1048" s="1">
        <v>-0.26248428801472201</v>
      </c>
    </row>
    <row r="1049" spans="1:6" x14ac:dyDescent="0.3">
      <c r="A1049" s="3" t="s">
        <v>5</v>
      </c>
      <c r="B1049" s="3" t="s">
        <v>43</v>
      </c>
      <c r="C1049" s="4" t="s">
        <v>4</v>
      </c>
      <c r="D1049" s="3" t="s">
        <v>1</v>
      </c>
      <c r="E1049" s="3" t="s">
        <v>44</v>
      </c>
      <c r="F1049" s="3">
        <v>-296752.11</v>
      </c>
    </row>
    <row r="1050" spans="1:6" x14ac:dyDescent="0.3">
      <c r="A1050" s="1" t="s">
        <v>5</v>
      </c>
      <c r="B1050" s="1" t="s">
        <v>43</v>
      </c>
      <c r="C1050" s="2" t="s">
        <v>4</v>
      </c>
      <c r="D1050" s="1" t="s">
        <v>1</v>
      </c>
      <c r="E1050" s="1" t="s">
        <v>45</v>
      </c>
      <c r="F1050" s="1">
        <v>191362.5</v>
      </c>
    </row>
    <row r="1051" spans="1:6" x14ac:dyDescent="0.3">
      <c r="A1051" s="3" t="s">
        <v>5</v>
      </c>
      <c r="B1051" s="3" t="s">
        <v>43</v>
      </c>
      <c r="C1051" s="4" t="s">
        <v>4</v>
      </c>
      <c r="D1051" s="3" t="s">
        <v>1</v>
      </c>
      <c r="E1051" s="3" t="s">
        <v>46</v>
      </c>
      <c r="F1051" s="3">
        <v>463050</v>
      </c>
    </row>
    <row r="1052" spans="1:6" x14ac:dyDescent="0.3">
      <c r="A1052" s="1" t="s">
        <v>5</v>
      </c>
      <c r="B1052" s="1" t="s">
        <v>43</v>
      </c>
      <c r="C1052" s="2" t="s">
        <v>4</v>
      </c>
      <c r="D1052" s="1" t="s">
        <v>1</v>
      </c>
      <c r="E1052" s="1" t="s">
        <v>47</v>
      </c>
      <c r="F1052" s="1">
        <v>10.559999999999899</v>
      </c>
    </row>
    <row r="1053" spans="1:6" x14ac:dyDescent="0.3">
      <c r="A1053" s="3" t="s">
        <v>5</v>
      </c>
      <c r="B1053" s="3" t="s">
        <v>43</v>
      </c>
      <c r="C1053" s="4" t="s">
        <v>4</v>
      </c>
      <c r="D1053" s="3" t="s">
        <v>1</v>
      </c>
      <c r="E1053" s="3" t="s">
        <v>48</v>
      </c>
      <c r="F1053" s="3">
        <v>25054.05</v>
      </c>
    </row>
    <row r="1054" spans="1:6" x14ac:dyDescent="0.3">
      <c r="A1054" s="1" t="s">
        <v>5</v>
      </c>
      <c r="B1054" s="1" t="s">
        <v>43</v>
      </c>
      <c r="C1054" s="2" t="s">
        <v>4</v>
      </c>
      <c r="D1054" s="1" t="s">
        <v>1</v>
      </c>
      <c r="E1054" s="1" t="s">
        <v>49</v>
      </c>
      <c r="F1054" s="1">
        <v>-1.55073282382912</v>
      </c>
    </row>
    <row r="1055" spans="1:6" x14ac:dyDescent="0.3">
      <c r="A1055" s="3" t="s">
        <v>5</v>
      </c>
      <c r="B1055" s="3" t="s">
        <v>43</v>
      </c>
      <c r="C1055" s="4" t="s">
        <v>4</v>
      </c>
      <c r="D1055" s="3" t="s">
        <v>6</v>
      </c>
      <c r="E1055" s="3" t="s">
        <v>44</v>
      </c>
      <c r="F1055" s="3">
        <v>-301897.11</v>
      </c>
    </row>
    <row r="1056" spans="1:6" x14ac:dyDescent="0.3">
      <c r="A1056" s="1" t="s">
        <v>5</v>
      </c>
      <c r="B1056" s="1" t="s">
        <v>43</v>
      </c>
      <c r="C1056" s="2" t="s">
        <v>4</v>
      </c>
      <c r="D1056" s="1" t="s">
        <v>6</v>
      </c>
      <c r="E1056" s="1" t="s">
        <v>45</v>
      </c>
      <c r="F1056" s="1">
        <v>191362.5</v>
      </c>
    </row>
    <row r="1057" spans="1:6" x14ac:dyDescent="0.3">
      <c r="A1057" s="3" t="s">
        <v>5</v>
      </c>
      <c r="B1057" s="3" t="s">
        <v>43</v>
      </c>
      <c r="C1057" s="4" t="s">
        <v>4</v>
      </c>
      <c r="D1057" s="3" t="s">
        <v>6</v>
      </c>
      <c r="E1057" s="3" t="s">
        <v>46</v>
      </c>
      <c r="F1057" s="3">
        <v>468195</v>
      </c>
    </row>
    <row r="1058" spans="1:6" x14ac:dyDescent="0.3">
      <c r="A1058" s="1" t="s">
        <v>5</v>
      </c>
      <c r="B1058" s="1" t="s">
        <v>43</v>
      </c>
      <c r="C1058" s="2" t="s">
        <v>4</v>
      </c>
      <c r="D1058" s="1" t="s">
        <v>6</v>
      </c>
      <c r="E1058" s="1" t="s">
        <v>47</v>
      </c>
      <c r="F1058" s="1">
        <v>10.559999999999899</v>
      </c>
    </row>
    <row r="1059" spans="1:6" x14ac:dyDescent="0.3">
      <c r="A1059" s="3" t="s">
        <v>5</v>
      </c>
      <c r="B1059" s="3" t="s">
        <v>43</v>
      </c>
      <c r="C1059" s="4" t="s">
        <v>4</v>
      </c>
      <c r="D1059" s="3" t="s">
        <v>6</v>
      </c>
      <c r="E1059" s="3" t="s">
        <v>48</v>
      </c>
      <c r="F1059" s="3">
        <v>25054.05</v>
      </c>
    </row>
    <row r="1060" spans="1:6" x14ac:dyDescent="0.3">
      <c r="A1060" s="1" t="s">
        <v>5</v>
      </c>
      <c r="B1060" s="1" t="s">
        <v>43</v>
      </c>
      <c r="C1060" s="2" t="s">
        <v>4</v>
      </c>
      <c r="D1060" s="1" t="s">
        <v>6</v>
      </c>
      <c r="E1060" s="1" t="s">
        <v>49</v>
      </c>
      <c r="F1060" s="1">
        <v>-1.5776189692337801</v>
      </c>
    </row>
    <row r="1061" spans="1:6" x14ac:dyDescent="0.3">
      <c r="A1061" s="3" t="s">
        <v>5</v>
      </c>
      <c r="B1061" s="3" t="s">
        <v>43</v>
      </c>
      <c r="C1061" s="4" t="s">
        <v>4</v>
      </c>
      <c r="D1061" s="3" t="s">
        <v>9</v>
      </c>
      <c r="E1061" s="3" t="s">
        <v>44</v>
      </c>
      <c r="F1061" s="3">
        <v>-312187.11</v>
      </c>
    </row>
    <row r="1062" spans="1:6" x14ac:dyDescent="0.3">
      <c r="A1062" s="1" t="s">
        <v>5</v>
      </c>
      <c r="B1062" s="1" t="s">
        <v>43</v>
      </c>
      <c r="C1062" s="2" t="s">
        <v>4</v>
      </c>
      <c r="D1062" s="1" t="s">
        <v>9</v>
      </c>
      <c r="E1062" s="1" t="s">
        <v>45</v>
      </c>
      <c r="F1062" s="1">
        <v>191362.5</v>
      </c>
    </row>
    <row r="1063" spans="1:6" x14ac:dyDescent="0.3">
      <c r="A1063" s="3" t="s">
        <v>5</v>
      </c>
      <c r="B1063" s="3" t="s">
        <v>43</v>
      </c>
      <c r="C1063" s="4" t="s">
        <v>4</v>
      </c>
      <c r="D1063" s="3" t="s">
        <v>9</v>
      </c>
      <c r="E1063" s="3" t="s">
        <v>46</v>
      </c>
      <c r="F1063" s="3">
        <v>478485</v>
      </c>
    </row>
    <row r="1064" spans="1:6" x14ac:dyDescent="0.3">
      <c r="A1064" s="1" t="s">
        <v>5</v>
      </c>
      <c r="B1064" s="1" t="s">
        <v>43</v>
      </c>
      <c r="C1064" s="2" t="s">
        <v>4</v>
      </c>
      <c r="D1064" s="1" t="s">
        <v>9</v>
      </c>
      <c r="E1064" s="1" t="s">
        <v>47</v>
      </c>
      <c r="F1064" s="1">
        <v>10.559999999999899</v>
      </c>
    </row>
    <row r="1065" spans="1:6" x14ac:dyDescent="0.3">
      <c r="A1065" s="3" t="s">
        <v>5</v>
      </c>
      <c r="B1065" s="3" t="s">
        <v>43</v>
      </c>
      <c r="C1065" s="4" t="s">
        <v>4</v>
      </c>
      <c r="D1065" s="3" t="s">
        <v>9</v>
      </c>
      <c r="E1065" s="3" t="s">
        <v>48</v>
      </c>
      <c r="F1065" s="3">
        <v>25054.05</v>
      </c>
    </row>
    <row r="1066" spans="1:6" x14ac:dyDescent="0.3">
      <c r="A1066" s="1" t="s">
        <v>5</v>
      </c>
      <c r="B1066" s="1" t="s">
        <v>43</v>
      </c>
      <c r="C1066" s="2" t="s">
        <v>4</v>
      </c>
      <c r="D1066" s="1" t="s">
        <v>9</v>
      </c>
      <c r="E1066" s="1" t="s">
        <v>49</v>
      </c>
      <c r="F1066" s="1">
        <v>-1.63139126004311</v>
      </c>
    </row>
    <row r="1067" spans="1:6" x14ac:dyDescent="0.3">
      <c r="A1067" s="3" t="s">
        <v>5</v>
      </c>
      <c r="B1067" s="3" t="s">
        <v>43</v>
      </c>
      <c r="C1067" s="4" t="s">
        <v>4</v>
      </c>
      <c r="D1067" s="3" t="s">
        <v>11</v>
      </c>
      <c r="E1067" s="3" t="s">
        <v>44</v>
      </c>
      <c r="F1067" s="3">
        <v>-322477.11</v>
      </c>
    </row>
    <row r="1068" spans="1:6" x14ac:dyDescent="0.3">
      <c r="A1068" s="1" t="s">
        <v>5</v>
      </c>
      <c r="B1068" s="1" t="s">
        <v>43</v>
      </c>
      <c r="C1068" s="2" t="s">
        <v>4</v>
      </c>
      <c r="D1068" s="1" t="s">
        <v>11</v>
      </c>
      <c r="E1068" s="1" t="s">
        <v>45</v>
      </c>
      <c r="F1068" s="1">
        <v>191362.5</v>
      </c>
    </row>
    <row r="1069" spans="1:6" x14ac:dyDescent="0.3">
      <c r="A1069" s="3" t="s">
        <v>5</v>
      </c>
      <c r="B1069" s="3" t="s">
        <v>43</v>
      </c>
      <c r="C1069" s="4" t="s">
        <v>4</v>
      </c>
      <c r="D1069" s="3" t="s">
        <v>11</v>
      </c>
      <c r="E1069" s="3" t="s">
        <v>46</v>
      </c>
      <c r="F1069" s="3">
        <v>488775</v>
      </c>
    </row>
    <row r="1070" spans="1:6" x14ac:dyDescent="0.3">
      <c r="A1070" s="1" t="s">
        <v>5</v>
      </c>
      <c r="B1070" s="1" t="s">
        <v>43</v>
      </c>
      <c r="C1070" s="2" t="s">
        <v>4</v>
      </c>
      <c r="D1070" s="1" t="s">
        <v>11</v>
      </c>
      <c r="E1070" s="1" t="s">
        <v>47</v>
      </c>
      <c r="F1070" s="1">
        <v>10.559999999999899</v>
      </c>
    </row>
    <row r="1071" spans="1:6" x14ac:dyDescent="0.3">
      <c r="A1071" s="3" t="s">
        <v>5</v>
      </c>
      <c r="B1071" s="3" t="s">
        <v>43</v>
      </c>
      <c r="C1071" s="4" t="s">
        <v>4</v>
      </c>
      <c r="D1071" s="3" t="s">
        <v>11</v>
      </c>
      <c r="E1071" s="3" t="s">
        <v>48</v>
      </c>
      <c r="F1071" s="3">
        <v>25054.05</v>
      </c>
    </row>
    <row r="1072" spans="1:6" x14ac:dyDescent="0.3">
      <c r="A1072" s="1" t="s">
        <v>5</v>
      </c>
      <c r="B1072" s="1" t="s">
        <v>43</v>
      </c>
      <c r="C1072" s="2" t="s">
        <v>4</v>
      </c>
      <c r="D1072" s="1" t="s">
        <v>11</v>
      </c>
      <c r="E1072" s="1" t="s">
        <v>49</v>
      </c>
      <c r="F1072" s="1">
        <v>-1.6851635508524401</v>
      </c>
    </row>
    <row r="1073" spans="1:6" x14ac:dyDescent="0.3">
      <c r="A1073" s="3" t="s">
        <v>5</v>
      </c>
      <c r="B1073" s="3" t="s">
        <v>43</v>
      </c>
      <c r="C1073" s="4" t="s">
        <v>4</v>
      </c>
      <c r="D1073" s="3" t="s">
        <v>1</v>
      </c>
      <c r="E1073" s="3" t="s">
        <v>44</v>
      </c>
      <c r="F1073" s="3">
        <v>162658.799999999</v>
      </c>
    </row>
    <row r="1074" spans="1:6" x14ac:dyDescent="0.3">
      <c r="A1074" s="1" t="s">
        <v>5</v>
      </c>
      <c r="B1074" s="1" t="s">
        <v>43</v>
      </c>
      <c r="C1074" s="2" t="s">
        <v>4</v>
      </c>
      <c r="D1074" s="1" t="s">
        <v>1</v>
      </c>
      <c r="E1074" s="1" t="s">
        <v>45</v>
      </c>
      <c r="F1074" s="1">
        <v>162658.799999999</v>
      </c>
    </row>
    <row r="1075" spans="1:6" x14ac:dyDescent="0.3">
      <c r="A1075" s="3" t="s">
        <v>5</v>
      </c>
      <c r="B1075" s="3" t="s">
        <v>43</v>
      </c>
      <c r="C1075" s="4" t="s">
        <v>4</v>
      </c>
      <c r="D1075" s="3" t="s">
        <v>1</v>
      </c>
      <c r="E1075" s="3" t="s">
        <v>49</v>
      </c>
      <c r="F1075" s="3">
        <v>1</v>
      </c>
    </row>
    <row r="1076" spans="1:6" x14ac:dyDescent="0.3">
      <c r="A1076" s="1" t="s">
        <v>5</v>
      </c>
      <c r="B1076" s="1" t="s">
        <v>43</v>
      </c>
      <c r="C1076" s="2" t="s">
        <v>4</v>
      </c>
      <c r="D1076" s="1" t="s">
        <v>6</v>
      </c>
      <c r="E1076" s="1" t="s">
        <v>44</v>
      </c>
      <c r="F1076" s="1">
        <v>162658.799999999</v>
      </c>
    </row>
    <row r="1077" spans="1:6" x14ac:dyDescent="0.3">
      <c r="A1077" s="3" t="s">
        <v>5</v>
      </c>
      <c r="B1077" s="3" t="s">
        <v>43</v>
      </c>
      <c r="C1077" s="4" t="s">
        <v>4</v>
      </c>
      <c r="D1077" s="3" t="s">
        <v>6</v>
      </c>
      <c r="E1077" s="3" t="s">
        <v>45</v>
      </c>
      <c r="F1077" s="3">
        <v>162658.799999999</v>
      </c>
    </row>
    <row r="1078" spans="1:6" x14ac:dyDescent="0.3">
      <c r="A1078" s="1" t="s">
        <v>5</v>
      </c>
      <c r="B1078" s="1" t="s">
        <v>43</v>
      </c>
      <c r="C1078" s="2" t="s">
        <v>4</v>
      </c>
      <c r="D1078" s="1" t="s">
        <v>6</v>
      </c>
      <c r="E1078" s="1" t="s">
        <v>49</v>
      </c>
      <c r="F1078" s="1">
        <v>1</v>
      </c>
    </row>
    <row r="1079" spans="1:6" x14ac:dyDescent="0.3">
      <c r="A1079" s="3" t="s">
        <v>5</v>
      </c>
      <c r="B1079" s="3" t="s">
        <v>43</v>
      </c>
      <c r="C1079" s="4" t="s">
        <v>4</v>
      </c>
      <c r="D1079" s="3" t="s">
        <v>9</v>
      </c>
      <c r="E1079" s="3" t="s">
        <v>44</v>
      </c>
      <c r="F1079" s="3">
        <v>162658.799999999</v>
      </c>
    </row>
    <row r="1080" spans="1:6" x14ac:dyDescent="0.3">
      <c r="A1080" s="1" t="s">
        <v>5</v>
      </c>
      <c r="B1080" s="1" t="s">
        <v>43</v>
      </c>
      <c r="C1080" s="2" t="s">
        <v>4</v>
      </c>
      <c r="D1080" s="1" t="s">
        <v>9</v>
      </c>
      <c r="E1080" s="1" t="s">
        <v>45</v>
      </c>
      <c r="F1080" s="1">
        <v>162658.799999999</v>
      </c>
    </row>
    <row r="1081" spans="1:6" x14ac:dyDescent="0.3">
      <c r="A1081" s="3" t="s">
        <v>5</v>
      </c>
      <c r="B1081" s="3" t="s">
        <v>43</v>
      </c>
      <c r="C1081" s="4" t="s">
        <v>4</v>
      </c>
      <c r="D1081" s="3" t="s">
        <v>9</v>
      </c>
      <c r="E1081" s="3" t="s">
        <v>49</v>
      </c>
      <c r="F1081" s="3">
        <v>1</v>
      </c>
    </row>
    <row r="1082" spans="1:6" x14ac:dyDescent="0.3">
      <c r="A1082" s="1" t="s">
        <v>5</v>
      </c>
      <c r="B1082" s="1" t="s">
        <v>43</v>
      </c>
      <c r="C1082" s="2" t="s">
        <v>4</v>
      </c>
      <c r="D1082" s="1" t="s">
        <v>11</v>
      </c>
      <c r="E1082" s="1" t="s">
        <v>44</v>
      </c>
      <c r="F1082" s="1">
        <v>162658.799999999</v>
      </c>
    </row>
    <row r="1083" spans="1:6" x14ac:dyDescent="0.3">
      <c r="A1083" s="3" t="s">
        <v>5</v>
      </c>
      <c r="B1083" s="3" t="s">
        <v>43</v>
      </c>
      <c r="C1083" s="4" t="s">
        <v>4</v>
      </c>
      <c r="D1083" s="3" t="s">
        <v>11</v>
      </c>
      <c r="E1083" s="3" t="s">
        <v>45</v>
      </c>
      <c r="F1083" s="3">
        <v>162658.799999999</v>
      </c>
    </row>
    <row r="1084" spans="1:6" x14ac:dyDescent="0.3">
      <c r="A1084" s="1" t="s">
        <v>5</v>
      </c>
      <c r="B1084" s="1" t="s">
        <v>43</v>
      </c>
      <c r="C1084" s="2" t="s">
        <v>4</v>
      </c>
      <c r="D1084" s="1" t="s">
        <v>11</v>
      </c>
      <c r="E1084" s="1" t="s">
        <v>49</v>
      </c>
      <c r="F1084" s="1">
        <v>1</v>
      </c>
    </row>
    <row r="1085" spans="1:6" x14ac:dyDescent="0.3">
      <c r="A1085" s="3" t="s">
        <v>5</v>
      </c>
      <c r="B1085" s="3" t="s">
        <v>43</v>
      </c>
      <c r="C1085" s="4" t="s">
        <v>4</v>
      </c>
      <c r="D1085" s="3" t="s">
        <v>1</v>
      </c>
      <c r="E1085" s="3" t="s">
        <v>44</v>
      </c>
      <c r="F1085" s="3">
        <v>27549.749999999902</v>
      </c>
    </row>
    <row r="1086" spans="1:6" x14ac:dyDescent="0.3">
      <c r="A1086" s="1" t="s">
        <v>5</v>
      </c>
      <c r="B1086" s="1" t="s">
        <v>43</v>
      </c>
      <c r="C1086" s="2" t="s">
        <v>4</v>
      </c>
      <c r="D1086" s="1" t="s">
        <v>1</v>
      </c>
      <c r="E1086" s="1" t="s">
        <v>45</v>
      </c>
      <c r="F1086" s="1">
        <v>86113.799999999901</v>
      </c>
    </row>
    <row r="1087" spans="1:6" x14ac:dyDescent="0.3">
      <c r="A1087" s="3" t="s">
        <v>5</v>
      </c>
      <c r="B1087" s="3" t="s">
        <v>43</v>
      </c>
      <c r="C1087" s="4" t="s">
        <v>4</v>
      </c>
      <c r="D1087" s="3" t="s">
        <v>1</v>
      </c>
      <c r="E1087" s="3" t="s">
        <v>46</v>
      </c>
      <c r="F1087" s="3">
        <v>30870</v>
      </c>
    </row>
    <row r="1088" spans="1:6" x14ac:dyDescent="0.3">
      <c r="A1088" s="1" t="s">
        <v>5</v>
      </c>
      <c r="B1088" s="1" t="s">
        <v>43</v>
      </c>
      <c r="C1088" s="2" t="s">
        <v>4</v>
      </c>
      <c r="D1088" s="1" t="s">
        <v>1</v>
      </c>
      <c r="E1088" s="1" t="s">
        <v>47</v>
      </c>
      <c r="F1088" s="1">
        <v>2640</v>
      </c>
    </row>
    <row r="1089" spans="1:6" x14ac:dyDescent="0.3">
      <c r="A1089" s="3" t="s">
        <v>5</v>
      </c>
      <c r="B1089" s="3" t="s">
        <v>43</v>
      </c>
      <c r="C1089" s="4" t="s">
        <v>4</v>
      </c>
      <c r="D1089" s="3" t="s">
        <v>1</v>
      </c>
      <c r="E1089" s="3" t="s">
        <v>48</v>
      </c>
      <c r="F1089" s="3">
        <v>25054.05</v>
      </c>
    </row>
    <row r="1090" spans="1:6" x14ac:dyDescent="0.3">
      <c r="A1090" s="1" t="s">
        <v>5</v>
      </c>
      <c r="B1090" s="1" t="s">
        <v>43</v>
      </c>
      <c r="C1090" s="2" t="s">
        <v>4</v>
      </c>
      <c r="D1090" s="1" t="s">
        <v>1</v>
      </c>
      <c r="E1090" s="1" t="s">
        <v>49</v>
      </c>
      <c r="F1090" s="1">
        <v>0.319922590804261</v>
      </c>
    </row>
    <row r="1091" spans="1:6" x14ac:dyDescent="0.3">
      <c r="A1091" s="3" t="s">
        <v>5</v>
      </c>
      <c r="B1091" s="3" t="s">
        <v>43</v>
      </c>
      <c r="C1091" s="4" t="s">
        <v>4</v>
      </c>
      <c r="D1091" s="3" t="s">
        <v>6</v>
      </c>
      <c r="E1091" s="3" t="s">
        <v>44</v>
      </c>
      <c r="F1091" s="3">
        <v>69285.299999999901</v>
      </c>
    </row>
    <row r="1092" spans="1:6" x14ac:dyDescent="0.3">
      <c r="A1092" s="1" t="s">
        <v>5</v>
      </c>
      <c r="B1092" s="1" t="s">
        <v>43</v>
      </c>
      <c r="C1092" s="2" t="s">
        <v>4</v>
      </c>
      <c r="D1092" s="1" t="s">
        <v>6</v>
      </c>
      <c r="E1092" s="1" t="s">
        <v>45</v>
      </c>
      <c r="F1092" s="1">
        <v>129169.349999999</v>
      </c>
    </row>
    <row r="1093" spans="1:6" x14ac:dyDescent="0.3">
      <c r="A1093" s="3" t="s">
        <v>5</v>
      </c>
      <c r="B1093" s="3" t="s">
        <v>43</v>
      </c>
      <c r="C1093" s="4" t="s">
        <v>4</v>
      </c>
      <c r="D1093" s="3" t="s">
        <v>6</v>
      </c>
      <c r="E1093" s="3" t="s">
        <v>46</v>
      </c>
      <c r="F1093" s="3">
        <v>30870</v>
      </c>
    </row>
    <row r="1094" spans="1:6" x14ac:dyDescent="0.3">
      <c r="A1094" s="1" t="s">
        <v>5</v>
      </c>
      <c r="B1094" s="1" t="s">
        <v>43</v>
      </c>
      <c r="C1094" s="2" t="s">
        <v>4</v>
      </c>
      <c r="D1094" s="1" t="s">
        <v>6</v>
      </c>
      <c r="E1094" s="1" t="s">
        <v>47</v>
      </c>
      <c r="F1094" s="1">
        <v>3960</v>
      </c>
    </row>
    <row r="1095" spans="1:6" x14ac:dyDescent="0.3">
      <c r="A1095" s="3" t="s">
        <v>5</v>
      </c>
      <c r="B1095" s="3" t="s">
        <v>43</v>
      </c>
      <c r="C1095" s="4" t="s">
        <v>4</v>
      </c>
      <c r="D1095" s="3" t="s">
        <v>6</v>
      </c>
      <c r="E1095" s="3" t="s">
        <v>48</v>
      </c>
      <c r="F1095" s="3">
        <v>25054.05</v>
      </c>
    </row>
    <row r="1096" spans="1:6" x14ac:dyDescent="0.3">
      <c r="A1096" s="1" t="s">
        <v>5</v>
      </c>
      <c r="B1096" s="1" t="s">
        <v>43</v>
      </c>
      <c r="C1096" s="2" t="s">
        <v>4</v>
      </c>
      <c r="D1096" s="1" t="s">
        <v>6</v>
      </c>
      <c r="E1096" s="1" t="s">
        <v>49</v>
      </c>
      <c r="F1096" s="1">
        <v>0.53639117948646398</v>
      </c>
    </row>
    <row r="1097" spans="1:6" x14ac:dyDescent="0.3">
      <c r="A1097" s="3" t="s">
        <v>5</v>
      </c>
      <c r="B1097" s="3" t="s">
        <v>43</v>
      </c>
      <c r="C1097" s="4" t="s">
        <v>4</v>
      </c>
      <c r="D1097" s="3" t="s">
        <v>9</v>
      </c>
      <c r="E1097" s="3" t="s">
        <v>44</v>
      </c>
      <c r="F1097" s="3">
        <v>111022.2</v>
      </c>
    </row>
    <row r="1098" spans="1:6" x14ac:dyDescent="0.3">
      <c r="A1098" s="1" t="s">
        <v>5</v>
      </c>
      <c r="B1098" s="1" t="s">
        <v>43</v>
      </c>
      <c r="C1098" s="2" t="s">
        <v>4</v>
      </c>
      <c r="D1098" s="1" t="s">
        <v>9</v>
      </c>
      <c r="E1098" s="1" t="s">
        <v>45</v>
      </c>
      <c r="F1098" s="1">
        <v>172226.25</v>
      </c>
    </row>
    <row r="1099" spans="1:6" x14ac:dyDescent="0.3">
      <c r="A1099" s="3" t="s">
        <v>5</v>
      </c>
      <c r="B1099" s="3" t="s">
        <v>43</v>
      </c>
      <c r="C1099" s="4" t="s">
        <v>4</v>
      </c>
      <c r="D1099" s="3" t="s">
        <v>9</v>
      </c>
      <c r="E1099" s="3" t="s">
        <v>46</v>
      </c>
      <c r="F1099" s="3">
        <v>30870</v>
      </c>
    </row>
    <row r="1100" spans="1:6" x14ac:dyDescent="0.3">
      <c r="A1100" s="1" t="s">
        <v>5</v>
      </c>
      <c r="B1100" s="1" t="s">
        <v>43</v>
      </c>
      <c r="C1100" s="2" t="s">
        <v>4</v>
      </c>
      <c r="D1100" s="1" t="s">
        <v>9</v>
      </c>
      <c r="E1100" s="1" t="s">
        <v>47</v>
      </c>
      <c r="F1100" s="1">
        <v>5280</v>
      </c>
    </row>
    <row r="1101" spans="1:6" x14ac:dyDescent="0.3">
      <c r="A1101" s="3" t="s">
        <v>5</v>
      </c>
      <c r="B1101" s="3" t="s">
        <v>43</v>
      </c>
      <c r="C1101" s="4" t="s">
        <v>4</v>
      </c>
      <c r="D1101" s="3" t="s">
        <v>9</v>
      </c>
      <c r="E1101" s="3" t="s">
        <v>48</v>
      </c>
      <c r="F1101" s="3">
        <v>25054.05</v>
      </c>
    </row>
    <row r="1102" spans="1:6" x14ac:dyDescent="0.3">
      <c r="A1102" s="1" t="s">
        <v>5</v>
      </c>
      <c r="B1102" s="1" t="s">
        <v>43</v>
      </c>
      <c r="C1102" s="2" t="s">
        <v>4</v>
      </c>
      <c r="D1102" s="1" t="s">
        <v>9</v>
      </c>
      <c r="E1102" s="1" t="s">
        <v>49</v>
      </c>
      <c r="F1102" s="1">
        <v>0.64462995623489405</v>
      </c>
    </row>
    <row r="1103" spans="1:6" x14ac:dyDescent="0.3">
      <c r="A1103" s="3" t="s">
        <v>5</v>
      </c>
      <c r="B1103" s="3" t="s">
        <v>43</v>
      </c>
      <c r="C1103" s="4" t="s">
        <v>4</v>
      </c>
      <c r="D1103" s="3" t="s">
        <v>11</v>
      </c>
      <c r="E1103" s="3" t="s">
        <v>44</v>
      </c>
      <c r="F1103" s="3">
        <v>152759.09999999899</v>
      </c>
    </row>
    <row r="1104" spans="1:6" x14ac:dyDescent="0.3">
      <c r="A1104" s="1" t="s">
        <v>5</v>
      </c>
      <c r="B1104" s="1" t="s">
        <v>43</v>
      </c>
      <c r="C1104" s="2" t="s">
        <v>4</v>
      </c>
      <c r="D1104" s="1" t="s">
        <v>11</v>
      </c>
      <c r="E1104" s="1" t="s">
        <v>45</v>
      </c>
      <c r="F1104" s="1">
        <v>215283.149999999</v>
      </c>
    </row>
    <row r="1105" spans="1:6" x14ac:dyDescent="0.3">
      <c r="A1105" s="3" t="s">
        <v>5</v>
      </c>
      <c r="B1105" s="3" t="s">
        <v>43</v>
      </c>
      <c r="C1105" s="4" t="s">
        <v>4</v>
      </c>
      <c r="D1105" s="3" t="s">
        <v>11</v>
      </c>
      <c r="E1105" s="3" t="s">
        <v>46</v>
      </c>
      <c r="F1105" s="3">
        <v>30870</v>
      </c>
    </row>
    <row r="1106" spans="1:6" x14ac:dyDescent="0.3">
      <c r="A1106" s="1" t="s">
        <v>5</v>
      </c>
      <c r="B1106" s="1" t="s">
        <v>43</v>
      </c>
      <c r="C1106" s="2" t="s">
        <v>4</v>
      </c>
      <c r="D1106" s="1" t="s">
        <v>11</v>
      </c>
      <c r="E1106" s="1" t="s">
        <v>47</v>
      </c>
      <c r="F1106" s="1">
        <v>6600</v>
      </c>
    </row>
    <row r="1107" spans="1:6" x14ac:dyDescent="0.3">
      <c r="A1107" s="3" t="s">
        <v>5</v>
      </c>
      <c r="B1107" s="3" t="s">
        <v>43</v>
      </c>
      <c r="C1107" s="4" t="s">
        <v>4</v>
      </c>
      <c r="D1107" s="3" t="s">
        <v>11</v>
      </c>
      <c r="E1107" s="3" t="s">
        <v>48</v>
      </c>
      <c r="F1107" s="3">
        <v>25054.05</v>
      </c>
    </row>
    <row r="1108" spans="1:6" x14ac:dyDescent="0.3">
      <c r="A1108" s="1" t="s">
        <v>5</v>
      </c>
      <c r="B1108" s="1" t="s">
        <v>43</v>
      </c>
      <c r="C1108" s="2" t="s">
        <v>4</v>
      </c>
      <c r="D1108" s="1" t="s">
        <v>11</v>
      </c>
      <c r="E1108" s="1" t="s">
        <v>49</v>
      </c>
      <c r="F1108" s="1">
        <v>0.70957295078597604</v>
      </c>
    </row>
    <row r="1109" spans="1:6" x14ac:dyDescent="0.3">
      <c r="A1109" s="3" t="s">
        <v>5</v>
      </c>
      <c r="B1109" s="3" t="s">
        <v>50</v>
      </c>
      <c r="C1109" s="4" t="s">
        <v>4</v>
      </c>
      <c r="D1109" s="3" t="s">
        <v>1</v>
      </c>
      <c r="E1109" s="3" t="s">
        <v>44</v>
      </c>
      <c r="F1109" s="3">
        <v>1302000</v>
      </c>
    </row>
    <row r="1110" spans="1:6" x14ac:dyDescent="0.3">
      <c r="A1110" s="1" t="s">
        <v>5</v>
      </c>
      <c r="B1110" s="1" t="s">
        <v>50</v>
      </c>
      <c r="C1110" s="2" t="s">
        <v>4</v>
      </c>
      <c r="D1110" s="1" t="s">
        <v>1</v>
      </c>
      <c r="E1110" s="1" t="s">
        <v>45</v>
      </c>
      <c r="F1110" s="1">
        <v>1302000</v>
      </c>
    </row>
    <row r="1111" spans="1:6" x14ac:dyDescent="0.3">
      <c r="A1111" s="3" t="s">
        <v>5</v>
      </c>
      <c r="B1111" s="3" t="s">
        <v>50</v>
      </c>
      <c r="C1111" s="4" t="s">
        <v>4</v>
      </c>
      <c r="D1111" s="3" t="s">
        <v>1</v>
      </c>
      <c r="E1111" s="3" t="s">
        <v>49</v>
      </c>
      <c r="F1111" s="3">
        <v>1</v>
      </c>
    </row>
    <row r="1112" spans="1:6" x14ac:dyDescent="0.3">
      <c r="A1112" s="1" t="s">
        <v>5</v>
      </c>
      <c r="B1112" s="1" t="s">
        <v>50</v>
      </c>
      <c r="C1112" s="2" t="s">
        <v>4</v>
      </c>
      <c r="D1112" s="1" t="s">
        <v>6</v>
      </c>
      <c r="E1112" s="1" t="s">
        <v>44</v>
      </c>
      <c r="F1112" s="1">
        <v>1880000</v>
      </c>
    </row>
    <row r="1113" spans="1:6" x14ac:dyDescent="0.3">
      <c r="A1113" s="3" t="s">
        <v>5</v>
      </c>
      <c r="B1113" s="3" t="s">
        <v>50</v>
      </c>
      <c r="C1113" s="4" t="s">
        <v>4</v>
      </c>
      <c r="D1113" s="3" t="s">
        <v>6</v>
      </c>
      <c r="E1113" s="3" t="s">
        <v>45</v>
      </c>
      <c r="F1113" s="3">
        <v>1880000</v>
      </c>
    </row>
    <row r="1114" spans="1:6" x14ac:dyDescent="0.3">
      <c r="A1114" s="1" t="s">
        <v>5</v>
      </c>
      <c r="B1114" s="1" t="s">
        <v>50</v>
      </c>
      <c r="C1114" s="2" t="s">
        <v>4</v>
      </c>
      <c r="D1114" s="1" t="s">
        <v>6</v>
      </c>
      <c r="E1114" s="1" t="s">
        <v>49</v>
      </c>
      <c r="F1114" s="1">
        <v>1</v>
      </c>
    </row>
    <row r="1115" spans="1:6" x14ac:dyDescent="0.3">
      <c r="A1115" s="3" t="s">
        <v>5</v>
      </c>
      <c r="B1115" s="3" t="s">
        <v>50</v>
      </c>
      <c r="C1115" s="4" t="s">
        <v>4</v>
      </c>
      <c r="D1115" s="3" t="s">
        <v>9</v>
      </c>
      <c r="E1115" s="3" t="s">
        <v>44</v>
      </c>
      <c r="F1115" s="3">
        <v>1960000</v>
      </c>
    </row>
    <row r="1116" spans="1:6" x14ac:dyDescent="0.3">
      <c r="A1116" s="1" t="s">
        <v>5</v>
      </c>
      <c r="B1116" s="1" t="s">
        <v>50</v>
      </c>
      <c r="C1116" s="2" t="s">
        <v>4</v>
      </c>
      <c r="D1116" s="1" t="s">
        <v>9</v>
      </c>
      <c r="E1116" s="1" t="s">
        <v>45</v>
      </c>
      <c r="F1116" s="1">
        <v>1960000</v>
      </c>
    </row>
    <row r="1117" spans="1:6" x14ac:dyDescent="0.3">
      <c r="A1117" s="3" t="s">
        <v>5</v>
      </c>
      <c r="B1117" s="3" t="s">
        <v>50</v>
      </c>
      <c r="C1117" s="4" t="s">
        <v>4</v>
      </c>
      <c r="D1117" s="3" t="s">
        <v>9</v>
      </c>
      <c r="E1117" s="3" t="s">
        <v>49</v>
      </c>
      <c r="F1117" s="3">
        <v>1</v>
      </c>
    </row>
    <row r="1118" spans="1:6" x14ac:dyDescent="0.3">
      <c r="A1118" s="1" t="s">
        <v>5</v>
      </c>
      <c r="B1118" s="1" t="s">
        <v>50</v>
      </c>
      <c r="C1118" s="2" t="s">
        <v>4</v>
      </c>
      <c r="D1118" s="1" t="s">
        <v>11</v>
      </c>
      <c r="E1118" s="1" t="s">
        <v>44</v>
      </c>
      <c r="F1118" s="1">
        <v>1960000</v>
      </c>
    </row>
    <row r="1119" spans="1:6" x14ac:dyDescent="0.3">
      <c r="A1119" s="3" t="s">
        <v>5</v>
      </c>
      <c r="B1119" s="3" t="s">
        <v>50</v>
      </c>
      <c r="C1119" s="4" t="s">
        <v>4</v>
      </c>
      <c r="D1119" s="3" t="s">
        <v>11</v>
      </c>
      <c r="E1119" s="3" t="s">
        <v>45</v>
      </c>
      <c r="F1119" s="3">
        <v>1960000</v>
      </c>
    </row>
    <row r="1120" spans="1:6" x14ac:dyDescent="0.3">
      <c r="A1120" s="1" t="s">
        <v>5</v>
      </c>
      <c r="B1120" s="1" t="s">
        <v>50</v>
      </c>
      <c r="C1120" s="2" t="s">
        <v>4</v>
      </c>
      <c r="D1120" s="1" t="s">
        <v>11</v>
      </c>
      <c r="E1120" s="1" t="s">
        <v>49</v>
      </c>
      <c r="F1120" s="1">
        <v>1</v>
      </c>
    </row>
    <row r="1121" spans="1:6" x14ac:dyDescent="0.3">
      <c r="A1121" s="3" t="s">
        <v>5</v>
      </c>
      <c r="B1121" s="3" t="s">
        <v>50</v>
      </c>
      <c r="C1121" s="4" t="s">
        <v>4</v>
      </c>
      <c r="D1121" s="3" t="s">
        <v>1</v>
      </c>
      <c r="E1121" s="3" t="s">
        <v>44</v>
      </c>
      <c r="F1121" s="3">
        <v>29787.839999999898</v>
      </c>
    </row>
    <row r="1122" spans="1:6" x14ac:dyDescent="0.3">
      <c r="A1122" s="1" t="s">
        <v>5</v>
      </c>
      <c r="B1122" s="1" t="s">
        <v>50</v>
      </c>
      <c r="C1122" s="2" t="s">
        <v>4</v>
      </c>
      <c r="D1122" s="1" t="s">
        <v>1</v>
      </c>
      <c r="E1122" s="1" t="s">
        <v>45</v>
      </c>
      <c r="F1122" s="1">
        <v>86113.799999999901</v>
      </c>
    </row>
    <row r="1123" spans="1:6" x14ac:dyDescent="0.3">
      <c r="A1123" s="3" t="s">
        <v>5</v>
      </c>
      <c r="B1123" s="3" t="s">
        <v>50</v>
      </c>
      <c r="C1123" s="4" t="s">
        <v>4</v>
      </c>
      <c r="D1123" s="3" t="s">
        <v>1</v>
      </c>
      <c r="E1123" s="3" t="s">
        <v>46</v>
      </c>
      <c r="F1123" s="3">
        <v>1190.3999999999901</v>
      </c>
    </row>
    <row r="1124" spans="1:6" x14ac:dyDescent="0.3">
      <c r="A1124" s="1" t="s">
        <v>5</v>
      </c>
      <c r="B1124" s="1" t="s">
        <v>50</v>
      </c>
      <c r="C1124" s="2" t="s">
        <v>4</v>
      </c>
      <c r="D1124" s="1" t="s">
        <v>1</v>
      </c>
      <c r="E1124" s="1" t="s">
        <v>47</v>
      </c>
      <c r="F1124" s="1">
        <v>10.559999999999899</v>
      </c>
    </row>
    <row r="1125" spans="1:6" x14ac:dyDescent="0.3">
      <c r="A1125" s="3" t="s">
        <v>5</v>
      </c>
      <c r="B1125" s="3" t="s">
        <v>50</v>
      </c>
      <c r="C1125" s="4" t="s">
        <v>4</v>
      </c>
      <c r="D1125" s="3" t="s">
        <v>1</v>
      </c>
      <c r="E1125" s="3" t="s">
        <v>48</v>
      </c>
      <c r="F1125" s="3">
        <v>55125</v>
      </c>
    </row>
    <row r="1126" spans="1:6" x14ac:dyDescent="0.3">
      <c r="A1126" s="1" t="s">
        <v>5</v>
      </c>
      <c r="B1126" s="1" t="s">
        <v>50</v>
      </c>
      <c r="C1126" s="2" t="s">
        <v>4</v>
      </c>
      <c r="D1126" s="1" t="s">
        <v>1</v>
      </c>
      <c r="E1126" s="1" t="s">
        <v>49</v>
      </c>
      <c r="F1126" s="1">
        <v>0.34591250182897498</v>
      </c>
    </row>
    <row r="1127" spans="1:6" x14ac:dyDescent="0.3">
      <c r="A1127" s="3" t="s">
        <v>5</v>
      </c>
      <c r="B1127" s="3" t="s">
        <v>50</v>
      </c>
      <c r="C1127" s="4" t="s">
        <v>4</v>
      </c>
      <c r="D1127" s="3" t="s">
        <v>6</v>
      </c>
      <c r="E1127" s="3" t="s">
        <v>44</v>
      </c>
      <c r="F1127" s="3">
        <v>29787.839999999898</v>
      </c>
    </row>
    <row r="1128" spans="1:6" x14ac:dyDescent="0.3">
      <c r="A1128" s="1" t="s">
        <v>5</v>
      </c>
      <c r="B1128" s="1" t="s">
        <v>50</v>
      </c>
      <c r="C1128" s="2" t="s">
        <v>4</v>
      </c>
      <c r="D1128" s="1" t="s">
        <v>6</v>
      </c>
      <c r="E1128" s="1" t="s">
        <v>45</v>
      </c>
      <c r="F1128" s="1">
        <v>86113.799999999901</v>
      </c>
    </row>
    <row r="1129" spans="1:6" x14ac:dyDescent="0.3">
      <c r="A1129" s="3" t="s">
        <v>5</v>
      </c>
      <c r="B1129" s="3" t="s">
        <v>50</v>
      </c>
      <c r="C1129" s="4" t="s">
        <v>4</v>
      </c>
      <c r="D1129" s="3" t="s">
        <v>6</v>
      </c>
      <c r="E1129" s="3" t="s">
        <v>46</v>
      </c>
      <c r="F1129" s="3">
        <v>1190.3999999999901</v>
      </c>
    </row>
    <row r="1130" spans="1:6" x14ac:dyDescent="0.3">
      <c r="A1130" s="1" t="s">
        <v>5</v>
      </c>
      <c r="B1130" s="1" t="s">
        <v>50</v>
      </c>
      <c r="C1130" s="2" t="s">
        <v>4</v>
      </c>
      <c r="D1130" s="1" t="s">
        <v>6</v>
      </c>
      <c r="E1130" s="1" t="s">
        <v>47</v>
      </c>
      <c r="F1130" s="1">
        <v>10.559999999999899</v>
      </c>
    </row>
    <row r="1131" spans="1:6" x14ac:dyDescent="0.3">
      <c r="A1131" s="3" t="s">
        <v>5</v>
      </c>
      <c r="B1131" s="3" t="s">
        <v>50</v>
      </c>
      <c r="C1131" s="4" t="s">
        <v>4</v>
      </c>
      <c r="D1131" s="3" t="s">
        <v>6</v>
      </c>
      <c r="E1131" s="3" t="s">
        <v>48</v>
      </c>
      <c r="F1131" s="3">
        <v>55125</v>
      </c>
    </row>
    <row r="1132" spans="1:6" x14ac:dyDescent="0.3">
      <c r="A1132" s="1" t="s">
        <v>5</v>
      </c>
      <c r="B1132" s="1" t="s">
        <v>50</v>
      </c>
      <c r="C1132" s="2" t="s">
        <v>4</v>
      </c>
      <c r="D1132" s="1" t="s">
        <v>6</v>
      </c>
      <c r="E1132" s="1" t="s">
        <v>49</v>
      </c>
      <c r="F1132" s="1">
        <v>0.34591250182897498</v>
      </c>
    </row>
    <row r="1133" spans="1:6" x14ac:dyDescent="0.3">
      <c r="A1133" s="3" t="s">
        <v>5</v>
      </c>
      <c r="B1133" s="3" t="s">
        <v>50</v>
      </c>
      <c r="C1133" s="4" t="s">
        <v>4</v>
      </c>
      <c r="D1133" s="3" t="s">
        <v>9</v>
      </c>
      <c r="E1133" s="3" t="s">
        <v>44</v>
      </c>
      <c r="F1133" s="3">
        <v>29787.839999999898</v>
      </c>
    </row>
    <row r="1134" spans="1:6" x14ac:dyDescent="0.3">
      <c r="A1134" s="1" t="s">
        <v>5</v>
      </c>
      <c r="B1134" s="1" t="s">
        <v>50</v>
      </c>
      <c r="C1134" s="2" t="s">
        <v>4</v>
      </c>
      <c r="D1134" s="1" t="s">
        <v>9</v>
      </c>
      <c r="E1134" s="1" t="s">
        <v>45</v>
      </c>
      <c r="F1134" s="1">
        <v>86113.799999999901</v>
      </c>
    </row>
    <row r="1135" spans="1:6" x14ac:dyDescent="0.3">
      <c r="A1135" s="3" t="s">
        <v>5</v>
      </c>
      <c r="B1135" s="3" t="s">
        <v>50</v>
      </c>
      <c r="C1135" s="4" t="s">
        <v>4</v>
      </c>
      <c r="D1135" s="3" t="s">
        <v>9</v>
      </c>
      <c r="E1135" s="3" t="s">
        <v>46</v>
      </c>
      <c r="F1135" s="3">
        <v>1190.3999999999901</v>
      </c>
    </row>
    <row r="1136" spans="1:6" x14ac:dyDescent="0.3">
      <c r="A1136" s="1" t="s">
        <v>5</v>
      </c>
      <c r="B1136" s="1" t="s">
        <v>50</v>
      </c>
      <c r="C1136" s="2" t="s">
        <v>4</v>
      </c>
      <c r="D1136" s="1" t="s">
        <v>9</v>
      </c>
      <c r="E1136" s="1" t="s">
        <v>47</v>
      </c>
      <c r="F1136" s="1">
        <v>10.559999999999899</v>
      </c>
    </row>
    <row r="1137" spans="1:6" x14ac:dyDescent="0.3">
      <c r="A1137" s="3" t="s">
        <v>5</v>
      </c>
      <c r="B1137" s="3" t="s">
        <v>50</v>
      </c>
      <c r="C1137" s="4" t="s">
        <v>4</v>
      </c>
      <c r="D1137" s="3" t="s">
        <v>9</v>
      </c>
      <c r="E1137" s="3" t="s">
        <v>48</v>
      </c>
      <c r="F1137" s="3">
        <v>55125</v>
      </c>
    </row>
    <row r="1138" spans="1:6" x14ac:dyDescent="0.3">
      <c r="A1138" s="1" t="s">
        <v>5</v>
      </c>
      <c r="B1138" s="1" t="s">
        <v>50</v>
      </c>
      <c r="C1138" s="2" t="s">
        <v>4</v>
      </c>
      <c r="D1138" s="1" t="s">
        <v>9</v>
      </c>
      <c r="E1138" s="1" t="s">
        <v>49</v>
      </c>
      <c r="F1138" s="1">
        <v>0.34591250182897498</v>
      </c>
    </row>
    <row r="1139" spans="1:6" x14ac:dyDescent="0.3">
      <c r="A1139" s="3" t="s">
        <v>5</v>
      </c>
      <c r="B1139" s="3" t="s">
        <v>50</v>
      </c>
      <c r="C1139" s="4" t="s">
        <v>4</v>
      </c>
      <c r="D1139" s="3" t="s">
        <v>11</v>
      </c>
      <c r="E1139" s="3" t="s">
        <v>44</v>
      </c>
      <c r="F1139" s="3">
        <v>29787.839999999898</v>
      </c>
    </row>
    <row r="1140" spans="1:6" x14ac:dyDescent="0.3">
      <c r="A1140" s="1" t="s">
        <v>5</v>
      </c>
      <c r="B1140" s="1" t="s">
        <v>50</v>
      </c>
      <c r="C1140" s="2" t="s">
        <v>4</v>
      </c>
      <c r="D1140" s="1" t="s">
        <v>11</v>
      </c>
      <c r="E1140" s="1" t="s">
        <v>45</v>
      </c>
      <c r="F1140" s="1">
        <v>86113.799999999901</v>
      </c>
    </row>
    <row r="1141" spans="1:6" x14ac:dyDescent="0.3">
      <c r="A1141" s="3" t="s">
        <v>5</v>
      </c>
      <c r="B1141" s="3" t="s">
        <v>50</v>
      </c>
      <c r="C1141" s="4" t="s">
        <v>4</v>
      </c>
      <c r="D1141" s="3" t="s">
        <v>11</v>
      </c>
      <c r="E1141" s="3" t="s">
        <v>46</v>
      </c>
      <c r="F1141" s="3">
        <v>1190.3999999999901</v>
      </c>
    </row>
    <row r="1142" spans="1:6" x14ac:dyDescent="0.3">
      <c r="A1142" s="1" t="s">
        <v>5</v>
      </c>
      <c r="B1142" s="1" t="s">
        <v>50</v>
      </c>
      <c r="C1142" s="2" t="s">
        <v>4</v>
      </c>
      <c r="D1142" s="1" t="s">
        <v>11</v>
      </c>
      <c r="E1142" s="1" t="s">
        <v>47</v>
      </c>
      <c r="F1142" s="1">
        <v>10.559999999999899</v>
      </c>
    </row>
    <row r="1143" spans="1:6" x14ac:dyDescent="0.3">
      <c r="A1143" s="3" t="s">
        <v>5</v>
      </c>
      <c r="B1143" s="3" t="s">
        <v>50</v>
      </c>
      <c r="C1143" s="4" t="s">
        <v>4</v>
      </c>
      <c r="D1143" s="3" t="s">
        <v>11</v>
      </c>
      <c r="E1143" s="3" t="s">
        <v>48</v>
      </c>
      <c r="F1143" s="3">
        <v>55125</v>
      </c>
    </row>
    <row r="1144" spans="1:6" x14ac:dyDescent="0.3">
      <c r="A1144" s="1" t="s">
        <v>5</v>
      </c>
      <c r="B1144" s="1" t="s">
        <v>50</v>
      </c>
      <c r="C1144" s="2" t="s">
        <v>4</v>
      </c>
      <c r="D1144" s="1" t="s">
        <v>11</v>
      </c>
      <c r="E1144" s="1" t="s">
        <v>49</v>
      </c>
      <c r="F1144" s="1">
        <v>0.34591250182897498</v>
      </c>
    </row>
    <row r="1145" spans="1:6" x14ac:dyDescent="0.3">
      <c r="A1145" s="3" t="s">
        <v>5</v>
      </c>
      <c r="B1145" s="3" t="s">
        <v>50</v>
      </c>
      <c r="C1145" s="4" t="s">
        <v>4</v>
      </c>
      <c r="D1145" s="3" t="s">
        <v>1</v>
      </c>
      <c r="E1145" s="3" t="s">
        <v>44</v>
      </c>
      <c r="F1145" s="3">
        <v>-357016.76</v>
      </c>
    </row>
    <row r="1146" spans="1:6" x14ac:dyDescent="0.3">
      <c r="A1146" s="1" t="s">
        <v>5</v>
      </c>
      <c r="B1146" s="1" t="s">
        <v>50</v>
      </c>
      <c r="C1146" s="2" t="s">
        <v>4</v>
      </c>
      <c r="D1146" s="1" t="s">
        <v>1</v>
      </c>
      <c r="E1146" s="1" t="s">
        <v>45</v>
      </c>
      <c r="F1146" s="1">
        <v>73196.999999999898</v>
      </c>
    </row>
    <row r="1147" spans="1:6" x14ac:dyDescent="0.3">
      <c r="A1147" s="3" t="s">
        <v>5</v>
      </c>
      <c r="B1147" s="3" t="s">
        <v>50</v>
      </c>
      <c r="C1147" s="4" t="s">
        <v>4</v>
      </c>
      <c r="D1147" s="3" t="s">
        <v>1</v>
      </c>
      <c r="E1147" s="3" t="s">
        <v>46</v>
      </c>
      <c r="F1147" s="3">
        <v>533.39999999999895</v>
      </c>
    </row>
    <row r="1148" spans="1:6" x14ac:dyDescent="0.3">
      <c r="A1148" s="1" t="s">
        <v>5</v>
      </c>
      <c r="B1148" s="1" t="s">
        <v>50</v>
      </c>
      <c r="C1148" s="2" t="s">
        <v>4</v>
      </c>
      <c r="D1148" s="1" t="s">
        <v>1</v>
      </c>
      <c r="E1148" s="1" t="s">
        <v>47</v>
      </c>
      <c r="F1148" s="1">
        <v>10.559999999999899</v>
      </c>
    </row>
    <row r="1149" spans="1:6" x14ac:dyDescent="0.3">
      <c r="A1149" s="3" t="s">
        <v>5</v>
      </c>
      <c r="B1149" s="3" t="s">
        <v>50</v>
      </c>
      <c r="C1149" s="4" t="s">
        <v>4</v>
      </c>
      <c r="D1149" s="3" t="s">
        <v>1</v>
      </c>
      <c r="E1149" s="3" t="s">
        <v>48</v>
      </c>
      <c r="F1149" s="3">
        <v>429669.799999999</v>
      </c>
    </row>
    <row r="1150" spans="1:6" x14ac:dyDescent="0.3">
      <c r="A1150" s="1" t="s">
        <v>5</v>
      </c>
      <c r="B1150" s="1" t="s">
        <v>50</v>
      </c>
      <c r="C1150" s="2" t="s">
        <v>4</v>
      </c>
      <c r="D1150" s="1" t="s">
        <v>1</v>
      </c>
      <c r="E1150" s="1" t="s">
        <v>49</v>
      </c>
      <c r="F1150" s="1">
        <v>-4.8774780387174301</v>
      </c>
    </row>
    <row r="1151" spans="1:6" x14ac:dyDescent="0.3">
      <c r="A1151" s="3" t="s">
        <v>5</v>
      </c>
      <c r="B1151" s="3" t="s">
        <v>50</v>
      </c>
      <c r="C1151" s="4" t="s">
        <v>4</v>
      </c>
      <c r="D1151" s="3" t="s">
        <v>6</v>
      </c>
      <c r="E1151" s="3" t="s">
        <v>44</v>
      </c>
      <c r="F1151" s="3">
        <v>-377949.81</v>
      </c>
    </row>
    <row r="1152" spans="1:6" x14ac:dyDescent="0.3">
      <c r="A1152" s="1" t="s">
        <v>5</v>
      </c>
      <c r="B1152" s="1" t="s">
        <v>50</v>
      </c>
      <c r="C1152" s="2" t="s">
        <v>4</v>
      </c>
      <c r="D1152" s="1" t="s">
        <v>6</v>
      </c>
      <c r="E1152" s="1" t="s">
        <v>45</v>
      </c>
      <c r="F1152" s="1">
        <v>109794.149999999</v>
      </c>
    </row>
    <row r="1153" spans="1:6" x14ac:dyDescent="0.3">
      <c r="A1153" s="3" t="s">
        <v>5</v>
      </c>
      <c r="B1153" s="3" t="s">
        <v>50</v>
      </c>
      <c r="C1153" s="4" t="s">
        <v>4</v>
      </c>
      <c r="D1153" s="3" t="s">
        <v>6</v>
      </c>
      <c r="E1153" s="3" t="s">
        <v>46</v>
      </c>
      <c r="F1153" s="3">
        <v>1066.79999999999</v>
      </c>
    </row>
    <row r="1154" spans="1:6" x14ac:dyDescent="0.3">
      <c r="A1154" s="1" t="s">
        <v>5</v>
      </c>
      <c r="B1154" s="1" t="s">
        <v>50</v>
      </c>
      <c r="C1154" s="2" t="s">
        <v>4</v>
      </c>
      <c r="D1154" s="1" t="s">
        <v>6</v>
      </c>
      <c r="E1154" s="1" t="s">
        <v>47</v>
      </c>
      <c r="F1154" s="1">
        <v>10.559999999999899</v>
      </c>
    </row>
    <row r="1155" spans="1:6" x14ac:dyDescent="0.3">
      <c r="A1155" s="3" t="s">
        <v>5</v>
      </c>
      <c r="B1155" s="3" t="s">
        <v>50</v>
      </c>
      <c r="C1155" s="4" t="s">
        <v>4</v>
      </c>
      <c r="D1155" s="3" t="s">
        <v>6</v>
      </c>
      <c r="E1155" s="3" t="s">
        <v>48</v>
      </c>
      <c r="F1155" s="3">
        <v>486666.59999999899</v>
      </c>
    </row>
    <row r="1156" spans="1:6" x14ac:dyDescent="0.3">
      <c r="A1156" s="1" t="s">
        <v>5</v>
      </c>
      <c r="B1156" s="1" t="s">
        <v>50</v>
      </c>
      <c r="C1156" s="2" t="s">
        <v>4</v>
      </c>
      <c r="D1156" s="1" t="s">
        <v>6</v>
      </c>
      <c r="E1156" s="1" t="s">
        <v>49</v>
      </c>
      <c r="F1156" s="1">
        <v>-3.4423492508480602</v>
      </c>
    </row>
    <row r="1157" spans="1:6" x14ac:dyDescent="0.3">
      <c r="A1157" s="3" t="s">
        <v>5</v>
      </c>
      <c r="B1157" s="3" t="s">
        <v>50</v>
      </c>
      <c r="C1157" s="4" t="s">
        <v>4</v>
      </c>
      <c r="D1157" s="3" t="s">
        <v>9</v>
      </c>
      <c r="E1157" s="3" t="s">
        <v>44</v>
      </c>
      <c r="F1157" s="3">
        <v>-367658.00999999902</v>
      </c>
    </row>
    <row r="1158" spans="1:6" x14ac:dyDescent="0.3">
      <c r="A1158" s="1" t="s">
        <v>5</v>
      </c>
      <c r="B1158" s="1" t="s">
        <v>50</v>
      </c>
      <c r="C1158" s="2" t="s">
        <v>4</v>
      </c>
      <c r="D1158" s="1" t="s">
        <v>9</v>
      </c>
      <c r="E1158" s="1" t="s">
        <v>45</v>
      </c>
      <c r="F1158" s="1">
        <v>146392.649999999</v>
      </c>
    </row>
    <row r="1159" spans="1:6" x14ac:dyDescent="0.3">
      <c r="A1159" s="3" t="s">
        <v>5</v>
      </c>
      <c r="B1159" s="3" t="s">
        <v>50</v>
      </c>
      <c r="C1159" s="4" t="s">
        <v>4</v>
      </c>
      <c r="D1159" s="3" t="s">
        <v>9</v>
      </c>
      <c r="E1159" s="3" t="s">
        <v>46</v>
      </c>
      <c r="F1159" s="3">
        <v>1066.79999999999</v>
      </c>
    </row>
    <row r="1160" spans="1:6" x14ac:dyDescent="0.3">
      <c r="A1160" s="1" t="s">
        <v>5</v>
      </c>
      <c r="B1160" s="1" t="s">
        <v>50</v>
      </c>
      <c r="C1160" s="2" t="s">
        <v>4</v>
      </c>
      <c r="D1160" s="1" t="s">
        <v>9</v>
      </c>
      <c r="E1160" s="1" t="s">
        <v>47</v>
      </c>
      <c r="F1160" s="1">
        <v>10.559999999999899</v>
      </c>
    </row>
    <row r="1161" spans="1:6" x14ac:dyDescent="0.3">
      <c r="A1161" s="3" t="s">
        <v>5</v>
      </c>
      <c r="B1161" s="3" t="s">
        <v>50</v>
      </c>
      <c r="C1161" s="4" t="s">
        <v>4</v>
      </c>
      <c r="D1161" s="3" t="s">
        <v>9</v>
      </c>
      <c r="E1161" s="3" t="s">
        <v>48</v>
      </c>
      <c r="F1161" s="3">
        <v>512973.299999999</v>
      </c>
    </row>
    <row r="1162" spans="1:6" x14ac:dyDescent="0.3">
      <c r="A1162" s="1" t="s">
        <v>5</v>
      </c>
      <c r="B1162" s="1" t="s">
        <v>50</v>
      </c>
      <c r="C1162" s="2" t="s">
        <v>4</v>
      </c>
      <c r="D1162" s="1" t="s">
        <v>9</v>
      </c>
      <c r="E1162" s="1" t="s">
        <v>49</v>
      </c>
      <c r="F1162" s="1">
        <v>-2.5114512921242902</v>
      </c>
    </row>
    <row r="1163" spans="1:6" x14ac:dyDescent="0.3">
      <c r="A1163" s="3" t="s">
        <v>5</v>
      </c>
      <c r="B1163" s="3" t="s">
        <v>50</v>
      </c>
      <c r="C1163" s="4" t="s">
        <v>4</v>
      </c>
      <c r="D1163" s="3" t="s">
        <v>11</v>
      </c>
      <c r="E1163" s="3" t="s">
        <v>44</v>
      </c>
      <c r="F1163" s="3">
        <v>-388056.31</v>
      </c>
    </row>
    <row r="1164" spans="1:6" x14ac:dyDescent="0.3">
      <c r="A1164" s="1" t="s">
        <v>5</v>
      </c>
      <c r="B1164" s="1" t="s">
        <v>50</v>
      </c>
      <c r="C1164" s="2" t="s">
        <v>4</v>
      </c>
      <c r="D1164" s="1" t="s">
        <v>11</v>
      </c>
      <c r="E1164" s="1" t="s">
        <v>45</v>
      </c>
      <c r="F1164" s="1">
        <v>182991.149999999</v>
      </c>
    </row>
    <row r="1165" spans="1:6" x14ac:dyDescent="0.3">
      <c r="A1165" s="3" t="s">
        <v>5</v>
      </c>
      <c r="B1165" s="3" t="s">
        <v>50</v>
      </c>
      <c r="C1165" s="4" t="s">
        <v>4</v>
      </c>
      <c r="D1165" s="3" t="s">
        <v>11</v>
      </c>
      <c r="E1165" s="3" t="s">
        <v>46</v>
      </c>
      <c r="F1165" s="3">
        <v>1066.79999999999</v>
      </c>
    </row>
    <row r="1166" spans="1:6" x14ac:dyDescent="0.3">
      <c r="A1166" s="1" t="s">
        <v>5</v>
      </c>
      <c r="B1166" s="1" t="s">
        <v>50</v>
      </c>
      <c r="C1166" s="2" t="s">
        <v>4</v>
      </c>
      <c r="D1166" s="1" t="s">
        <v>11</v>
      </c>
      <c r="E1166" s="1" t="s">
        <v>47</v>
      </c>
      <c r="F1166" s="1">
        <v>10.559999999999899</v>
      </c>
    </row>
    <row r="1167" spans="1:6" x14ac:dyDescent="0.3">
      <c r="A1167" s="3" t="s">
        <v>5</v>
      </c>
      <c r="B1167" s="3" t="s">
        <v>50</v>
      </c>
      <c r="C1167" s="4" t="s">
        <v>4</v>
      </c>
      <c r="D1167" s="3" t="s">
        <v>11</v>
      </c>
      <c r="E1167" s="3" t="s">
        <v>48</v>
      </c>
      <c r="F1167" s="3">
        <v>569970.09999999905</v>
      </c>
    </row>
    <row r="1168" spans="1:6" x14ac:dyDescent="0.3">
      <c r="A1168" s="1" t="s">
        <v>5</v>
      </c>
      <c r="B1168" s="1" t="s">
        <v>50</v>
      </c>
      <c r="C1168" s="2" t="s">
        <v>4</v>
      </c>
      <c r="D1168" s="1" t="s">
        <v>11</v>
      </c>
      <c r="E1168" s="1" t="s">
        <v>49</v>
      </c>
      <c r="F1168" s="1">
        <v>-2.1206288391542398</v>
      </c>
    </row>
    <row r="1169" spans="1:6" x14ac:dyDescent="0.3">
      <c r="A1169" s="3" t="s">
        <v>5</v>
      </c>
      <c r="B1169" s="3" t="s">
        <v>50</v>
      </c>
      <c r="C1169" s="4" t="s">
        <v>4</v>
      </c>
      <c r="D1169" s="3" t="s">
        <v>1</v>
      </c>
      <c r="E1169" s="3" t="s">
        <v>44</v>
      </c>
      <c r="F1169" s="3">
        <v>-566022</v>
      </c>
    </row>
    <row r="1170" spans="1:6" x14ac:dyDescent="0.3">
      <c r="A1170" s="1" t="s">
        <v>5</v>
      </c>
      <c r="B1170" s="1" t="s">
        <v>50</v>
      </c>
      <c r="C1170" s="2" t="s">
        <v>4</v>
      </c>
      <c r="D1170" s="1" t="s">
        <v>1</v>
      </c>
      <c r="E1170" s="1" t="s">
        <v>45</v>
      </c>
      <c r="F1170" s="1">
        <v>33670.349999999897</v>
      </c>
    </row>
    <row r="1171" spans="1:6" x14ac:dyDescent="0.3">
      <c r="A1171" s="3" t="s">
        <v>5</v>
      </c>
      <c r="B1171" s="3" t="s">
        <v>50</v>
      </c>
      <c r="C1171" s="4" t="s">
        <v>4</v>
      </c>
      <c r="D1171" s="3" t="s">
        <v>1</v>
      </c>
      <c r="E1171" s="3" t="s">
        <v>47</v>
      </c>
      <c r="F1171" s="3">
        <v>7800</v>
      </c>
    </row>
    <row r="1172" spans="1:6" x14ac:dyDescent="0.3">
      <c r="A1172" s="1" t="s">
        <v>5</v>
      </c>
      <c r="B1172" s="1" t="s">
        <v>50</v>
      </c>
      <c r="C1172" s="2" t="s">
        <v>4</v>
      </c>
      <c r="D1172" s="1" t="s">
        <v>1</v>
      </c>
      <c r="E1172" s="1" t="s">
        <v>48</v>
      </c>
      <c r="F1172" s="1">
        <v>591892.35</v>
      </c>
    </row>
    <row r="1173" spans="1:6" x14ac:dyDescent="0.3">
      <c r="A1173" s="3" t="s">
        <v>5</v>
      </c>
      <c r="B1173" s="3" t="s">
        <v>50</v>
      </c>
      <c r="C1173" s="4" t="s">
        <v>4</v>
      </c>
      <c r="D1173" s="3" t="s">
        <v>1</v>
      </c>
      <c r="E1173" s="3" t="s">
        <v>49</v>
      </c>
      <c r="F1173" s="3">
        <v>-16.810695463516101</v>
      </c>
    </row>
    <row r="1174" spans="1:6" x14ac:dyDescent="0.3">
      <c r="A1174" s="1" t="s">
        <v>5</v>
      </c>
      <c r="B1174" s="1" t="s">
        <v>50</v>
      </c>
      <c r="C1174" s="2" t="s">
        <v>4</v>
      </c>
      <c r="D1174" s="1" t="s">
        <v>6</v>
      </c>
      <c r="E1174" s="1" t="s">
        <v>44</v>
      </c>
      <c r="F1174" s="1">
        <v>-569922</v>
      </c>
    </row>
    <row r="1175" spans="1:6" x14ac:dyDescent="0.3">
      <c r="A1175" s="3" t="s">
        <v>5</v>
      </c>
      <c r="B1175" s="3" t="s">
        <v>50</v>
      </c>
      <c r="C1175" s="4" t="s">
        <v>4</v>
      </c>
      <c r="D1175" s="3" t="s">
        <v>6</v>
      </c>
      <c r="E1175" s="3" t="s">
        <v>45</v>
      </c>
      <c r="F1175" s="3">
        <v>33670.349999999897</v>
      </c>
    </row>
    <row r="1176" spans="1:6" x14ac:dyDescent="0.3">
      <c r="A1176" s="1" t="s">
        <v>5</v>
      </c>
      <c r="B1176" s="1" t="s">
        <v>50</v>
      </c>
      <c r="C1176" s="2" t="s">
        <v>4</v>
      </c>
      <c r="D1176" s="1" t="s">
        <v>6</v>
      </c>
      <c r="E1176" s="1" t="s">
        <v>47</v>
      </c>
      <c r="F1176" s="1">
        <v>11700</v>
      </c>
    </row>
    <row r="1177" spans="1:6" x14ac:dyDescent="0.3">
      <c r="A1177" s="3" t="s">
        <v>5</v>
      </c>
      <c r="B1177" s="3" t="s">
        <v>50</v>
      </c>
      <c r="C1177" s="4" t="s">
        <v>4</v>
      </c>
      <c r="D1177" s="3" t="s">
        <v>6</v>
      </c>
      <c r="E1177" s="3" t="s">
        <v>48</v>
      </c>
      <c r="F1177" s="3">
        <v>591892.35</v>
      </c>
    </row>
    <row r="1178" spans="1:6" x14ac:dyDescent="0.3">
      <c r="A1178" s="1" t="s">
        <v>5</v>
      </c>
      <c r="B1178" s="1" t="s">
        <v>50</v>
      </c>
      <c r="C1178" s="2" t="s">
        <v>4</v>
      </c>
      <c r="D1178" s="1" t="s">
        <v>6</v>
      </c>
      <c r="E1178" s="1" t="s">
        <v>49</v>
      </c>
      <c r="F1178" s="1">
        <v>-16.926524375303401</v>
      </c>
    </row>
    <row r="1179" spans="1:6" x14ac:dyDescent="0.3">
      <c r="A1179" s="3" t="s">
        <v>5</v>
      </c>
      <c r="B1179" s="3" t="s">
        <v>50</v>
      </c>
      <c r="C1179" s="4" t="s">
        <v>4</v>
      </c>
      <c r="D1179" s="3" t="s">
        <v>9</v>
      </c>
      <c r="E1179" s="3" t="s">
        <v>44</v>
      </c>
      <c r="F1179" s="3">
        <v>-551375.1</v>
      </c>
    </row>
    <row r="1180" spans="1:6" x14ac:dyDescent="0.3">
      <c r="A1180" s="1" t="s">
        <v>5</v>
      </c>
      <c r="B1180" s="1" t="s">
        <v>50</v>
      </c>
      <c r="C1180" s="2" t="s">
        <v>4</v>
      </c>
      <c r="D1180" s="1" t="s">
        <v>9</v>
      </c>
      <c r="E1180" s="1" t="s">
        <v>45</v>
      </c>
      <c r="F1180" s="1">
        <v>56117.25</v>
      </c>
    </row>
    <row r="1181" spans="1:6" x14ac:dyDescent="0.3">
      <c r="A1181" s="3" t="s">
        <v>5</v>
      </c>
      <c r="B1181" s="3" t="s">
        <v>50</v>
      </c>
      <c r="C1181" s="4" t="s">
        <v>4</v>
      </c>
      <c r="D1181" s="3" t="s">
        <v>9</v>
      </c>
      <c r="E1181" s="3" t="s">
        <v>47</v>
      </c>
      <c r="F1181" s="3">
        <v>15600</v>
      </c>
    </row>
    <row r="1182" spans="1:6" x14ac:dyDescent="0.3">
      <c r="A1182" s="1" t="s">
        <v>5</v>
      </c>
      <c r="B1182" s="1" t="s">
        <v>50</v>
      </c>
      <c r="C1182" s="2" t="s">
        <v>4</v>
      </c>
      <c r="D1182" s="1" t="s">
        <v>9</v>
      </c>
      <c r="E1182" s="1" t="s">
        <v>48</v>
      </c>
      <c r="F1182" s="1">
        <v>591892.35</v>
      </c>
    </row>
    <row r="1183" spans="1:6" x14ac:dyDescent="0.3">
      <c r="A1183" s="3" t="s">
        <v>5</v>
      </c>
      <c r="B1183" s="3" t="s">
        <v>50</v>
      </c>
      <c r="C1183" s="4" t="s">
        <v>4</v>
      </c>
      <c r="D1183" s="3" t="s">
        <v>9</v>
      </c>
      <c r="E1183" s="3" t="s">
        <v>49</v>
      </c>
      <c r="F1183" s="3">
        <v>-9.8254119722545195</v>
      </c>
    </row>
    <row r="1184" spans="1:6" x14ac:dyDescent="0.3">
      <c r="A1184" s="1" t="s">
        <v>5</v>
      </c>
      <c r="B1184" s="1" t="s">
        <v>50</v>
      </c>
      <c r="C1184" s="2" t="s">
        <v>4</v>
      </c>
      <c r="D1184" s="1" t="s">
        <v>11</v>
      </c>
      <c r="E1184" s="1" t="s">
        <v>44</v>
      </c>
      <c r="F1184" s="1">
        <v>-544051.65</v>
      </c>
    </row>
    <row r="1185" spans="1:6" x14ac:dyDescent="0.3">
      <c r="A1185" s="3" t="s">
        <v>5</v>
      </c>
      <c r="B1185" s="3" t="s">
        <v>50</v>
      </c>
      <c r="C1185" s="4" t="s">
        <v>4</v>
      </c>
      <c r="D1185" s="3" t="s">
        <v>11</v>
      </c>
      <c r="E1185" s="3" t="s">
        <v>45</v>
      </c>
      <c r="F1185" s="3">
        <v>67340.699999999895</v>
      </c>
    </row>
    <row r="1186" spans="1:6" x14ac:dyDescent="0.3">
      <c r="A1186" s="1" t="s">
        <v>5</v>
      </c>
      <c r="B1186" s="1" t="s">
        <v>50</v>
      </c>
      <c r="C1186" s="2" t="s">
        <v>4</v>
      </c>
      <c r="D1186" s="1" t="s">
        <v>11</v>
      </c>
      <c r="E1186" s="1" t="s">
        <v>47</v>
      </c>
      <c r="F1186" s="1">
        <v>19500</v>
      </c>
    </row>
    <row r="1187" spans="1:6" x14ac:dyDescent="0.3">
      <c r="A1187" s="3" t="s">
        <v>5</v>
      </c>
      <c r="B1187" s="3" t="s">
        <v>50</v>
      </c>
      <c r="C1187" s="4" t="s">
        <v>4</v>
      </c>
      <c r="D1187" s="3" t="s">
        <v>11</v>
      </c>
      <c r="E1187" s="3" t="s">
        <v>48</v>
      </c>
      <c r="F1187" s="3">
        <v>591892.35</v>
      </c>
    </row>
    <row r="1188" spans="1:6" x14ac:dyDescent="0.3">
      <c r="A1188" s="1" t="s">
        <v>5</v>
      </c>
      <c r="B1188" s="1" t="s">
        <v>50</v>
      </c>
      <c r="C1188" s="2" t="s">
        <v>4</v>
      </c>
      <c r="D1188" s="1" t="s">
        <v>11</v>
      </c>
      <c r="E1188" s="1" t="s">
        <v>49</v>
      </c>
      <c r="F1188" s="1">
        <v>-8.0790910994391201</v>
      </c>
    </row>
    <row r="1189" spans="1:6" x14ac:dyDescent="0.3">
      <c r="A1189" s="3" t="s">
        <v>5</v>
      </c>
      <c r="B1189" s="3" t="s">
        <v>50</v>
      </c>
      <c r="C1189" s="4" t="s">
        <v>4</v>
      </c>
      <c r="D1189" s="3" t="s">
        <v>1</v>
      </c>
      <c r="E1189" s="3" t="s">
        <v>44</v>
      </c>
      <c r="F1189" s="3">
        <v>35210.699999999903</v>
      </c>
    </row>
    <row r="1190" spans="1:6" x14ac:dyDescent="0.3">
      <c r="A1190" s="1" t="s">
        <v>5</v>
      </c>
      <c r="B1190" s="1" t="s">
        <v>50</v>
      </c>
      <c r="C1190" s="2" t="s">
        <v>4</v>
      </c>
      <c r="D1190" s="1" t="s">
        <v>1</v>
      </c>
      <c r="E1190" s="1" t="s">
        <v>45</v>
      </c>
      <c r="F1190" s="1">
        <v>35210.699999999903</v>
      </c>
    </row>
    <row r="1191" spans="1:6" x14ac:dyDescent="0.3">
      <c r="A1191" s="3" t="s">
        <v>5</v>
      </c>
      <c r="B1191" s="3" t="s">
        <v>50</v>
      </c>
      <c r="C1191" s="4" t="s">
        <v>4</v>
      </c>
      <c r="D1191" s="3" t="s">
        <v>1</v>
      </c>
      <c r="E1191" s="3" t="s">
        <v>49</v>
      </c>
      <c r="F1191" s="3">
        <v>1</v>
      </c>
    </row>
    <row r="1192" spans="1:6" x14ac:dyDescent="0.3">
      <c r="A1192" s="1" t="s">
        <v>5</v>
      </c>
      <c r="B1192" s="1" t="s">
        <v>50</v>
      </c>
      <c r="C1192" s="2" t="s">
        <v>4</v>
      </c>
      <c r="D1192" s="1" t="s">
        <v>6</v>
      </c>
      <c r="E1192" s="1" t="s">
        <v>44</v>
      </c>
      <c r="F1192" s="1">
        <v>35210.699999999903</v>
      </c>
    </row>
    <row r="1193" spans="1:6" x14ac:dyDescent="0.3">
      <c r="A1193" s="3" t="s">
        <v>5</v>
      </c>
      <c r="B1193" s="3" t="s">
        <v>50</v>
      </c>
      <c r="C1193" s="4" t="s">
        <v>4</v>
      </c>
      <c r="D1193" s="3" t="s">
        <v>6</v>
      </c>
      <c r="E1193" s="3" t="s">
        <v>45</v>
      </c>
      <c r="F1193" s="3">
        <v>35210.699999999903</v>
      </c>
    </row>
    <row r="1194" spans="1:6" x14ac:dyDescent="0.3">
      <c r="A1194" s="1" t="s">
        <v>5</v>
      </c>
      <c r="B1194" s="1" t="s">
        <v>50</v>
      </c>
      <c r="C1194" s="2" t="s">
        <v>4</v>
      </c>
      <c r="D1194" s="1" t="s">
        <v>6</v>
      </c>
      <c r="E1194" s="1" t="s">
        <v>49</v>
      </c>
      <c r="F1194" s="1">
        <v>1</v>
      </c>
    </row>
    <row r="1195" spans="1:6" x14ac:dyDescent="0.3">
      <c r="A1195" s="3" t="s">
        <v>5</v>
      </c>
      <c r="B1195" s="3" t="s">
        <v>50</v>
      </c>
      <c r="C1195" s="4" t="s">
        <v>4</v>
      </c>
      <c r="D1195" s="3" t="s">
        <v>9</v>
      </c>
      <c r="E1195" s="3" t="s">
        <v>44</v>
      </c>
      <c r="F1195" s="3">
        <v>58684.5</v>
      </c>
    </row>
    <row r="1196" spans="1:6" x14ac:dyDescent="0.3">
      <c r="A1196" s="1" t="s">
        <v>5</v>
      </c>
      <c r="B1196" s="1" t="s">
        <v>50</v>
      </c>
      <c r="C1196" s="2" t="s">
        <v>4</v>
      </c>
      <c r="D1196" s="1" t="s">
        <v>9</v>
      </c>
      <c r="E1196" s="1" t="s">
        <v>45</v>
      </c>
      <c r="F1196" s="1">
        <v>58684.5</v>
      </c>
    </row>
    <row r="1197" spans="1:6" x14ac:dyDescent="0.3">
      <c r="A1197" s="3" t="s">
        <v>5</v>
      </c>
      <c r="B1197" s="3" t="s">
        <v>50</v>
      </c>
      <c r="C1197" s="4" t="s">
        <v>4</v>
      </c>
      <c r="D1197" s="3" t="s">
        <v>9</v>
      </c>
      <c r="E1197" s="3" t="s">
        <v>49</v>
      </c>
      <c r="F1197" s="3">
        <v>1</v>
      </c>
    </row>
    <row r="1198" spans="1:6" x14ac:dyDescent="0.3">
      <c r="A1198" s="1" t="s">
        <v>5</v>
      </c>
      <c r="B1198" s="1" t="s">
        <v>50</v>
      </c>
      <c r="C1198" s="2" t="s">
        <v>4</v>
      </c>
      <c r="D1198" s="1" t="s">
        <v>11</v>
      </c>
      <c r="E1198" s="1" t="s">
        <v>44</v>
      </c>
      <c r="F1198" s="1">
        <v>70421.399999999907</v>
      </c>
    </row>
    <row r="1199" spans="1:6" x14ac:dyDescent="0.3">
      <c r="A1199" s="3" t="s">
        <v>5</v>
      </c>
      <c r="B1199" s="3" t="s">
        <v>50</v>
      </c>
      <c r="C1199" s="4" t="s">
        <v>4</v>
      </c>
      <c r="D1199" s="3" t="s">
        <v>11</v>
      </c>
      <c r="E1199" s="3" t="s">
        <v>45</v>
      </c>
      <c r="F1199" s="3">
        <v>70421.399999999907</v>
      </c>
    </row>
    <row r="1200" spans="1:6" x14ac:dyDescent="0.3">
      <c r="A1200" s="1" t="s">
        <v>5</v>
      </c>
      <c r="B1200" s="1" t="s">
        <v>50</v>
      </c>
      <c r="C1200" s="2" t="s">
        <v>4</v>
      </c>
      <c r="D1200" s="1" t="s">
        <v>11</v>
      </c>
      <c r="E1200" s="1" t="s">
        <v>49</v>
      </c>
      <c r="F1200" s="1">
        <v>1</v>
      </c>
    </row>
    <row r="1201" spans="1:6" x14ac:dyDescent="0.3">
      <c r="A1201" s="3" t="s">
        <v>5</v>
      </c>
      <c r="B1201" s="3" t="s">
        <v>50</v>
      </c>
      <c r="C1201" s="4" t="s">
        <v>4</v>
      </c>
      <c r="D1201" s="3" t="s">
        <v>1</v>
      </c>
      <c r="E1201" s="3" t="s">
        <v>44</v>
      </c>
      <c r="F1201" s="3">
        <v>-384442</v>
      </c>
    </row>
    <row r="1202" spans="1:6" x14ac:dyDescent="0.3">
      <c r="A1202" s="1" t="s">
        <v>5</v>
      </c>
      <c r="B1202" s="1" t="s">
        <v>50</v>
      </c>
      <c r="C1202" s="2" t="s">
        <v>4</v>
      </c>
      <c r="D1202" s="1" t="s">
        <v>1</v>
      </c>
      <c r="E1202" s="1" t="s">
        <v>45</v>
      </c>
      <c r="F1202" s="1">
        <v>76544.999999999898</v>
      </c>
    </row>
    <row r="1203" spans="1:6" x14ac:dyDescent="0.3">
      <c r="A1203" s="3" t="s">
        <v>5</v>
      </c>
      <c r="B1203" s="3" t="s">
        <v>50</v>
      </c>
      <c r="C1203" s="4" t="s">
        <v>4</v>
      </c>
      <c r="D1203" s="3" t="s">
        <v>1</v>
      </c>
      <c r="E1203" s="3" t="s">
        <v>46</v>
      </c>
      <c r="F1203" s="3">
        <v>595.19999999999902</v>
      </c>
    </row>
    <row r="1204" spans="1:6" x14ac:dyDescent="0.3">
      <c r="A1204" s="1" t="s">
        <v>5</v>
      </c>
      <c r="B1204" s="1" t="s">
        <v>50</v>
      </c>
      <c r="C1204" s="2" t="s">
        <v>4</v>
      </c>
      <c r="D1204" s="1" t="s">
        <v>1</v>
      </c>
      <c r="E1204" s="1" t="s">
        <v>47</v>
      </c>
      <c r="F1204" s="1">
        <v>31.1999999999999</v>
      </c>
    </row>
    <row r="1205" spans="1:6" x14ac:dyDescent="0.3">
      <c r="A1205" s="3" t="s">
        <v>5</v>
      </c>
      <c r="B1205" s="3" t="s">
        <v>50</v>
      </c>
      <c r="C1205" s="4" t="s">
        <v>4</v>
      </c>
      <c r="D1205" s="3" t="s">
        <v>1</v>
      </c>
      <c r="E1205" s="3" t="s">
        <v>48</v>
      </c>
      <c r="F1205" s="3">
        <v>460360.59999999899</v>
      </c>
    </row>
    <row r="1206" spans="1:6" x14ac:dyDescent="0.3">
      <c r="A1206" s="1" t="s">
        <v>5</v>
      </c>
      <c r="B1206" s="1" t="s">
        <v>50</v>
      </c>
      <c r="C1206" s="2" t="s">
        <v>4</v>
      </c>
      <c r="D1206" s="1" t="s">
        <v>1</v>
      </c>
      <c r="E1206" s="1" t="s">
        <v>49</v>
      </c>
      <c r="F1206" s="1">
        <v>-5.0224312495917403</v>
      </c>
    </row>
    <row r="1207" spans="1:6" x14ac:dyDescent="0.3">
      <c r="A1207" s="3" t="s">
        <v>5</v>
      </c>
      <c r="B1207" s="3" t="s">
        <v>50</v>
      </c>
      <c r="C1207" s="4" t="s">
        <v>4</v>
      </c>
      <c r="D1207" s="3" t="s">
        <v>6</v>
      </c>
      <c r="E1207" s="3" t="s">
        <v>44</v>
      </c>
      <c r="F1207" s="3">
        <v>-410946.4</v>
      </c>
    </row>
    <row r="1208" spans="1:6" x14ac:dyDescent="0.3">
      <c r="A1208" s="1" t="s">
        <v>5</v>
      </c>
      <c r="B1208" s="1" t="s">
        <v>50</v>
      </c>
      <c r="C1208" s="2" t="s">
        <v>4</v>
      </c>
      <c r="D1208" s="1" t="s">
        <v>6</v>
      </c>
      <c r="E1208" s="1" t="s">
        <v>45</v>
      </c>
      <c r="F1208" s="1">
        <v>76544.999999999898</v>
      </c>
    </row>
    <row r="1209" spans="1:6" x14ac:dyDescent="0.3">
      <c r="A1209" s="3" t="s">
        <v>5</v>
      </c>
      <c r="B1209" s="3" t="s">
        <v>50</v>
      </c>
      <c r="C1209" s="4" t="s">
        <v>4</v>
      </c>
      <c r="D1209" s="3" t="s">
        <v>6</v>
      </c>
      <c r="E1209" s="3" t="s">
        <v>46</v>
      </c>
      <c r="F1209" s="3">
        <v>793.599999999999</v>
      </c>
    </row>
    <row r="1210" spans="1:6" x14ac:dyDescent="0.3">
      <c r="A1210" s="1" t="s">
        <v>5</v>
      </c>
      <c r="B1210" s="1" t="s">
        <v>50</v>
      </c>
      <c r="C1210" s="2" t="s">
        <v>4</v>
      </c>
      <c r="D1210" s="1" t="s">
        <v>6</v>
      </c>
      <c r="E1210" s="1" t="s">
        <v>47</v>
      </c>
      <c r="F1210" s="1">
        <v>31.1999999999999</v>
      </c>
    </row>
    <row r="1211" spans="1:6" x14ac:dyDescent="0.3">
      <c r="A1211" s="3" t="s">
        <v>5</v>
      </c>
      <c r="B1211" s="3" t="s">
        <v>50</v>
      </c>
      <c r="C1211" s="4" t="s">
        <v>4</v>
      </c>
      <c r="D1211" s="3" t="s">
        <v>6</v>
      </c>
      <c r="E1211" s="3" t="s">
        <v>48</v>
      </c>
      <c r="F1211" s="3">
        <v>486666.59999999899</v>
      </c>
    </row>
    <row r="1212" spans="1:6" x14ac:dyDescent="0.3">
      <c r="A1212" s="1" t="s">
        <v>5</v>
      </c>
      <c r="B1212" s="1" t="s">
        <v>50</v>
      </c>
      <c r="C1212" s="2" t="s">
        <v>4</v>
      </c>
      <c r="D1212" s="1" t="s">
        <v>6</v>
      </c>
      <c r="E1212" s="1" t="s">
        <v>49</v>
      </c>
      <c r="F1212" s="1">
        <v>-5.36869031288784</v>
      </c>
    </row>
    <row r="1213" spans="1:6" x14ac:dyDescent="0.3">
      <c r="A1213" s="3" t="s">
        <v>5</v>
      </c>
      <c r="B1213" s="3" t="s">
        <v>50</v>
      </c>
      <c r="C1213" s="4" t="s">
        <v>4</v>
      </c>
      <c r="D1213" s="3" t="s">
        <v>9</v>
      </c>
      <c r="E1213" s="3" t="s">
        <v>44</v>
      </c>
      <c r="F1213" s="3">
        <v>-450802.89999999898</v>
      </c>
    </row>
    <row r="1214" spans="1:6" x14ac:dyDescent="0.3">
      <c r="A1214" s="1" t="s">
        <v>5</v>
      </c>
      <c r="B1214" s="1" t="s">
        <v>50</v>
      </c>
      <c r="C1214" s="2" t="s">
        <v>4</v>
      </c>
      <c r="D1214" s="1" t="s">
        <v>9</v>
      </c>
      <c r="E1214" s="1" t="s">
        <v>45</v>
      </c>
      <c r="F1214" s="1">
        <v>76544.999999999898</v>
      </c>
    </row>
    <row r="1215" spans="1:6" x14ac:dyDescent="0.3">
      <c r="A1215" s="3" t="s">
        <v>5</v>
      </c>
      <c r="B1215" s="3" t="s">
        <v>50</v>
      </c>
      <c r="C1215" s="4" t="s">
        <v>4</v>
      </c>
      <c r="D1215" s="3" t="s">
        <v>9</v>
      </c>
      <c r="E1215" s="3" t="s">
        <v>46</v>
      </c>
      <c r="F1215" s="3">
        <v>1190.3999999999901</v>
      </c>
    </row>
    <row r="1216" spans="1:6" x14ac:dyDescent="0.3">
      <c r="A1216" s="1" t="s">
        <v>5</v>
      </c>
      <c r="B1216" s="1" t="s">
        <v>50</v>
      </c>
      <c r="C1216" s="2" t="s">
        <v>4</v>
      </c>
      <c r="D1216" s="1" t="s">
        <v>9</v>
      </c>
      <c r="E1216" s="1" t="s">
        <v>47</v>
      </c>
      <c r="F1216" s="1">
        <v>31.1999999999999</v>
      </c>
    </row>
    <row r="1217" spans="1:6" x14ac:dyDescent="0.3">
      <c r="A1217" s="3" t="s">
        <v>5</v>
      </c>
      <c r="B1217" s="3" t="s">
        <v>50</v>
      </c>
      <c r="C1217" s="4" t="s">
        <v>4</v>
      </c>
      <c r="D1217" s="3" t="s">
        <v>9</v>
      </c>
      <c r="E1217" s="3" t="s">
        <v>48</v>
      </c>
      <c r="F1217" s="3">
        <v>526126.299999999</v>
      </c>
    </row>
    <row r="1218" spans="1:6" x14ac:dyDescent="0.3">
      <c r="A1218" s="1" t="s">
        <v>5</v>
      </c>
      <c r="B1218" s="1" t="s">
        <v>50</v>
      </c>
      <c r="C1218" s="2" t="s">
        <v>4</v>
      </c>
      <c r="D1218" s="1" t="s">
        <v>9</v>
      </c>
      <c r="E1218" s="1" t="s">
        <v>49</v>
      </c>
      <c r="F1218" s="1">
        <v>-5.8893840224704403</v>
      </c>
    </row>
    <row r="1219" spans="1:6" x14ac:dyDescent="0.3">
      <c r="A1219" s="3" t="s">
        <v>5</v>
      </c>
      <c r="B1219" s="3" t="s">
        <v>50</v>
      </c>
      <c r="C1219" s="4" t="s">
        <v>4</v>
      </c>
      <c r="D1219" s="3" t="s">
        <v>11</v>
      </c>
      <c r="E1219" s="3" t="s">
        <v>44</v>
      </c>
      <c r="F1219" s="3">
        <v>-472724.8</v>
      </c>
    </row>
    <row r="1220" spans="1:6" x14ac:dyDescent="0.3">
      <c r="A1220" s="1" t="s">
        <v>5</v>
      </c>
      <c r="B1220" s="1" t="s">
        <v>50</v>
      </c>
      <c r="C1220" s="2" t="s">
        <v>4</v>
      </c>
      <c r="D1220" s="1" t="s">
        <v>11</v>
      </c>
      <c r="E1220" s="1" t="s">
        <v>45</v>
      </c>
      <c r="F1220" s="1">
        <v>76544.999999999898</v>
      </c>
    </row>
    <row r="1221" spans="1:6" x14ac:dyDescent="0.3">
      <c r="A1221" s="3" t="s">
        <v>5</v>
      </c>
      <c r="B1221" s="3" t="s">
        <v>50</v>
      </c>
      <c r="C1221" s="4" t="s">
        <v>4</v>
      </c>
      <c r="D1221" s="3" t="s">
        <v>11</v>
      </c>
      <c r="E1221" s="3" t="s">
        <v>46</v>
      </c>
      <c r="F1221" s="3">
        <v>1190.3999999999901</v>
      </c>
    </row>
    <row r="1222" spans="1:6" x14ac:dyDescent="0.3">
      <c r="A1222" s="1" t="s">
        <v>5</v>
      </c>
      <c r="B1222" s="1" t="s">
        <v>50</v>
      </c>
      <c r="C1222" s="2" t="s">
        <v>4</v>
      </c>
      <c r="D1222" s="1" t="s">
        <v>11</v>
      </c>
      <c r="E1222" s="1" t="s">
        <v>47</v>
      </c>
      <c r="F1222" s="1">
        <v>31.1999999999999</v>
      </c>
    </row>
    <row r="1223" spans="1:6" x14ac:dyDescent="0.3">
      <c r="A1223" s="3" t="s">
        <v>5</v>
      </c>
      <c r="B1223" s="3" t="s">
        <v>50</v>
      </c>
      <c r="C1223" s="4" t="s">
        <v>4</v>
      </c>
      <c r="D1223" s="3" t="s">
        <v>11</v>
      </c>
      <c r="E1223" s="3" t="s">
        <v>48</v>
      </c>
      <c r="F1223" s="3">
        <v>548048.19999999902</v>
      </c>
    </row>
    <row r="1224" spans="1:6" x14ac:dyDescent="0.3">
      <c r="A1224" s="1" t="s">
        <v>5</v>
      </c>
      <c r="B1224" s="1" t="s">
        <v>50</v>
      </c>
      <c r="C1224" s="2" t="s">
        <v>4</v>
      </c>
      <c r="D1224" s="1" t="s">
        <v>11</v>
      </c>
      <c r="E1224" s="1" t="s">
        <v>49</v>
      </c>
      <c r="F1224" s="1">
        <v>-6.1757763407146102</v>
      </c>
    </row>
    <row r="1225" spans="1:6" x14ac:dyDescent="0.3">
      <c r="A1225" s="3" t="s">
        <v>5</v>
      </c>
      <c r="B1225" s="3" t="s">
        <v>51</v>
      </c>
      <c r="C1225" s="4" t="s">
        <v>4</v>
      </c>
      <c r="D1225" s="3" t="s">
        <v>1</v>
      </c>
      <c r="E1225" s="3" t="s">
        <v>44</v>
      </c>
      <c r="F1225" s="3">
        <v>19398.299999999901</v>
      </c>
    </row>
    <row r="1226" spans="1:6" x14ac:dyDescent="0.3">
      <c r="A1226" s="1" t="s">
        <v>5</v>
      </c>
      <c r="B1226" s="1" t="s">
        <v>51</v>
      </c>
      <c r="C1226" s="2" t="s">
        <v>4</v>
      </c>
      <c r="D1226" s="1" t="s">
        <v>1</v>
      </c>
      <c r="E1226" s="1" t="s">
        <v>45</v>
      </c>
      <c r="F1226" s="1">
        <v>29929.499999999902</v>
      </c>
    </row>
    <row r="1227" spans="1:6" x14ac:dyDescent="0.3">
      <c r="A1227" s="3" t="s">
        <v>5</v>
      </c>
      <c r="B1227" s="3" t="s">
        <v>51</v>
      </c>
      <c r="C1227" s="4" t="s">
        <v>4</v>
      </c>
      <c r="D1227" s="3" t="s">
        <v>1</v>
      </c>
      <c r="E1227" s="3" t="s">
        <v>47</v>
      </c>
      <c r="F1227" s="3">
        <v>31.1999999999999</v>
      </c>
    </row>
    <row r="1228" spans="1:6" x14ac:dyDescent="0.3">
      <c r="A1228" s="1" t="s">
        <v>5</v>
      </c>
      <c r="B1228" s="1" t="s">
        <v>51</v>
      </c>
      <c r="C1228" s="2" t="s">
        <v>4</v>
      </c>
      <c r="D1228" s="1" t="s">
        <v>1</v>
      </c>
      <c r="E1228" s="1" t="s">
        <v>48</v>
      </c>
      <c r="F1228" s="1">
        <v>10500</v>
      </c>
    </row>
    <row r="1229" spans="1:6" x14ac:dyDescent="0.3">
      <c r="A1229" s="3" t="s">
        <v>5</v>
      </c>
      <c r="B1229" s="3" t="s">
        <v>51</v>
      </c>
      <c r="C1229" s="4" t="s">
        <v>4</v>
      </c>
      <c r="D1229" s="3" t="s">
        <v>1</v>
      </c>
      <c r="E1229" s="3" t="s">
        <v>49</v>
      </c>
      <c r="F1229" s="3">
        <v>0.64813311281511499</v>
      </c>
    </row>
    <row r="1230" spans="1:6" x14ac:dyDescent="0.3">
      <c r="A1230" s="1" t="s">
        <v>5</v>
      </c>
      <c r="B1230" s="1" t="s">
        <v>51</v>
      </c>
      <c r="C1230" s="2" t="s">
        <v>4</v>
      </c>
      <c r="D1230" s="1" t="s">
        <v>6</v>
      </c>
      <c r="E1230" s="1" t="s">
        <v>44</v>
      </c>
      <c r="F1230" s="1">
        <v>19398.299999999901</v>
      </c>
    </row>
    <row r="1231" spans="1:6" x14ac:dyDescent="0.3">
      <c r="A1231" s="3" t="s">
        <v>5</v>
      </c>
      <c r="B1231" s="3" t="s">
        <v>51</v>
      </c>
      <c r="C1231" s="4" t="s">
        <v>4</v>
      </c>
      <c r="D1231" s="3" t="s">
        <v>6</v>
      </c>
      <c r="E1231" s="3" t="s">
        <v>45</v>
      </c>
      <c r="F1231" s="3">
        <v>29929.499999999902</v>
      </c>
    </row>
    <row r="1232" spans="1:6" x14ac:dyDescent="0.3">
      <c r="A1232" s="1" t="s">
        <v>5</v>
      </c>
      <c r="B1232" s="1" t="s">
        <v>51</v>
      </c>
      <c r="C1232" s="2" t="s">
        <v>4</v>
      </c>
      <c r="D1232" s="1" t="s">
        <v>6</v>
      </c>
      <c r="E1232" s="1" t="s">
        <v>47</v>
      </c>
      <c r="F1232" s="1">
        <v>31.1999999999999</v>
      </c>
    </row>
    <row r="1233" spans="1:6" x14ac:dyDescent="0.3">
      <c r="A1233" s="3" t="s">
        <v>5</v>
      </c>
      <c r="B1233" s="3" t="s">
        <v>51</v>
      </c>
      <c r="C1233" s="4" t="s">
        <v>4</v>
      </c>
      <c r="D1233" s="3" t="s">
        <v>6</v>
      </c>
      <c r="E1233" s="3" t="s">
        <v>48</v>
      </c>
      <c r="F1233" s="3">
        <v>10500</v>
      </c>
    </row>
    <row r="1234" spans="1:6" x14ac:dyDescent="0.3">
      <c r="A1234" s="1" t="s">
        <v>5</v>
      </c>
      <c r="B1234" s="1" t="s">
        <v>51</v>
      </c>
      <c r="C1234" s="2" t="s">
        <v>4</v>
      </c>
      <c r="D1234" s="1" t="s">
        <v>6</v>
      </c>
      <c r="E1234" s="1" t="s">
        <v>49</v>
      </c>
      <c r="F1234" s="1">
        <v>0.64813311281511499</v>
      </c>
    </row>
    <row r="1235" spans="1:6" x14ac:dyDescent="0.3">
      <c r="A1235" s="3" t="s">
        <v>5</v>
      </c>
      <c r="B1235" s="3" t="s">
        <v>51</v>
      </c>
      <c r="C1235" s="4" t="s">
        <v>4</v>
      </c>
      <c r="D1235" s="3" t="s">
        <v>9</v>
      </c>
      <c r="E1235" s="3" t="s">
        <v>44</v>
      </c>
      <c r="F1235" s="3">
        <v>39351.299999999901</v>
      </c>
    </row>
    <row r="1236" spans="1:6" x14ac:dyDescent="0.3">
      <c r="A1236" s="1" t="s">
        <v>5</v>
      </c>
      <c r="B1236" s="1" t="s">
        <v>51</v>
      </c>
      <c r="C1236" s="2" t="s">
        <v>4</v>
      </c>
      <c r="D1236" s="1" t="s">
        <v>9</v>
      </c>
      <c r="E1236" s="1" t="s">
        <v>45</v>
      </c>
      <c r="F1236" s="1">
        <v>49882.499999999898</v>
      </c>
    </row>
    <row r="1237" spans="1:6" x14ac:dyDescent="0.3">
      <c r="A1237" s="3" t="s">
        <v>5</v>
      </c>
      <c r="B1237" s="3" t="s">
        <v>51</v>
      </c>
      <c r="C1237" s="4" t="s">
        <v>4</v>
      </c>
      <c r="D1237" s="3" t="s">
        <v>9</v>
      </c>
      <c r="E1237" s="3" t="s">
        <v>47</v>
      </c>
      <c r="F1237" s="3">
        <v>31.1999999999999</v>
      </c>
    </row>
    <row r="1238" spans="1:6" x14ac:dyDescent="0.3">
      <c r="A1238" s="1" t="s">
        <v>5</v>
      </c>
      <c r="B1238" s="1" t="s">
        <v>51</v>
      </c>
      <c r="C1238" s="2" t="s">
        <v>4</v>
      </c>
      <c r="D1238" s="1" t="s">
        <v>9</v>
      </c>
      <c r="E1238" s="1" t="s">
        <v>48</v>
      </c>
      <c r="F1238" s="1">
        <v>10500</v>
      </c>
    </row>
    <row r="1239" spans="1:6" x14ac:dyDescent="0.3">
      <c r="A1239" s="3" t="s">
        <v>5</v>
      </c>
      <c r="B1239" s="3" t="s">
        <v>51</v>
      </c>
      <c r="C1239" s="4" t="s">
        <v>4</v>
      </c>
      <c r="D1239" s="3" t="s">
        <v>9</v>
      </c>
      <c r="E1239" s="3" t="s">
        <v>49</v>
      </c>
      <c r="F1239" s="3">
        <v>0.78887986768906904</v>
      </c>
    </row>
    <row r="1240" spans="1:6" x14ac:dyDescent="0.3">
      <c r="A1240" s="1" t="s">
        <v>5</v>
      </c>
      <c r="B1240" s="1" t="s">
        <v>51</v>
      </c>
      <c r="C1240" s="2" t="s">
        <v>4</v>
      </c>
      <c r="D1240" s="1" t="s">
        <v>11</v>
      </c>
      <c r="E1240" s="1" t="s">
        <v>44</v>
      </c>
      <c r="F1240" s="1">
        <v>49327.799999999901</v>
      </c>
    </row>
    <row r="1241" spans="1:6" x14ac:dyDescent="0.3">
      <c r="A1241" s="3" t="s">
        <v>5</v>
      </c>
      <c r="B1241" s="3" t="s">
        <v>51</v>
      </c>
      <c r="C1241" s="4" t="s">
        <v>4</v>
      </c>
      <c r="D1241" s="3" t="s">
        <v>11</v>
      </c>
      <c r="E1241" s="3" t="s">
        <v>45</v>
      </c>
      <c r="F1241" s="3">
        <v>59858.999999999898</v>
      </c>
    </row>
    <row r="1242" spans="1:6" x14ac:dyDescent="0.3">
      <c r="A1242" s="1" t="s">
        <v>5</v>
      </c>
      <c r="B1242" s="1" t="s">
        <v>51</v>
      </c>
      <c r="C1242" s="2" t="s">
        <v>4</v>
      </c>
      <c r="D1242" s="1" t="s">
        <v>11</v>
      </c>
      <c r="E1242" s="1" t="s">
        <v>47</v>
      </c>
      <c r="F1242" s="1">
        <v>31.1999999999999</v>
      </c>
    </row>
    <row r="1243" spans="1:6" x14ac:dyDescent="0.3">
      <c r="A1243" s="3" t="s">
        <v>5</v>
      </c>
      <c r="B1243" s="3" t="s">
        <v>51</v>
      </c>
      <c r="C1243" s="4" t="s">
        <v>4</v>
      </c>
      <c r="D1243" s="3" t="s">
        <v>11</v>
      </c>
      <c r="E1243" s="3" t="s">
        <v>48</v>
      </c>
      <c r="F1243" s="3">
        <v>10500</v>
      </c>
    </row>
    <row r="1244" spans="1:6" x14ac:dyDescent="0.3">
      <c r="A1244" s="1" t="s">
        <v>5</v>
      </c>
      <c r="B1244" s="1" t="s">
        <v>51</v>
      </c>
      <c r="C1244" s="2" t="s">
        <v>4</v>
      </c>
      <c r="D1244" s="1" t="s">
        <v>11</v>
      </c>
      <c r="E1244" s="1" t="s">
        <v>49</v>
      </c>
      <c r="F1244" s="1">
        <v>0.82406655640755699</v>
      </c>
    </row>
    <row r="1245" spans="1:6" x14ac:dyDescent="0.3">
      <c r="A1245" s="3" t="s">
        <v>5</v>
      </c>
      <c r="B1245" s="3" t="s">
        <v>51</v>
      </c>
      <c r="C1245" s="4" t="s">
        <v>4</v>
      </c>
      <c r="D1245" s="3" t="s">
        <v>1</v>
      </c>
      <c r="E1245" s="3" t="s">
        <v>44</v>
      </c>
      <c r="F1245" s="3">
        <v>-205799.55</v>
      </c>
    </row>
    <row r="1246" spans="1:6" x14ac:dyDescent="0.3">
      <c r="A1246" s="1" t="s">
        <v>5</v>
      </c>
      <c r="B1246" s="1" t="s">
        <v>51</v>
      </c>
      <c r="C1246" s="2" t="s">
        <v>4</v>
      </c>
      <c r="D1246" s="1" t="s">
        <v>1</v>
      </c>
      <c r="E1246" s="1" t="s">
        <v>45</v>
      </c>
      <c r="F1246" s="1">
        <v>65063.249999999898</v>
      </c>
    </row>
    <row r="1247" spans="1:6" x14ac:dyDescent="0.3">
      <c r="A1247" s="3" t="s">
        <v>5</v>
      </c>
      <c r="B1247" s="3" t="s">
        <v>51</v>
      </c>
      <c r="C1247" s="4" t="s">
        <v>4</v>
      </c>
      <c r="D1247" s="3" t="s">
        <v>1</v>
      </c>
      <c r="E1247" s="3" t="s">
        <v>47</v>
      </c>
      <c r="F1247" s="3">
        <v>7800</v>
      </c>
    </row>
    <row r="1248" spans="1:6" x14ac:dyDescent="0.3">
      <c r="A1248" s="1" t="s">
        <v>5</v>
      </c>
      <c r="B1248" s="1" t="s">
        <v>51</v>
      </c>
      <c r="C1248" s="2" t="s">
        <v>4</v>
      </c>
      <c r="D1248" s="1" t="s">
        <v>1</v>
      </c>
      <c r="E1248" s="1" t="s">
        <v>48</v>
      </c>
      <c r="F1248" s="1">
        <v>263062.8</v>
      </c>
    </row>
    <row r="1249" spans="1:6" x14ac:dyDescent="0.3">
      <c r="A1249" s="3" t="s">
        <v>5</v>
      </c>
      <c r="B1249" s="3" t="s">
        <v>51</v>
      </c>
      <c r="C1249" s="4" t="s">
        <v>4</v>
      </c>
      <c r="D1249" s="3" t="s">
        <v>1</v>
      </c>
      <c r="E1249" s="3" t="s">
        <v>49</v>
      </c>
      <c r="F1249" s="3">
        <v>-3.1630690136136699</v>
      </c>
    </row>
    <row r="1250" spans="1:6" x14ac:dyDescent="0.3">
      <c r="A1250" s="1" t="s">
        <v>5</v>
      </c>
      <c r="B1250" s="1" t="s">
        <v>51</v>
      </c>
      <c r="C1250" s="2" t="s">
        <v>4</v>
      </c>
      <c r="D1250" s="1" t="s">
        <v>6</v>
      </c>
      <c r="E1250" s="1" t="s">
        <v>44</v>
      </c>
      <c r="F1250" s="1">
        <v>-213875.399999999</v>
      </c>
    </row>
    <row r="1251" spans="1:6" x14ac:dyDescent="0.3">
      <c r="A1251" s="3" t="s">
        <v>5</v>
      </c>
      <c r="B1251" s="3" t="s">
        <v>51</v>
      </c>
      <c r="C1251" s="4" t="s">
        <v>4</v>
      </c>
      <c r="D1251" s="3" t="s">
        <v>6</v>
      </c>
      <c r="E1251" s="3" t="s">
        <v>45</v>
      </c>
      <c r="F1251" s="3">
        <v>65063.249999999898</v>
      </c>
    </row>
    <row r="1252" spans="1:6" x14ac:dyDescent="0.3">
      <c r="A1252" s="1" t="s">
        <v>5</v>
      </c>
      <c r="B1252" s="1" t="s">
        <v>51</v>
      </c>
      <c r="C1252" s="2" t="s">
        <v>4</v>
      </c>
      <c r="D1252" s="1" t="s">
        <v>6</v>
      </c>
      <c r="E1252" s="1" t="s">
        <v>47</v>
      </c>
      <c r="F1252" s="1">
        <v>11700</v>
      </c>
    </row>
    <row r="1253" spans="1:6" x14ac:dyDescent="0.3">
      <c r="A1253" s="3" t="s">
        <v>5</v>
      </c>
      <c r="B1253" s="3" t="s">
        <v>51</v>
      </c>
      <c r="C1253" s="4" t="s">
        <v>4</v>
      </c>
      <c r="D1253" s="3" t="s">
        <v>6</v>
      </c>
      <c r="E1253" s="3" t="s">
        <v>48</v>
      </c>
      <c r="F1253" s="3">
        <v>267238.65000000002</v>
      </c>
    </row>
    <row r="1254" spans="1:6" x14ac:dyDescent="0.3">
      <c r="A1254" s="1" t="s">
        <v>5</v>
      </c>
      <c r="B1254" s="1" t="s">
        <v>51</v>
      </c>
      <c r="C1254" s="2" t="s">
        <v>4</v>
      </c>
      <c r="D1254" s="1" t="s">
        <v>6</v>
      </c>
      <c r="E1254" s="1" t="s">
        <v>49</v>
      </c>
      <c r="F1254" s="1">
        <v>-3.2871920784774802</v>
      </c>
    </row>
    <row r="1255" spans="1:6" x14ac:dyDescent="0.3">
      <c r="A1255" s="3" t="s">
        <v>5</v>
      </c>
      <c r="B1255" s="3" t="s">
        <v>51</v>
      </c>
      <c r="C1255" s="4" t="s">
        <v>4</v>
      </c>
      <c r="D1255" s="3" t="s">
        <v>9</v>
      </c>
      <c r="E1255" s="3" t="s">
        <v>44</v>
      </c>
      <c r="F1255" s="3">
        <v>-234478.09999999899</v>
      </c>
    </row>
    <row r="1256" spans="1:6" x14ac:dyDescent="0.3">
      <c r="A1256" s="1" t="s">
        <v>5</v>
      </c>
      <c r="B1256" s="1" t="s">
        <v>51</v>
      </c>
      <c r="C1256" s="2" t="s">
        <v>4</v>
      </c>
      <c r="D1256" s="1" t="s">
        <v>9</v>
      </c>
      <c r="E1256" s="1" t="s">
        <v>45</v>
      </c>
      <c r="F1256" s="1">
        <v>65063.249999999898</v>
      </c>
    </row>
    <row r="1257" spans="1:6" x14ac:dyDescent="0.3">
      <c r="A1257" s="3" t="s">
        <v>5</v>
      </c>
      <c r="B1257" s="3" t="s">
        <v>51</v>
      </c>
      <c r="C1257" s="4" t="s">
        <v>4</v>
      </c>
      <c r="D1257" s="3" t="s">
        <v>9</v>
      </c>
      <c r="E1257" s="3" t="s">
        <v>47</v>
      </c>
      <c r="F1257" s="3">
        <v>15600</v>
      </c>
    </row>
    <row r="1258" spans="1:6" x14ac:dyDescent="0.3">
      <c r="A1258" s="1" t="s">
        <v>5</v>
      </c>
      <c r="B1258" s="1" t="s">
        <v>51</v>
      </c>
      <c r="C1258" s="2" t="s">
        <v>4</v>
      </c>
      <c r="D1258" s="1" t="s">
        <v>9</v>
      </c>
      <c r="E1258" s="1" t="s">
        <v>48</v>
      </c>
      <c r="F1258" s="1">
        <v>283941.34999999899</v>
      </c>
    </row>
    <row r="1259" spans="1:6" x14ac:dyDescent="0.3">
      <c r="A1259" s="3" t="s">
        <v>5</v>
      </c>
      <c r="B1259" s="3" t="s">
        <v>51</v>
      </c>
      <c r="C1259" s="4" t="s">
        <v>4</v>
      </c>
      <c r="D1259" s="3" t="s">
        <v>9</v>
      </c>
      <c r="E1259" s="3" t="s">
        <v>49</v>
      </c>
      <c r="F1259" s="3">
        <v>-3.6038485627447101</v>
      </c>
    </row>
    <row r="1260" spans="1:6" x14ac:dyDescent="0.3">
      <c r="A1260" s="1" t="s">
        <v>5</v>
      </c>
      <c r="B1260" s="1" t="s">
        <v>51</v>
      </c>
      <c r="C1260" s="2" t="s">
        <v>4</v>
      </c>
      <c r="D1260" s="1" t="s">
        <v>11</v>
      </c>
      <c r="E1260" s="1" t="s">
        <v>44</v>
      </c>
      <c r="F1260" s="1">
        <v>-255080.09999999899</v>
      </c>
    </row>
    <row r="1261" spans="1:6" x14ac:dyDescent="0.3">
      <c r="A1261" s="3" t="s">
        <v>5</v>
      </c>
      <c r="B1261" s="3" t="s">
        <v>51</v>
      </c>
      <c r="C1261" s="4" t="s">
        <v>4</v>
      </c>
      <c r="D1261" s="3" t="s">
        <v>11</v>
      </c>
      <c r="E1261" s="3" t="s">
        <v>45</v>
      </c>
      <c r="F1261" s="3">
        <v>65063.249999999898</v>
      </c>
    </row>
    <row r="1262" spans="1:6" x14ac:dyDescent="0.3">
      <c r="A1262" s="1" t="s">
        <v>5</v>
      </c>
      <c r="B1262" s="1" t="s">
        <v>51</v>
      </c>
      <c r="C1262" s="2" t="s">
        <v>4</v>
      </c>
      <c r="D1262" s="1" t="s">
        <v>11</v>
      </c>
      <c r="E1262" s="1" t="s">
        <v>47</v>
      </c>
      <c r="F1262" s="1">
        <v>19500</v>
      </c>
    </row>
    <row r="1263" spans="1:6" x14ac:dyDescent="0.3">
      <c r="A1263" s="3" t="s">
        <v>5</v>
      </c>
      <c r="B1263" s="3" t="s">
        <v>51</v>
      </c>
      <c r="C1263" s="4" t="s">
        <v>4</v>
      </c>
      <c r="D1263" s="3" t="s">
        <v>11</v>
      </c>
      <c r="E1263" s="3" t="s">
        <v>48</v>
      </c>
      <c r="F1263" s="3">
        <v>300643.34999999899</v>
      </c>
    </row>
    <row r="1264" spans="1:6" x14ac:dyDescent="0.3">
      <c r="A1264" s="1" t="s">
        <v>5</v>
      </c>
      <c r="B1264" s="1" t="s">
        <v>51</v>
      </c>
      <c r="C1264" s="2" t="s">
        <v>4</v>
      </c>
      <c r="D1264" s="1" t="s">
        <v>11</v>
      </c>
      <c r="E1264" s="1" t="s">
        <v>49</v>
      </c>
      <c r="F1264" s="1">
        <v>-3.92049428825027</v>
      </c>
    </row>
    <row r="1265" spans="1:6" x14ac:dyDescent="0.3">
      <c r="A1265" s="3" t="s">
        <v>5</v>
      </c>
      <c r="B1265" s="3" t="s">
        <v>51</v>
      </c>
      <c r="C1265" s="4" t="s">
        <v>4</v>
      </c>
      <c r="D1265" s="3" t="s">
        <v>1</v>
      </c>
      <c r="E1265" s="3" t="s">
        <v>44</v>
      </c>
      <c r="F1265" s="3">
        <v>-3166.5</v>
      </c>
    </row>
    <row r="1266" spans="1:6" x14ac:dyDescent="0.3">
      <c r="A1266" s="1" t="s">
        <v>5</v>
      </c>
      <c r="B1266" s="1" t="s">
        <v>51</v>
      </c>
      <c r="C1266" s="2" t="s">
        <v>4</v>
      </c>
      <c r="D1266" s="1" t="s">
        <v>1</v>
      </c>
      <c r="E1266" s="1" t="s">
        <v>45</v>
      </c>
      <c r="F1266" s="1">
        <v>34445.249999999898</v>
      </c>
    </row>
    <row r="1267" spans="1:6" x14ac:dyDescent="0.3">
      <c r="A1267" s="3" t="s">
        <v>5</v>
      </c>
      <c r="B1267" s="3" t="s">
        <v>51</v>
      </c>
      <c r="C1267" s="4" t="s">
        <v>4</v>
      </c>
      <c r="D1267" s="3" t="s">
        <v>1</v>
      </c>
      <c r="E1267" s="3" t="s">
        <v>47</v>
      </c>
      <c r="F1267" s="3">
        <v>31.1999999999999</v>
      </c>
    </row>
    <row r="1268" spans="1:6" x14ac:dyDescent="0.3">
      <c r="A1268" s="1" t="s">
        <v>5</v>
      </c>
      <c r="B1268" s="1" t="s">
        <v>51</v>
      </c>
      <c r="C1268" s="2" t="s">
        <v>4</v>
      </c>
      <c r="D1268" s="1" t="s">
        <v>1</v>
      </c>
      <c r="E1268" s="1" t="s">
        <v>48</v>
      </c>
      <c r="F1268" s="1">
        <v>37580.549999999901</v>
      </c>
    </row>
    <row r="1269" spans="1:6" x14ac:dyDescent="0.3">
      <c r="A1269" s="3" t="s">
        <v>5</v>
      </c>
      <c r="B1269" s="3" t="s">
        <v>51</v>
      </c>
      <c r="C1269" s="4" t="s">
        <v>4</v>
      </c>
      <c r="D1269" s="3" t="s">
        <v>1</v>
      </c>
      <c r="E1269" s="3" t="s">
        <v>49</v>
      </c>
      <c r="F1269" s="3">
        <v>-9.1928495220676296E-2</v>
      </c>
    </row>
    <row r="1270" spans="1:6" x14ac:dyDescent="0.3">
      <c r="A1270" s="1" t="s">
        <v>5</v>
      </c>
      <c r="B1270" s="1" t="s">
        <v>51</v>
      </c>
      <c r="C1270" s="2" t="s">
        <v>4</v>
      </c>
      <c r="D1270" s="1" t="s">
        <v>6</v>
      </c>
      <c r="E1270" s="1" t="s">
        <v>44</v>
      </c>
      <c r="F1270" s="1">
        <v>14055.449999999901</v>
      </c>
    </row>
    <row r="1271" spans="1:6" x14ac:dyDescent="0.3">
      <c r="A1271" s="3" t="s">
        <v>5</v>
      </c>
      <c r="B1271" s="3" t="s">
        <v>51</v>
      </c>
      <c r="C1271" s="4" t="s">
        <v>4</v>
      </c>
      <c r="D1271" s="3" t="s">
        <v>6</v>
      </c>
      <c r="E1271" s="3" t="s">
        <v>45</v>
      </c>
      <c r="F1271" s="3">
        <v>51667.199999999903</v>
      </c>
    </row>
    <row r="1272" spans="1:6" x14ac:dyDescent="0.3">
      <c r="A1272" s="1" t="s">
        <v>5</v>
      </c>
      <c r="B1272" s="1" t="s">
        <v>51</v>
      </c>
      <c r="C1272" s="2" t="s">
        <v>4</v>
      </c>
      <c r="D1272" s="1" t="s">
        <v>6</v>
      </c>
      <c r="E1272" s="1" t="s">
        <v>47</v>
      </c>
      <c r="F1272" s="1">
        <v>31.1999999999999</v>
      </c>
    </row>
    <row r="1273" spans="1:6" x14ac:dyDescent="0.3">
      <c r="A1273" s="3" t="s">
        <v>5</v>
      </c>
      <c r="B1273" s="3" t="s">
        <v>51</v>
      </c>
      <c r="C1273" s="4" t="s">
        <v>4</v>
      </c>
      <c r="D1273" s="3" t="s">
        <v>6</v>
      </c>
      <c r="E1273" s="3" t="s">
        <v>48</v>
      </c>
      <c r="F1273" s="3">
        <v>37580.549999999901</v>
      </c>
    </row>
    <row r="1274" spans="1:6" x14ac:dyDescent="0.3">
      <c r="A1274" s="1" t="s">
        <v>5</v>
      </c>
      <c r="B1274" s="1" t="s">
        <v>51</v>
      </c>
      <c r="C1274" s="2" t="s">
        <v>4</v>
      </c>
      <c r="D1274" s="1" t="s">
        <v>6</v>
      </c>
      <c r="E1274" s="1" t="s">
        <v>49</v>
      </c>
      <c r="F1274" s="1">
        <v>0.27203815960609401</v>
      </c>
    </row>
    <row r="1275" spans="1:6" x14ac:dyDescent="0.3">
      <c r="A1275" s="3" t="s">
        <v>5</v>
      </c>
      <c r="B1275" s="3" t="s">
        <v>51</v>
      </c>
      <c r="C1275" s="4" t="s">
        <v>4</v>
      </c>
      <c r="D1275" s="3" t="s">
        <v>9</v>
      </c>
      <c r="E1275" s="3" t="s">
        <v>44</v>
      </c>
      <c r="F1275" s="3">
        <v>31278.749999999902</v>
      </c>
    </row>
    <row r="1276" spans="1:6" x14ac:dyDescent="0.3">
      <c r="A1276" s="1" t="s">
        <v>5</v>
      </c>
      <c r="B1276" s="1" t="s">
        <v>51</v>
      </c>
      <c r="C1276" s="2" t="s">
        <v>4</v>
      </c>
      <c r="D1276" s="1" t="s">
        <v>9</v>
      </c>
      <c r="E1276" s="1" t="s">
        <v>45</v>
      </c>
      <c r="F1276" s="1">
        <v>68890.499999999898</v>
      </c>
    </row>
    <row r="1277" spans="1:6" x14ac:dyDescent="0.3">
      <c r="A1277" s="3" t="s">
        <v>5</v>
      </c>
      <c r="B1277" s="3" t="s">
        <v>51</v>
      </c>
      <c r="C1277" s="4" t="s">
        <v>4</v>
      </c>
      <c r="D1277" s="3" t="s">
        <v>9</v>
      </c>
      <c r="E1277" s="3" t="s">
        <v>47</v>
      </c>
      <c r="F1277" s="3">
        <v>31.1999999999999</v>
      </c>
    </row>
    <row r="1278" spans="1:6" x14ac:dyDescent="0.3">
      <c r="A1278" s="1" t="s">
        <v>5</v>
      </c>
      <c r="B1278" s="1" t="s">
        <v>51</v>
      </c>
      <c r="C1278" s="2" t="s">
        <v>4</v>
      </c>
      <c r="D1278" s="1" t="s">
        <v>9</v>
      </c>
      <c r="E1278" s="1" t="s">
        <v>48</v>
      </c>
      <c r="F1278" s="1">
        <v>37580.549999999901</v>
      </c>
    </row>
    <row r="1279" spans="1:6" x14ac:dyDescent="0.3">
      <c r="A1279" s="3" t="s">
        <v>5</v>
      </c>
      <c r="B1279" s="3" t="s">
        <v>51</v>
      </c>
      <c r="C1279" s="4" t="s">
        <v>4</v>
      </c>
      <c r="D1279" s="3" t="s">
        <v>9</v>
      </c>
      <c r="E1279" s="3" t="s">
        <v>49</v>
      </c>
      <c r="F1279" s="3">
        <v>0.45403575238966098</v>
      </c>
    </row>
    <row r="1280" spans="1:6" x14ac:dyDescent="0.3">
      <c r="A1280" s="1" t="s">
        <v>5</v>
      </c>
      <c r="B1280" s="1" t="s">
        <v>51</v>
      </c>
      <c r="C1280" s="2" t="s">
        <v>4</v>
      </c>
      <c r="D1280" s="1" t="s">
        <v>11</v>
      </c>
      <c r="E1280" s="1" t="s">
        <v>44</v>
      </c>
      <c r="F1280" s="1">
        <v>48502.049999999901</v>
      </c>
    </row>
    <row r="1281" spans="1:6" x14ac:dyDescent="0.3">
      <c r="A1281" s="3" t="s">
        <v>5</v>
      </c>
      <c r="B1281" s="3" t="s">
        <v>51</v>
      </c>
      <c r="C1281" s="4" t="s">
        <v>4</v>
      </c>
      <c r="D1281" s="3" t="s">
        <v>11</v>
      </c>
      <c r="E1281" s="3" t="s">
        <v>45</v>
      </c>
      <c r="F1281" s="3">
        <v>86113.799999999901</v>
      </c>
    </row>
    <row r="1282" spans="1:6" x14ac:dyDescent="0.3">
      <c r="A1282" s="1" t="s">
        <v>5</v>
      </c>
      <c r="B1282" s="1" t="s">
        <v>51</v>
      </c>
      <c r="C1282" s="2" t="s">
        <v>4</v>
      </c>
      <c r="D1282" s="1" t="s">
        <v>11</v>
      </c>
      <c r="E1282" s="1" t="s">
        <v>47</v>
      </c>
      <c r="F1282" s="1">
        <v>31.1999999999999</v>
      </c>
    </row>
    <row r="1283" spans="1:6" x14ac:dyDescent="0.3">
      <c r="A1283" s="3" t="s">
        <v>5</v>
      </c>
      <c r="B1283" s="3" t="s">
        <v>51</v>
      </c>
      <c r="C1283" s="4" t="s">
        <v>4</v>
      </c>
      <c r="D1283" s="3" t="s">
        <v>11</v>
      </c>
      <c r="E1283" s="3" t="s">
        <v>48</v>
      </c>
      <c r="F1283" s="3">
        <v>37580.549999999901</v>
      </c>
    </row>
    <row r="1284" spans="1:6" x14ac:dyDescent="0.3">
      <c r="A1284" s="1" t="s">
        <v>5</v>
      </c>
      <c r="B1284" s="1" t="s">
        <v>51</v>
      </c>
      <c r="C1284" s="2" t="s">
        <v>4</v>
      </c>
      <c r="D1284" s="1" t="s">
        <v>11</v>
      </c>
      <c r="E1284" s="1" t="s">
        <v>49</v>
      </c>
      <c r="F1284" s="1">
        <v>0.56323202552900897</v>
      </c>
    </row>
    <row r="1285" spans="1:6" x14ac:dyDescent="0.3">
      <c r="A1285" s="3" t="s">
        <v>5</v>
      </c>
      <c r="B1285" s="3" t="s">
        <v>51</v>
      </c>
      <c r="C1285" s="4" t="s">
        <v>4</v>
      </c>
      <c r="D1285" s="3" t="s">
        <v>1</v>
      </c>
      <c r="E1285" s="3" t="s">
        <v>44</v>
      </c>
      <c r="F1285" s="3">
        <v>29278.799999999901</v>
      </c>
    </row>
    <row r="1286" spans="1:6" x14ac:dyDescent="0.3">
      <c r="A1286" s="1" t="s">
        <v>5</v>
      </c>
      <c r="B1286" s="1" t="s">
        <v>51</v>
      </c>
      <c r="C1286" s="2" t="s">
        <v>4</v>
      </c>
      <c r="D1286" s="1" t="s">
        <v>1</v>
      </c>
      <c r="E1286" s="1" t="s">
        <v>45</v>
      </c>
      <c r="F1286" s="1">
        <v>29278.799999999901</v>
      </c>
    </row>
    <row r="1287" spans="1:6" x14ac:dyDescent="0.3">
      <c r="A1287" s="3" t="s">
        <v>5</v>
      </c>
      <c r="B1287" s="3" t="s">
        <v>51</v>
      </c>
      <c r="C1287" s="4" t="s">
        <v>4</v>
      </c>
      <c r="D1287" s="3" t="s">
        <v>1</v>
      </c>
      <c r="E1287" s="3" t="s">
        <v>49</v>
      </c>
      <c r="F1287" s="3">
        <v>1</v>
      </c>
    </row>
    <row r="1288" spans="1:6" x14ac:dyDescent="0.3">
      <c r="A1288" s="1" t="s">
        <v>5</v>
      </c>
      <c r="B1288" s="1" t="s">
        <v>51</v>
      </c>
      <c r="C1288" s="2" t="s">
        <v>4</v>
      </c>
      <c r="D1288" s="1" t="s">
        <v>6</v>
      </c>
      <c r="E1288" s="1" t="s">
        <v>44</v>
      </c>
      <c r="F1288" s="1">
        <v>43918.199999999903</v>
      </c>
    </row>
    <row r="1289" spans="1:6" x14ac:dyDescent="0.3">
      <c r="A1289" s="3" t="s">
        <v>5</v>
      </c>
      <c r="B1289" s="3" t="s">
        <v>51</v>
      </c>
      <c r="C1289" s="4" t="s">
        <v>4</v>
      </c>
      <c r="D1289" s="3" t="s">
        <v>6</v>
      </c>
      <c r="E1289" s="3" t="s">
        <v>45</v>
      </c>
      <c r="F1289" s="3">
        <v>43918.199999999903</v>
      </c>
    </row>
    <row r="1290" spans="1:6" x14ac:dyDescent="0.3">
      <c r="A1290" s="1" t="s">
        <v>5</v>
      </c>
      <c r="B1290" s="1" t="s">
        <v>51</v>
      </c>
      <c r="C1290" s="2" t="s">
        <v>4</v>
      </c>
      <c r="D1290" s="1" t="s">
        <v>6</v>
      </c>
      <c r="E1290" s="1" t="s">
        <v>49</v>
      </c>
      <c r="F1290" s="1">
        <v>1</v>
      </c>
    </row>
    <row r="1291" spans="1:6" x14ac:dyDescent="0.3">
      <c r="A1291" s="3" t="s">
        <v>5</v>
      </c>
      <c r="B1291" s="3" t="s">
        <v>51</v>
      </c>
      <c r="C1291" s="4" t="s">
        <v>4</v>
      </c>
      <c r="D1291" s="3" t="s">
        <v>9</v>
      </c>
      <c r="E1291" s="3" t="s">
        <v>44</v>
      </c>
      <c r="F1291" s="3">
        <v>58557.599999999897</v>
      </c>
    </row>
    <row r="1292" spans="1:6" x14ac:dyDescent="0.3">
      <c r="A1292" s="1" t="s">
        <v>5</v>
      </c>
      <c r="B1292" s="1" t="s">
        <v>51</v>
      </c>
      <c r="C1292" s="2" t="s">
        <v>4</v>
      </c>
      <c r="D1292" s="1" t="s">
        <v>9</v>
      </c>
      <c r="E1292" s="1" t="s">
        <v>45</v>
      </c>
      <c r="F1292" s="1">
        <v>58557.599999999897</v>
      </c>
    </row>
    <row r="1293" spans="1:6" x14ac:dyDescent="0.3">
      <c r="A1293" s="3" t="s">
        <v>5</v>
      </c>
      <c r="B1293" s="3" t="s">
        <v>51</v>
      </c>
      <c r="C1293" s="4" t="s">
        <v>4</v>
      </c>
      <c r="D1293" s="3" t="s">
        <v>9</v>
      </c>
      <c r="E1293" s="3" t="s">
        <v>49</v>
      </c>
      <c r="F1293" s="3">
        <v>1</v>
      </c>
    </row>
    <row r="1294" spans="1:6" x14ac:dyDescent="0.3">
      <c r="A1294" s="1" t="s">
        <v>5</v>
      </c>
      <c r="B1294" s="1" t="s">
        <v>51</v>
      </c>
      <c r="C1294" s="2" t="s">
        <v>4</v>
      </c>
      <c r="D1294" s="1" t="s">
        <v>11</v>
      </c>
      <c r="E1294" s="1" t="s">
        <v>44</v>
      </c>
      <c r="F1294" s="1">
        <v>73196.999999999898</v>
      </c>
    </row>
    <row r="1295" spans="1:6" x14ac:dyDescent="0.3">
      <c r="A1295" s="3" t="s">
        <v>5</v>
      </c>
      <c r="B1295" s="3" t="s">
        <v>51</v>
      </c>
      <c r="C1295" s="4" t="s">
        <v>4</v>
      </c>
      <c r="D1295" s="3" t="s">
        <v>11</v>
      </c>
      <c r="E1295" s="3" t="s">
        <v>45</v>
      </c>
      <c r="F1295" s="3">
        <v>73196.999999999898</v>
      </c>
    </row>
    <row r="1296" spans="1:6" x14ac:dyDescent="0.3">
      <c r="A1296" s="1" t="s">
        <v>5</v>
      </c>
      <c r="B1296" s="1" t="s">
        <v>51</v>
      </c>
      <c r="C1296" s="2" t="s">
        <v>4</v>
      </c>
      <c r="D1296" s="1" t="s">
        <v>11</v>
      </c>
      <c r="E1296" s="1" t="s">
        <v>49</v>
      </c>
      <c r="F1296" s="1">
        <v>1</v>
      </c>
    </row>
    <row r="1297" spans="1:6" x14ac:dyDescent="0.3">
      <c r="A1297" s="3" t="s">
        <v>5</v>
      </c>
      <c r="B1297" s="3" t="s">
        <v>51</v>
      </c>
      <c r="C1297" s="4" t="s">
        <v>4</v>
      </c>
      <c r="D1297" s="3" t="s">
        <v>1</v>
      </c>
      <c r="E1297" s="3" t="s">
        <v>44</v>
      </c>
      <c r="F1297" s="3">
        <v>-22130.58</v>
      </c>
    </row>
    <row r="1298" spans="1:6" x14ac:dyDescent="0.3">
      <c r="A1298" s="1" t="s">
        <v>5</v>
      </c>
      <c r="B1298" s="1" t="s">
        <v>51</v>
      </c>
      <c r="C1298" s="2" t="s">
        <v>4</v>
      </c>
      <c r="D1298" s="1" t="s">
        <v>1</v>
      </c>
      <c r="E1298" s="1" t="s">
        <v>45</v>
      </c>
      <c r="F1298" s="1">
        <v>13467.5999999999</v>
      </c>
    </row>
    <row r="1299" spans="1:6" x14ac:dyDescent="0.3">
      <c r="A1299" s="3" t="s">
        <v>5</v>
      </c>
      <c r="B1299" s="3" t="s">
        <v>51</v>
      </c>
      <c r="C1299" s="4" t="s">
        <v>4</v>
      </c>
      <c r="D1299" s="3" t="s">
        <v>1</v>
      </c>
      <c r="E1299" s="3" t="s">
        <v>46</v>
      </c>
      <c r="F1299" s="3">
        <v>23040</v>
      </c>
    </row>
    <row r="1300" spans="1:6" x14ac:dyDescent="0.3">
      <c r="A1300" s="1" t="s">
        <v>5</v>
      </c>
      <c r="B1300" s="1" t="s">
        <v>51</v>
      </c>
      <c r="C1300" s="2" t="s">
        <v>4</v>
      </c>
      <c r="D1300" s="1" t="s">
        <v>1</v>
      </c>
      <c r="E1300" s="1" t="s">
        <v>47</v>
      </c>
      <c r="F1300" s="1">
        <v>31.6799999999999</v>
      </c>
    </row>
    <row r="1301" spans="1:6" x14ac:dyDescent="0.3">
      <c r="A1301" s="3" t="s">
        <v>5</v>
      </c>
      <c r="B1301" s="3" t="s">
        <v>51</v>
      </c>
      <c r="C1301" s="4" t="s">
        <v>4</v>
      </c>
      <c r="D1301" s="3" t="s">
        <v>1</v>
      </c>
      <c r="E1301" s="3" t="s">
        <v>48</v>
      </c>
      <c r="F1301" s="3">
        <v>12526.5</v>
      </c>
    </row>
    <row r="1302" spans="1:6" x14ac:dyDescent="0.3">
      <c r="A1302" s="1" t="s">
        <v>5</v>
      </c>
      <c r="B1302" s="1" t="s">
        <v>51</v>
      </c>
      <c r="C1302" s="2" t="s">
        <v>4</v>
      </c>
      <c r="D1302" s="1" t="s">
        <v>1</v>
      </c>
      <c r="E1302" s="1" t="s">
        <v>49</v>
      </c>
      <c r="F1302" s="1">
        <v>-1.6432460126525801</v>
      </c>
    </row>
    <row r="1303" spans="1:6" x14ac:dyDescent="0.3">
      <c r="A1303" s="3" t="s">
        <v>5</v>
      </c>
      <c r="B1303" s="3" t="s">
        <v>51</v>
      </c>
      <c r="C1303" s="4" t="s">
        <v>4</v>
      </c>
      <c r="D1303" s="3" t="s">
        <v>6</v>
      </c>
      <c r="E1303" s="3" t="s">
        <v>44</v>
      </c>
      <c r="F1303" s="3">
        <v>-33650.58</v>
      </c>
    </row>
    <row r="1304" spans="1:6" x14ac:dyDescent="0.3">
      <c r="A1304" s="1" t="s">
        <v>5</v>
      </c>
      <c r="B1304" s="1" t="s">
        <v>51</v>
      </c>
      <c r="C1304" s="2" t="s">
        <v>4</v>
      </c>
      <c r="D1304" s="1" t="s">
        <v>6</v>
      </c>
      <c r="E1304" s="1" t="s">
        <v>45</v>
      </c>
      <c r="F1304" s="1">
        <v>13467.5999999999</v>
      </c>
    </row>
    <row r="1305" spans="1:6" x14ac:dyDescent="0.3">
      <c r="A1305" s="3" t="s">
        <v>5</v>
      </c>
      <c r="B1305" s="3" t="s">
        <v>51</v>
      </c>
      <c r="C1305" s="4" t="s">
        <v>4</v>
      </c>
      <c r="D1305" s="3" t="s">
        <v>6</v>
      </c>
      <c r="E1305" s="3" t="s">
        <v>46</v>
      </c>
      <c r="F1305" s="3">
        <v>34560</v>
      </c>
    </row>
    <row r="1306" spans="1:6" x14ac:dyDescent="0.3">
      <c r="A1306" s="1" t="s">
        <v>5</v>
      </c>
      <c r="B1306" s="1" t="s">
        <v>51</v>
      </c>
      <c r="C1306" s="2" t="s">
        <v>4</v>
      </c>
      <c r="D1306" s="1" t="s">
        <v>6</v>
      </c>
      <c r="E1306" s="1" t="s">
        <v>47</v>
      </c>
      <c r="F1306" s="1">
        <v>31.6799999999999</v>
      </c>
    </row>
    <row r="1307" spans="1:6" x14ac:dyDescent="0.3">
      <c r="A1307" s="3" t="s">
        <v>5</v>
      </c>
      <c r="B1307" s="3" t="s">
        <v>51</v>
      </c>
      <c r="C1307" s="4" t="s">
        <v>4</v>
      </c>
      <c r="D1307" s="3" t="s">
        <v>6</v>
      </c>
      <c r="E1307" s="3" t="s">
        <v>48</v>
      </c>
      <c r="F1307" s="3">
        <v>12526.5</v>
      </c>
    </row>
    <row r="1308" spans="1:6" x14ac:dyDescent="0.3">
      <c r="A1308" s="1" t="s">
        <v>5</v>
      </c>
      <c r="B1308" s="1" t="s">
        <v>51</v>
      </c>
      <c r="C1308" s="2" t="s">
        <v>4</v>
      </c>
      <c r="D1308" s="1" t="s">
        <v>6</v>
      </c>
      <c r="E1308" s="1" t="s">
        <v>49</v>
      </c>
      <c r="F1308" s="1">
        <v>-2.4986322730107799</v>
      </c>
    </row>
    <row r="1309" spans="1:6" x14ac:dyDescent="0.3">
      <c r="A1309" s="3" t="s">
        <v>5</v>
      </c>
      <c r="B1309" s="3" t="s">
        <v>51</v>
      </c>
      <c r="C1309" s="4" t="s">
        <v>4</v>
      </c>
      <c r="D1309" s="3" t="s">
        <v>9</v>
      </c>
      <c r="E1309" s="3" t="s">
        <v>44</v>
      </c>
      <c r="F1309" s="3">
        <v>-36191.279999999897</v>
      </c>
    </row>
    <row r="1310" spans="1:6" x14ac:dyDescent="0.3">
      <c r="A1310" s="1" t="s">
        <v>5</v>
      </c>
      <c r="B1310" s="1" t="s">
        <v>51</v>
      </c>
      <c r="C1310" s="2" t="s">
        <v>4</v>
      </c>
      <c r="D1310" s="1" t="s">
        <v>9</v>
      </c>
      <c r="E1310" s="1" t="s">
        <v>45</v>
      </c>
      <c r="F1310" s="1">
        <v>22446.8999999999</v>
      </c>
    </row>
    <row r="1311" spans="1:6" x14ac:dyDescent="0.3">
      <c r="A1311" s="3" t="s">
        <v>5</v>
      </c>
      <c r="B1311" s="3" t="s">
        <v>51</v>
      </c>
      <c r="C1311" s="4" t="s">
        <v>4</v>
      </c>
      <c r="D1311" s="3" t="s">
        <v>9</v>
      </c>
      <c r="E1311" s="3" t="s">
        <v>46</v>
      </c>
      <c r="F1311" s="3">
        <v>46080</v>
      </c>
    </row>
    <row r="1312" spans="1:6" x14ac:dyDescent="0.3">
      <c r="A1312" s="1" t="s">
        <v>5</v>
      </c>
      <c r="B1312" s="1" t="s">
        <v>51</v>
      </c>
      <c r="C1312" s="2" t="s">
        <v>4</v>
      </c>
      <c r="D1312" s="1" t="s">
        <v>9</v>
      </c>
      <c r="E1312" s="1" t="s">
        <v>47</v>
      </c>
      <c r="F1312" s="1">
        <v>31.6799999999999</v>
      </c>
    </row>
    <row r="1313" spans="1:6" x14ac:dyDescent="0.3">
      <c r="A1313" s="3" t="s">
        <v>5</v>
      </c>
      <c r="B1313" s="3" t="s">
        <v>51</v>
      </c>
      <c r="C1313" s="4" t="s">
        <v>4</v>
      </c>
      <c r="D1313" s="3" t="s">
        <v>9</v>
      </c>
      <c r="E1313" s="3" t="s">
        <v>48</v>
      </c>
      <c r="F1313" s="3">
        <v>12526.5</v>
      </c>
    </row>
    <row r="1314" spans="1:6" x14ac:dyDescent="0.3">
      <c r="A1314" s="1" t="s">
        <v>5</v>
      </c>
      <c r="B1314" s="1" t="s">
        <v>51</v>
      </c>
      <c r="C1314" s="2" t="s">
        <v>4</v>
      </c>
      <c r="D1314" s="1" t="s">
        <v>9</v>
      </c>
      <c r="E1314" s="1" t="s">
        <v>49</v>
      </c>
      <c r="F1314" s="1">
        <v>-1.6123063763815899</v>
      </c>
    </row>
    <row r="1315" spans="1:6" x14ac:dyDescent="0.3">
      <c r="A1315" s="3" t="s">
        <v>5</v>
      </c>
      <c r="B1315" s="3" t="s">
        <v>51</v>
      </c>
      <c r="C1315" s="4" t="s">
        <v>4</v>
      </c>
      <c r="D1315" s="3" t="s">
        <v>11</v>
      </c>
      <c r="E1315" s="3" t="s">
        <v>44</v>
      </c>
      <c r="F1315" s="3">
        <v>-43221.63</v>
      </c>
    </row>
    <row r="1316" spans="1:6" x14ac:dyDescent="0.3">
      <c r="A1316" s="1" t="s">
        <v>5</v>
      </c>
      <c r="B1316" s="1" t="s">
        <v>51</v>
      </c>
      <c r="C1316" s="2" t="s">
        <v>4</v>
      </c>
      <c r="D1316" s="1" t="s">
        <v>11</v>
      </c>
      <c r="E1316" s="1" t="s">
        <v>45</v>
      </c>
      <c r="F1316" s="1">
        <v>26936.549999999901</v>
      </c>
    </row>
    <row r="1317" spans="1:6" x14ac:dyDescent="0.3">
      <c r="A1317" s="3" t="s">
        <v>5</v>
      </c>
      <c r="B1317" s="3" t="s">
        <v>51</v>
      </c>
      <c r="C1317" s="4" t="s">
        <v>4</v>
      </c>
      <c r="D1317" s="3" t="s">
        <v>11</v>
      </c>
      <c r="E1317" s="3" t="s">
        <v>46</v>
      </c>
      <c r="F1317" s="3">
        <v>57600</v>
      </c>
    </row>
    <row r="1318" spans="1:6" x14ac:dyDescent="0.3">
      <c r="A1318" s="1" t="s">
        <v>5</v>
      </c>
      <c r="B1318" s="1" t="s">
        <v>51</v>
      </c>
      <c r="C1318" s="2" t="s">
        <v>4</v>
      </c>
      <c r="D1318" s="1" t="s">
        <v>11</v>
      </c>
      <c r="E1318" s="1" t="s">
        <v>47</v>
      </c>
      <c r="F1318" s="1">
        <v>31.6799999999999</v>
      </c>
    </row>
    <row r="1319" spans="1:6" x14ac:dyDescent="0.3">
      <c r="A1319" s="3" t="s">
        <v>5</v>
      </c>
      <c r="B1319" s="3" t="s">
        <v>51</v>
      </c>
      <c r="C1319" s="4" t="s">
        <v>4</v>
      </c>
      <c r="D1319" s="3" t="s">
        <v>11</v>
      </c>
      <c r="E1319" s="3" t="s">
        <v>48</v>
      </c>
      <c r="F1319" s="3">
        <v>12526.5</v>
      </c>
    </row>
    <row r="1320" spans="1:6" x14ac:dyDescent="0.3">
      <c r="A1320" s="1" t="s">
        <v>5</v>
      </c>
      <c r="B1320" s="1" t="s">
        <v>51</v>
      </c>
      <c r="C1320" s="2" t="s">
        <v>4</v>
      </c>
      <c r="D1320" s="1" t="s">
        <v>11</v>
      </c>
      <c r="E1320" s="1" t="s">
        <v>49</v>
      </c>
      <c r="F1320" s="1">
        <v>-1.6045718549702901</v>
      </c>
    </row>
    <row r="1321" spans="1:6" x14ac:dyDescent="0.3">
      <c r="A1321" s="3" t="s">
        <v>5</v>
      </c>
      <c r="B1321" s="3" t="s">
        <v>52</v>
      </c>
      <c r="C1321" s="4" t="s">
        <v>4</v>
      </c>
      <c r="D1321" s="3" t="s">
        <v>1</v>
      </c>
      <c r="E1321" s="3" t="s">
        <v>44</v>
      </c>
      <c r="F1321" s="3">
        <v>-131654.85</v>
      </c>
    </row>
    <row r="1322" spans="1:6" x14ac:dyDescent="0.3">
      <c r="A1322" s="1" t="s">
        <v>5</v>
      </c>
      <c r="B1322" s="1" t="s">
        <v>52</v>
      </c>
      <c r="C1322" s="2" t="s">
        <v>4</v>
      </c>
      <c r="D1322" s="1" t="s">
        <v>1</v>
      </c>
      <c r="E1322" s="1" t="s">
        <v>45</v>
      </c>
      <c r="F1322" s="1">
        <v>47362.049999999901</v>
      </c>
    </row>
    <row r="1323" spans="1:6" x14ac:dyDescent="0.3">
      <c r="A1323" s="3" t="s">
        <v>5</v>
      </c>
      <c r="B1323" s="3" t="s">
        <v>52</v>
      </c>
      <c r="C1323" s="4" t="s">
        <v>4</v>
      </c>
      <c r="D1323" s="3" t="s">
        <v>1</v>
      </c>
      <c r="E1323" s="3" t="s">
        <v>46</v>
      </c>
      <c r="F1323" s="3">
        <v>173088</v>
      </c>
    </row>
    <row r="1324" spans="1:6" x14ac:dyDescent="0.3">
      <c r="A1324" s="1" t="s">
        <v>5</v>
      </c>
      <c r="B1324" s="1" t="s">
        <v>52</v>
      </c>
      <c r="C1324" s="2" t="s">
        <v>4</v>
      </c>
      <c r="D1324" s="1" t="s">
        <v>1</v>
      </c>
      <c r="E1324" s="1" t="s">
        <v>47</v>
      </c>
      <c r="F1324" s="1">
        <v>1728.8999999999901</v>
      </c>
    </row>
    <row r="1325" spans="1:6" x14ac:dyDescent="0.3">
      <c r="A1325" s="3" t="s">
        <v>5</v>
      </c>
      <c r="B1325" s="3" t="s">
        <v>52</v>
      </c>
      <c r="C1325" s="4" t="s">
        <v>4</v>
      </c>
      <c r="D1325" s="3" t="s">
        <v>1</v>
      </c>
      <c r="E1325" s="3" t="s">
        <v>48</v>
      </c>
      <c r="F1325" s="3">
        <v>4200</v>
      </c>
    </row>
    <row r="1326" spans="1:6" x14ac:dyDescent="0.3">
      <c r="A1326" s="1" t="s">
        <v>5</v>
      </c>
      <c r="B1326" s="1" t="s">
        <v>52</v>
      </c>
      <c r="C1326" s="2" t="s">
        <v>4</v>
      </c>
      <c r="D1326" s="1" t="s">
        <v>1</v>
      </c>
      <c r="E1326" s="1" t="s">
        <v>49</v>
      </c>
      <c r="F1326" s="1">
        <v>-2.7797540435855201</v>
      </c>
    </row>
    <row r="1327" spans="1:6" x14ac:dyDescent="0.3">
      <c r="A1327" s="3" t="s">
        <v>5</v>
      </c>
      <c r="B1327" s="3" t="s">
        <v>52</v>
      </c>
      <c r="C1327" s="4" t="s">
        <v>4</v>
      </c>
      <c r="D1327" s="3" t="s">
        <v>6</v>
      </c>
      <c r="E1327" s="3" t="s">
        <v>44</v>
      </c>
      <c r="F1327" s="3">
        <v>-107906.549999999</v>
      </c>
    </row>
    <row r="1328" spans="1:6" x14ac:dyDescent="0.3">
      <c r="A1328" s="1" t="s">
        <v>5</v>
      </c>
      <c r="B1328" s="1" t="s">
        <v>52</v>
      </c>
      <c r="C1328" s="2" t="s">
        <v>4</v>
      </c>
      <c r="D1328" s="1" t="s">
        <v>6</v>
      </c>
      <c r="E1328" s="1" t="s">
        <v>45</v>
      </c>
      <c r="F1328" s="1">
        <v>71043.749999999898</v>
      </c>
    </row>
    <row r="1329" spans="1:6" x14ac:dyDescent="0.3">
      <c r="A1329" s="3" t="s">
        <v>5</v>
      </c>
      <c r="B1329" s="3" t="s">
        <v>52</v>
      </c>
      <c r="C1329" s="4" t="s">
        <v>4</v>
      </c>
      <c r="D1329" s="3" t="s">
        <v>6</v>
      </c>
      <c r="E1329" s="3" t="s">
        <v>46</v>
      </c>
      <c r="F1329" s="3">
        <v>173088</v>
      </c>
    </row>
    <row r="1330" spans="1:6" x14ac:dyDescent="0.3">
      <c r="A1330" s="1" t="s">
        <v>5</v>
      </c>
      <c r="B1330" s="1" t="s">
        <v>52</v>
      </c>
      <c r="C1330" s="2" t="s">
        <v>4</v>
      </c>
      <c r="D1330" s="1" t="s">
        <v>6</v>
      </c>
      <c r="E1330" s="1" t="s">
        <v>47</v>
      </c>
      <c r="F1330" s="1">
        <v>1662.29999999999</v>
      </c>
    </row>
    <row r="1331" spans="1:6" x14ac:dyDescent="0.3">
      <c r="A1331" s="3" t="s">
        <v>5</v>
      </c>
      <c r="B1331" s="3" t="s">
        <v>52</v>
      </c>
      <c r="C1331" s="4" t="s">
        <v>4</v>
      </c>
      <c r="D1331" s="3" t="s">
        <v>6</v>
      </c>
      <c r="E1331" s="3" t="s">
        <v>48</v>
      </c>
      <c r="F1331" s="3">
        <v>4200</v>
      </c>
    </row>
    <row r="1332" spans="1:6" x14ac:dyDescent="0.3">
      <c r="A1332" s="1" t="s">
        <v>5</v>
      </c>
      <c r="B1332" s="1" t="s">
        <v>52</v>
      </c>
      <c r="C1332" s="2" t="s">
        <v>4</v>
      </c>
      <c r="D1332" s="1" t="s">
        <v>6</v>
      </c>
      <c r="E1332" s="1" t="s">
        <v>49</v>
      </c>
      <c r="F1332" s="1">
        <v>-1.51887463710741</v>
      </c>
    </row>
    <row r="1333" spans="1:6" x14ac:dyDescent="0.3">
      <c r="A1333" s="3" t="s">
        <v>5</v>
      </c>
      <c r="B1333" s="3" t="s">
        <v>52</v>
      </c>
      <c r="C1333" s="4" t="s">
        <v>4</v>
      </c>
      <c r="D1333" s="3" t="s">
        <v>9</v>
      </c>
      <c r="E1333" s="3" t="s">
        <v>44</v>
      </c>
      <c r="F1333" s="3">
        <v>-199751.85</v>
      </c>
    </row>
    <row r="1334" spans="1:6" x14ac:dyDescent="0.3">
      <c r="A1334" s="1" t="s">
        <v>5</v>
      </c>
      <c r="B1334" s="1" t="s">
        <v>52</v>
      </c>
      <c r="C1334" s="2" t="s">
        <v>4</v>
      </c>
      <c r="D1334" s="1" t="s">
        <v>9</v>
      </c>
      <c r="E1334" s="1" t="s">
        <v>45</v>
      </c>
      <c r="F1334" s="1">
        <v>94724.099999999904</v>
      </c>
    </row>
    <row r="1335" spans="1:6" x14ac:dyDescent="0.3">
      <c r="A1335" s="3" t="s">
        <v>5</v>
      </c>
      <c r="B1335" s="3" t="s">
        <v>52</v>
      </c>
      <c r="C1335" s="4" t="s">
        <v>4</v>
      </c>
      <c r="D1335" s="3" t="s">
        <v>9</v>
      </c>
      <c r="E1335" s="3" t="s">
        <v>46</v>
      </c>
      <c r="F1335" s="3">
        <v>288480</v>
      </c>
    </row>
    <row r="1336" spans="1:6" x14ac:dyDescent="0.3">
      <c r="A1336" s="1" t="s">
        <v>5</v>
      </c>
      <c r="B1336" s="1" t="s">
        <v>52</v>
      </c>
      <c r="C1336" s="2" t="s">
        <v>4</v>
      </c>
      <c r="D1336" s="1" t="s">
        <v>9</v>
      </c>
      <c r="E1336" s="1" t="s">
        <v>47</v>
      </c>
      <c r="F1336" s="1">
        <v>1795.94999999999</v>
      </c>
    </row>
    <row r="1337" spans="1:6" x14ac:dyDescent="0.3">
      <c r="A1337" s="3" t="s">
        <v>5</v>
      </c>
      <c r="B1337" s="3" t="s">
        <v>52</v>
      </c>
      <c r="C1337" s="4" t="s">
        <v>4</v>
      </c>
      <c r="D1337" s="3" t="s">
        <v>9</v>
      </c>
      <c r="E1337" s="3" t="s">
        <v>48</v>
      </c>
      <c r="F1337" s="3">
        <v>4200</v>
      </c>
    </row>
    <row r="1338" spans="1:6" x14ac:dyDescent="0.3">
      <c r="A1338" s="1" t="s">
        <v>5</v>
      </c>
      <c r="B1338" s="1" t="s">
        <v>52</v>
      </c>
      <c r="C1338" s="2" t="s">
        <v>4</v>
      </c>
      <c r="D1338" s="1" t="s">
        <v>9</v>
      </c>
      <c r="E1338" s="1" t="s">
        <v>49</v>
      </c>
      <c r="F1338" s="1">
        <v>-2.1087753802886402</v>
      </c>
    </row>
    <row r="1339" spans="1:6" x14ac:dyDescent="0.3">
      <c r="A1339" s="3" t="s">
        <v>5</v>
      </c>
      <c r="B1339" s="3" t="s">
        <v>52</v>
      </c>
      <c r="C1339" s="4" t="s">
        <v>4</v>
      </c>
      <c r="D1339" s="3" t="s">
        <v>11</v>
      </c>
      <c r="E1339" s="3" t="s">
        <v>44</v>
      </c>
      <c r="F1339" s="3">
        <v>-234231.44999999899</v>
      </c>
    </row>
    <row r="1340" spans="1:6" x14ac:dyDescent="0.3">
      <c r="A1340" s="1" t="s">
        <v>5</v>
      </c>
      <c r="B1340" s="1" t="s">
        <v>52</v>
      </c>
      <c r="C1340" s="2" t="s">
        <v>4</v>
      </c>
      <c r="D1340" s="1" t="s">
        <v>11</v>
      </c>
      <c r="E1340" s="1" t="s">
        <v>45</v>
      </c>
      <c r="F1340" s="1">
        <v>118405.799999999</v>
      </c>
    </row>
    <row r="1341" spans="1:6" x14ac:dyDescent="0.3">
      <c r="A1341" s="3" t="s">
        <v>5</v>
      </c>
      <c r="B1341" s="3" t="s">
        <v>52</v>
      </c>
      <c r="C1341" s="4" t="s">
        <v>4</v>
      </c>
      <c r="D1341" s="3" t="s">
        <v>11</v>
      </c>
      <c r="E1341" s="3" t="s">
        <v>46</v>
      </c>
      <c r="F1341" s="3">
        <v>346176</v>
      </c>
    </row>
    <row r="1342" spans="1:6" x14ac:dyDescent="0.3">
      <c r="A1342" s="1" t="s">
        <v>5</v>
      </c>
      <c r="B1342" s="1" t="s">
        <v>52</v>
      </c>
      <c r="C1342" s="2" t="s">
        <v>4</v>
      </c>
      <c r="D1342" s="1" t="s">
        <v>11</v>
      </c>
      <c r="E1342" s="1" t="s">
        <v>47</v>
      </c>
      <c r="F1342" s="1">
        <v>2261.25</v>
      </c>
    </row>
    <row r="1343" spans="1:6" x14ac:dyDescent="0.3">
      <c r="A1343" s="3" t="s">
        <v>5</v>
      </c>
      <c r="B1343" s="3" t="s">
        <v>52</v>
      </c>
      <c r="C1343" s="4" t="s">
        <v>4</v>
      </c>
      <c r="D1343" s="3" t="s">
        <v>11</v>
      </c>
      <c r="E1343" s="3" t="s">
        <v>48</v>
      </c>
      <c r="F1343" s="3">
        <v>4200</v>
      </c>
    </row>
    <row r="1344" spans="1:6" x14ac:dyDescent="0.3">
      <c r="A1344" s="1" t="s">
        <v>5</v>
      </c>
      <c r="B1344" s="1" t="s">
        <v>52</v>
      </c>
      <c r="C1344" s="2" t="s">
        <v>4</v>
      </c>
      <c r="D1344" s="1" t="s">
        <v>11</v>
      </c>
      <c r="E1344" s="1" t="s">
        <v>49</v>
      </c>
      <c r="F1344" s="1">
        <v>-1.9782092600193499</v>
      </c>
    </row>
    <row r="1345" spans="1:6" x14ac:dyDescent="0.3">
      <c r="A1345" s="3" t="s">
        <v>5</v>
      </c>
      <c r="B1345" s="3" t="s">
        <v>52</v>
      </c>
      <c r="C1345" s="4" t="s">
        <v>4</v>
      </c>
      <c r="D1345" s="3" t="s">
        <v>1</v>
      </c>
      <c r="E1345" s="3" t="s">
        <v>44</v>
      </c>
      <c r="F1345" s="3">
        <v>98500</v>
      </c>
    </row>
    <row r="1346" spans="1:6" x14ac:dyDescent="0.3">
      <c r="A1346" s="1" t="s">
        <v>5</v>
      </c>
      <c r="B1346" s="1" t="s">
        <v>52</v>
      </c>
      <c r="C1346" s="2" t="s">
        <v>4</v>
      </c>
      <c r="D1346" s="1" t="s">
        <v>1</v>
      </c>
      <c r="E1346" s="1" t="s">
        <v>45</v>
      </c>
      <c r="F1346" s="1">
        <v>98500</v>
      </c>
    </row>
    <row r="1347" spans="1:6" x14ac:dyDescent="0.3">
      <c r="A1347" s="3" t="s">
        <v>5</v>
      </c>
      <c r="B1347" s="3" t="s">
        <v>52</v>
      </c>
      <c r="C1347" s="4" t="s">
        <v>4</v>
      </c>
      <c r="D1347" s="3" t="s">
        <v>1</v>
      </c>
      <c r="E1347" s="3" t="s">
        <v>49</v>
      </c>
      <c r="F1347" s="3">
        <v>1</v>
      </c>
    </row>
    <row r="1348" spans="1:6" x14ac:dyDescent="0.3">
      <c r="A1348" s="1" t="s">
        <v>5</v>
      </c>
      <c r="B1348" s="1" t="s">
        <v>52</v>
      </c>
      <c r="C1348" s="2" t="s">
        <v>4</v>
      </c>
      <c r="D1348" s="1" t="s">
        <v>6</v>
      </c>
      <c r="E1348" s="1" t="s">
        <v>44</v>
      </c>
      <c r="F1348" s="1">
        <v>84500</v>
      </c>
    </row>
    <row r="1349" spans="1:6" x14ac:dyDescent="0.3">
      <c r="A1349" s="3" t="s">
        <v>5</v>
      </c>
      <c r="B1349" s="3" t="s">
        <v>52</v>
      </c>
      <c r="C1349" s="4" t="s">
        <v>4</v>
      </c>
      <c r="D1349" s="3" t="s">
        <v>6</v>
      </c>
      <c r="E1349" s="3" t="s">
        <v>45</v>
      </c>
      <c r="F1349" s="3">
        <v>84500</v>
      </c>
    </row>
    <row r="1350" spans="1:6" x14ac:dyDescent="0.3">
      <c r="A1350" s="1" t="s">
        <v>5</v>
      </c>
      <c r="B1350" s="1" t="s">
        <v>52</v>
      </c>
      <c r="C1350" s="2" t="s">
        <v>4</v>
      </c>
      <c r="D1350" s="1" t="s">
        <v>6</v>
      </c>
      <c r="E1350" s="1" t="s">
        <v>49</v>
      </c>
      <c r="F1350" s="1">
        <v>1</v>
      </c>
    </row>
    <row r="1351" spans="1:6" x14ac:dyDescent="0.3">
      <c r="A1351" s="3" t="s">
        <v>5</v>
      </c>
      <c r="B1351" s="3" t="s">
        <v>52</v>
      </c>
      <c r="C1351" s="4" t="s">
        <v>4</v>
      </c>
      <c r="D1351" s="3" t="s">
        <v>9</v>
      </c>
      <c r="E1351" s="3" t="s">
        <v>44</v>
      </c>
      <c r="F1351" s="3">
        <v>98500</v>
      </c>
    </row>
    <row r="1352" spans="1:6" x14ac:dyDescent="0.3">
      <c r="A1352" s="1" t="s">
        <v>5</v>
      </c>
      <c r="B1352" s="1" t="s">
        <v>52</v>
      </c>
      <c r="C1352" s="2" t="s">
        <v>4</v>
      </c>
      <c r="D1352" s="1" t="s">
        <v>9</v>
      </c>
      <c r="E1352" s="1" t="s">
        <v>45</v>
      </c>
      <c r="F1352" s="1">
        <v>98500</v>
      </c>
    </row>
    <row r="1353" spans="1:6" x14ac:dyDescent="0.3">
      <c r="A1353" s="3" t="s">
        <v>5</v>
      </c>
      <c r="B1353" s="3" t="s">
        <v>52</v>
      </c>
      <c r="C1353" s="4" t="s">
        <v>4</v>
      </c>
      <c r="D1353" s="3" t="s">
        <v>9</v>
      </c>
      <c r="E1353" s="3" t="s">
        <v>49</v>
      </c>
      <c r="F1353" s="3">
        <v>1</v>
      </c>
    </row>
    <row r="1354" spans="1:6" x14ac:dyDescent="0.3">
      <c r="A1354" s="1" t="s">
        <v>5</v>
      </c>
      <c r="B1354" s="1" t="s">
        <v>52</v>
      </c>
      <c r="C1354" s="2" t="s">
        <v>4</v>
      </c>
      <c r="D1354" s="1" t="s">
        <v>11</v>
      </c>
      <c r="E1354" s="1" t="s">
        <v>44</v>
      </c>
      <c r="F1354" s="1">
        <v>84500</v>
      </c>
    </row>
    <row r="1355" spans="1:6" x14ac:dyDescent="0.3">
      <c r="A1355" s="3" t="s">
        <v>5</v>
      </c>
      <c r="B1355" s="3" t="s">
        <v>52</v>
      </c>
      <c r="C1355" s="4" t="s">
        <v>4</v>
      </c>
      <c r="D1355" s="3" t="s">
        <v>11</v>
      </c>
      <c r="E1355" s="3" t="s">
        <v>45</v>
      </c>
      <c r="F1355" s="3">
        <v>84500</v>
      </c>
    </row>
    <row r="1356" spans="1:6" x14ac:dyDescent="0.3">
      <c r="A1356" s="1" t="s">
        <v>5</v>
      </c>
      <c r="B1356" s="1" t="s">
        <v>52</v>
      </c>
      <c r="C1356" s="2" t="s">
        <v>4</v>
      </c>
      <c r="D1356" s="1" t="s">
        <v>11</v>
      </c>
      <c r="E1356" s="1" t="s">
        <v>49</v>
      </c>
      <c r="F1356" s="1">
        <v>1</v>
      </c>
    </row>
    <row r="1357" spans="1:6" x14ac:dyDescent="0.3">
      <c r="A1357" s="3" t="s">
        <v>5</v>
      </c>
      <c r="B1357" s="3" t="s">
        <v>52</v>
      </c>
      <c r="C1357" s="4" t="s">
        <v>4</v>
      </c>
      <c r="D1357" s="3" t="s">
        <v>1</v>
      </c>
      <c r="E1357" s="3" t="s">
        <v>44</v>
      </c>
      <c r="F1357" s="3">
        <v>-338645.09999999899</v>
      </c>
    </row>
    <row r="1358" spans="1:6" x14ac:dyDescent="0.3">
      <c r="A1358" s="1" t="s">
        <v>5</v>
      </c>
      <c r="B1358" s="1" t="s">
        <v>52</v>
      </c>
      <c r="C1358" s="2" t="s">
        <v>4</v>
      </c>
      <c r="D1358" s="1" t="s">
        <v>1</v>
      </c>
      <c r="E1358" s="1" t="s">
        <v>45</v>
      </c>
      <c r="F1358" s="1">
        <v>21786.299999999901</v>
      </c>
    </row>
    <row r="1359" spans="1:6" x14ac:dyDescent="0.3">
      <c r="A1359" s="3" t="s">
        <v>5</v>
      </c>
      <c r="B1359" s="3" t="s">
        <v>52</v>
      </c>
      <c r="C1359" s="4" t="s">
        <v>4</v>
      </c>
      <c r="D1359" s="3" t="s">
        <v>1</v>
      </c>
      <c r="E1359" s="3" t="s">
        <v>46</v>
      </c>
      <c r="F1359" s="3">
        <v>346176</v>
      </c>
    </row>
    <row r="1360" spans="1:6" x14ac:dyDescent="0.3">
      <c r="A1360" s="1" t="s">
        <v>5</v>
      </c>
      <c r="B1360" s="1" t="s">
        <v>52</v>
      </c>
      <c r="C1360" s="2" t="s">
        <v>4</v>
      </c>
      <c r="D1360" s="1" t="s">
        <v>1</v>
      </c>
      <c r="E1360" s="1" t="s">
        <v>47</v>
      </c>
      <c r="F1360" s="1">
        <v>1728.8999999999901</v>
      </c>
    </row>
    <row r="1361" spans="1:6" x14ac:dyDescent="0.3">
      <c r="A1361" s="3" t="s">
        <v>5</v>
      </c>
      <c r="B1361" s="3" t="s">
        <v>52</v>
      </c>
      <c r="C1361" s="4" t="s">
        <v>4</v>
      </c>
      <c r="D1361" s="3" t="s">
        <v>1</v>
      </c>
      <c r="E1361" s="3" t="s">
        <v>48</v>
      </c>
      <c r="F1361" s="3">
        <v>12526.5</v>
      </c>
    </row>
    <row r="1362" spans="1:6" x14ac:dyDescent="0.3">
      <c r="A1362" s="1" t="s">
        <v>5</v>
      </c>
      <c r="B1362" s="1" t="s">
        <v>52</v>
      </c>
      <c r="C1362" s="2" t="s">
        <v>4</v>
      </c>
      <c r="D1362" s="1" t="s">
        <v>1</v>
      </c>
      <c r="E1362" s="1" t="s">
        <v>49</v>
      </c>
      <c r="F1362" s="1">
        <v>-15.543947343055001</v>
      </c>
    </row>
    <row r="1363" spans="1:6" x14ac:dyDescent="0.3">
      <c r="A1363" s="3" t="s">
        <v>5</v>
      </c>
      <c r="B1363" s="3" t="s">
        <v>52</v>
      </c>
      <c r="C1363" s="4" t="s">
        <v>4</v>
      </c>
      <c r="D1363" s="3" t="s">
        <v>6</v>
      </c>
      <c r="E1363" s="3" t="s">
        <v>44</v>
      </c>
      <c r="F1363" s="3">
        <v>-338578.5</v>
      </c>
    </row>
    <row r="1364" spans="1:6" x14ac:dyDescent="0.3">
      <c r="A1364" s="1" t="s">
        <v>5</v>
      </c>
      <c r="B1364" s="1" t="s">
        <v>52</v>
      </c>
      <c r="C1364" s="2" t="s">
        <v>4</v>
      </c>
      <c r="D1364" s="1" t="s">
        <v>6</v>
      </c>
      <c r="E1364" s="1" t="s">
        <v>45</v>
      </c>
      <c r="F1364" s="1">
        <v>21786.299999999901</v>
      </c>
    </row>
    <row r="1365" spans="1:6" x14ac:dyDescent="0.3">
      <c r="A1365" s="3" t="s">
        <v>5</v>
      </c>
      <c r="B1365" s="3" t="s">
        <v>52</v>
      </c>
      <c r="C1365" s="4" t="s">
        <v>4</v>
      </c>
      <c r="D1365" s="3" t="s">
        <v>6</v>
      </c>
      <c r="E1365" s="3" t="s">
        <v>46</v>
      </c>
      <c r="F1365" s="3">
        <v>346176</v>
      </c>
    </row>
    <row r="1366" spans="1:6" x14ac:dyDescent="0.3">
      <c r="A1366" s="1" t="s">
        <v>5</v>
      </c>
      <c r="B1366" s="1" t="s">
        <v>52</v>
      </c>
      <c r="C1366" s="2" t="s">
        <v>4</v>
      </c>
      <c r="D1366" s="1" t="s">
        <v>6</v>
      </c>
      <c r="E1366" s="1" t="s">
        <v>47</v>
      </c>
      <c r="F1366" s="1">
        <v>1662.29999999999</v>
      </c>
    </row>
    <row r="1367" spans="1:6" x14ac:dyDescent="0.3">
      <c r="A1367" s="3" t="s">
        <v>5</v>
      </c>
      <c r="B1367" s="3" t="s">
        <v>52</v>
      </c>
      <c r="C1367" s="4" t="s">
        <v>4</v>
      </c>
      <c r="D1367" s="3" t="s">
        <v>6</v>
      </c>
      <c r="E1367" s="3" t="s">
        <v>48</v>
      </c>
      <c r="F1367" s="3">
        <v>12526.5</v>
      </c>
    </row>
    <row r="1368" spans="1:6" x14ac:dyDescent="0.3">
      <c r="A1368" s="1" t="s">
        <v>5</v>
      </c>
      <c r="B1368" s="1" t="s">
        <v>52</v>
      </c>
      <c r="C1368" s="2" t="s">
        <v>4</v>
      </c>
      <c r="D1368" s="1" t="s">
        <v>6</v>
      </c>
      <c r="E1368" s="1" t="s">
        <v>49</v>
      </c>
      <c r="F1368" s="1">
        <v>-15.540890376062</v>
      </c>
    </row>
    <row r="1369" spans="1:6" x14ac:dyDescent="0.3">
      <c r="A1369" s="3" t="s">
        <v>5</v>
      </c>
      <c r="B1369" s="3" t="s">
        <v>52</v>
      </c>
      <c r="C1369" s="4" t="s">
        <v>4</v>
      </c>
      <c r="D1369" s="3" t="s">
        <v>9</v>
      </c>
      <c r="E1369" s="3" t="s">
        <v>44</v>
      </c>
      <c r="F1369" s="3">
        <v>-324187.05</v>
      </c>
    </row>
    <row r="1370" spans="1:6" x14ac:dyDescent="0.3">
      <c r="A1370" s="1" t="s">
        <v>5</v>
      </c>
      <c r="B1370" s="1" t="s">
        <v>52</v>
      </c>
      <c r="C1370" s="2" t="s">
        <v>4</v>
      </c>
      <c r="D1370" s="1" t="s">
        <v>9</v>
      </c>
      <c r="E1370" s="1" t="s">
        <v>45</v>
      </c>
      <c r="F1370" s="1">
        <v>36311.3999999999</v>
      </c>
    </row>
    <row r="1371" spans="1:6" x14ac:dyDescent="0.3">
      <c r="A1371" s="3" t="s">
        <v>5</v>
      </c>
      <c r="B1371" s="3" t="s">
        <v>52</v>
      </c>
      <c r="C1371" s="4" t="s">
        <v>4</v>
      </c>
      <c r="D1371" s="3" t="s">
        <v>9</v>
      </c>
      <c r="E1371" s="3" t="s">
        <v>46</v>
      </c>
      <c r="F1371" s="3">
        <v>346176</v>
      </c>
    </row>
    <row r="1372" spans="1:6" x14ac:dyDescent="0.3">
      <c r="A1372" s="1" t="s">
        <v>5</v>
      </c>
      <c r="B1372" s="1" t="s">
        <v>52</v>
      </c>
      <c r="C1372" s="2" t="s">
        <v>4</v>
      </c>
      <c r="D1372" s="1" t="s">
        <v>9</v>
      </c>
      <c r="E1372" s="1" t="s">
        <v>47</v>
      </c>
      <c r="F1372" s="1">
        <v>1795.94999999999</v>
      </c>
    </row>
    <row r="1373" spans="1:6" x14ac:dyDescent="0.3">
      <c r="A1373" s="3" t="s">
        <v>5</v>
      </c>
      <c r="B1373" s="3" t="s">
        <v>52</v>
      </c>
      <c r="C1373" s="4" t="s">
        <v>4</v>
      </c>
      <c r="D1373" s="3" t="s">
        <v>9</v>
      </c>
      <c r="E1373" s="3" t="s">
        <v>48</v>
      </c>
      <c r="F1373" s="3">
        <v>12526.5</v>
      </c>
    </row>
    <row r="1374" spans="1:6" x14ac:dyDescent="0.3">
      <c r="A1374" s="1" t="s">
        <v>5</v>
      </c>
      <c r="B1374" s="1" t="s">
        <v>52</v>
      </c>
      <c r="C1374" s="2" t="s">
        <v>4</v>
      </c>
      <c r="D1374" s="1" t="s">
        <v>9</v>
      </c>
      <c r="E1374" s="1" t="s">
        <v>49</v>
      </c>
      <c r="F1374" s="1">
        <v>-8.9279689023281907</v>
      </c>
    </row>
    <row r="1375" spans="1:6" x14ac:dyDescent="0.3">
      <c r="A1375" s="3" t="s">
        <v>5</v>
      </c>
      <c r="B1375" s="3" t="s">
        <v>52</v>
      </c>
      <c r="C1375" s="4" t="s">
        <v>4</v>
      </c>
      <c r="D1375" s="3" t="s">
        <v>11</v>
      </c>
      <c r="E1375" s="3" t="s">
        <v>44</v>
      </c>
      <c r="F1375" s="3">
        <v>-317389.8</v>
      </c>
    </row>
    <row r="1376" spans="1:6" x14ac:dyDescent="0.3">
      <c r="A1376" s="1" t="s">
        <v>5</v>
      </c>
      <c r="B1376" s="1" t="s">
        <v>52</v>
      </c>
      <c r="C1376" s="2" t="s">
        <v>4</v>
      </c>
      <c r="D1376" s="1" t="s">
        <v>11</v>
      </c>
      <c r="E1376" s="1" t="s">
        <v>45</v>
      </c>
      <c r="F1376" s="1">
        <v>43573.949999999903</v>
      </c>
    </row>
    <row r="1377" spans="1:6" x14ac:dyDescent="0.3">
      <c r="A1377" s="3" t="s">
        <v>5</v>
      </c>
      <c r="B1377" s="3" t="s">
        <v>52</v>
      </c>
      <c r="C1377" s="4" t="s">
        <v>4</v>
      </c>
      <c r="D1377" s="3" t="s">
        <v>11</v>
      </c>
      <c r="E1377" s="3" t="s">
        <v>46</v>
      </c>
      <c r="F1377" s="3">
        <v>346176</v>
      </c>
    </row>
    <row r="1378" spans="1:6" x14ac:dyDescent="0.3">
      <c r="A1378" s="1" t="s">
        <v>5</v>
      </c>
      <c r="B1378" s="1" t="s">
        <v>52</v>
      </c>
      <c r="C1378" s="2" t="s">
        <v>4</v>
      </c>
      <c r="D1378" s="1" t="s">
        <v>11</v>
      </c>
      <c r="E1378" s="1" t="s">
        <v>47</v>
      </c>
      <c r="F1378" s="1">
        <v>2261.25</v>
      </c>
    </row>
    <row r="1379" spans="1:6" x14ac:dyDescent="0.3">
      <c r="A1379" s="3" t="s">
        <v>5</v>
      </c>
      <c r="B1379" s="3" t="s">
        <v>52</v>
      </c>
      <c r="C1379" s="4" t="s">
        <v>4</v>
      </c>
      <c r="D1379" s="3" t="s">
        <v>11</v>
      </c>
      <c r="E1379" s="3" t="s">
        <v>48</v>
      </c>
      <c r="F1379" s="3">
        <v>12526.5</v>
      </c>
    </row>
    <row r="1380" spans="1:6" x14ac:dyDescent="0.3">
      <c r="A1380" s="1" t="s">
        <v>5</v>
      </c>
      <c r="B1380" s="1" t="s">
        <v>52</v>
      </c>
      <c r="C1380" s="2" t="s">
        <v>4</v>
      </c>
      <c r="D1380" s="1" t="s">
        <v>11</v>
      </c>
      <c r="E1380" s="1" t="s">
        <v>49</v>
      </c>
      <c r="F1380" s="1">
        <v>-7.2839345526398196</v>
      </c>
    </row>
    <row r="1381" spans="1:6" x14ac:dyDescent="0.3">
      <c r="A1381" s="3" t="s">
        <v>5</v>
      </c>
      <c r="B1381" s="3" t="s">
        <v>52</v>
      </c>
      <c r="C1381" s="4" t="s">
        <v>4</v>
      </c>
      <c r="D1381" s="3" t="s">
        <v>1</v>
      </c>
      <c r="E1381" s="3" t="s">
        <v>44</v>
      </c>
      <c r="F1381" s="3">
        <v>98500</v>
      </c>
    </row>
    <row r="1382" spans="1:6" x14ac:dyDescent="0.3">
      <c r="A1382" s="1" t="s">
        <v>5</v>
      </c>
      <c r="B1382" s="1" t="s">
        <v>52</v>
      </c>
      <c r="C1382" s="2" t="s">
        <v>4</v>
      </c>
      <c r="D1382" s="1" t="s">
        <v>1</v>
      </c>
      <c r="E1382" s="1" t="s">
        <v>45</v>
      </c>
      <c r="F1382" s="1">
        <v>98500</v>
      </c>
    </row>
    <row r="1383" spans="1:6" x14ac:dyDescent="0.3">
      <c r="A1383" s="3" t="s">
        <v>5</v>
      </c>
      <c r="B1383" s="3" t="s">
        <v>52</v>
      </c>
      <c r="C1383" s="4" t="s">
        <v>4</v>
      </c>
      <c r="D1383" s="3" t="s">
        <v>1</v>
      </c>
      <c r="E1383" s="3" t="s">
        <v>49</v>
      </c>
      <c r="F1383" s="3">
        <v>1</v>
      </c>
    </row>
    <row r="1384" spans="1:6" x14ac:dyDescent="0.3">
      <c r="A1384" s="1" t="s">
        <v>5</v>
      </c>
      <c r="B1384" s="1" t="s">
        <v>52</v>
      </c>
      <c r="C1384" s="2" t="s">
        <v>4</v>
      </c>
      <c r="D1384" s="1" t="s">
        <v>6</v>
      </c>
      <c r="E1384" s="1" t="s">
        <v>44</v>
      </c>
      <c r="F1384" s="1">
        <v>84500</v>
      </c>
    </row>
    <row r="1385" spans="1:6" x14ac:dyDescent="0.3">
      <c r="A1385" s="3" t="s">
        <v>5</v>
      </c>
      <c r="B1385" s="3" t="s">
        <v>52</v>
      </c>
      <c r="C1385" s="4" t="s">
        <v>4</v>
      </c>
      <c r="D1385" s="3" t="s">
        <v>6</v>
      </c>
      <c r="E1385" s="3" t="s">
        <v>45</v>
      </c>
      <c r="F1385" s="3">
        <v>84500</v>
      </c>
    </row>
    <row r="1386" spans="1:6" x14ac:dyDescent="0.3">
      <c r="A1386" s="1" t="s">
        <v>5</v>
      </c>
      <c r="B1386" s="1" t="s">
        <v>52</v>
      </c>
      <c r="C1386" s="2" t="s">
        <v>4</v>
      </c>
      <c r="D1386" s="1" t="s">
        <v>6</v>
      </c>
      <c r="E1386" s="1" t="s">
        <v>49</v>
      </c>
      <c r="F1386" s="1">
        <v>1</v>
      </c>
    </row>
    <row r="1387" spans="1:6" x14ac:dyDescent="0.3">
      <c r="A1387" s="3" t="s">
        <v>5</v>
      </c>
      <c r="B1387" s="3" t="s">
        <v>52</v>
      </c>
      <c r="C1387" s="4" t="s">
        <v>4</v>
      </c>
      <c r="D1387" s="3" t="s">
        <v>9</v>
      </c>
      <c r="E1387" s="3" t="s">
        <v>44</v>
      </c>
      <c r="F1387" s="3">
        <v>98500</v>
      </c>
    </row>
    <row r="1388" spans="1:6" x14ac:dyDescent="0.3">
      <c r="A1388" s="1" t="s">
        <v>5</v>
      </c>
      <c r="B1388" s="1" t="s">
        <v>52</v>
      </c>
      <c r="C1388" s="2" t="s">
        <v>4</v>
      </c>
      <c r="D1388" s="1" t="s">
        <v>9</v>
      </c>
      <c r="E1388" s="1" t="s">
        <v>45</v>
      </c>
      <c r="F1388" s="1">
        <v>98500</v>
      </c>
    </row>
    <row r="1389" spans="1:6" x14ac:dyDescent="0.3">
      <c r="A1389" s="3" t="s">
        <v>5</v>
      </c>
      <c r="B1389" s="3" t="s">
        <v>52</v>
      </c>
      <c r="C1389" s="4" t="s">
        <v>4</v>
      </c>
      <c r="D1389" s="3" t="s">
        <v>9</v>
      </c>
      <c r="E1389" s="3" t="s">
        <v>49</v>
      </c>
      <c r="F1389" s="3">
        <v>1</v>
      </c>
    </row>
    <row r="1390" spans="1:6" x14ac:dyDescent="0.3">
      <c r="A1390" s="1" t="s">
        <v>5</v>
      </c>
      <c r="B1390" s="1" t="s">
        <v>52</v>
      </c>
      <c r="C1390" s="2" t="s">
        <v>4</v>
      </c>
      <c r="D1390" s="1" t="s">
        <v>11</v>
      </c>
      <c r="E1390" s="1" t="s">
        <v>44</v>
      </c>
      <c r="F1390" s="1">
        <v>84500</v>
      </c>
    </row>
    <row r="1391" spans="1:6" x14ac:dyDescent="0.3">
      <c r="A1391" s="3" t="s">
        <v>5</v>
      </c>
      <c r="B1391" s="3" t="s">
        <v>52</v>
      </c>
      <c r="C1391" s="4" t="s">
        <v>4</v>
      </c>
      <c r="D1391" s="3" t="s">
        <v>11</v>
      </c>
      <c r="E1391" s="3" t="s">
        <v>45</v>
      </c>
      <c r="F1391" s="3">
        <v>84500</v>
      </c>
    </row>
    <row r="1392" spans="1:6" x14ac:dyDescent="0.3">
      <c r="A1392" s="1" t="s">
        <v>5</v>
      </c>
      <c r="B1392" s="1" t="s">
        <v>52</v>
      </c>
      <c r="C1392" s="2" t="s">
        <v>4</v>
      </c>
      <c r="D1392" s="1" t="s">
        <v>11</v>
      </c>
      <c r="E1392" s="1" t="s">
        <v>49</v>
      </c>
      <c r="F1392" s="1">
        <v>1</v>
      </c>
    </row>
    <row r="1393" spans="1:6" x14ac:dyDescent="0.3">
      <c r="A1393" s="3" t="s">
        <v>5</v>
      </c>
      <c r="B1393" s="3" t="s">
        <v>52</v>
      </c>
      <c r="C1393" s="4" t="s">
        <v>4</v>
      </c>
      <c r="D1393" s="3" t="s">
        <v>1</v>
      </c>
      <c r="E1393" s="3" t="s">
        <v>44</v>
      </c>
      <c r="F1393" s="3">
        <v>-329108.25</v>
      </c>
    </row>
    <row r="1394" spans="1:6" x14ac:dyDescent="0.3">
      <c r="A1394" s="1" t="s">
        <v>5</v>
      </c>
      <c r="B1394" s="1" t="s">
        <v>52</v>
      </c>
      <c r="C1394" s="2" t="s">
        <v>4</v>
      </c>
      <c r="D1394" s="1" t="s">
        <v>1</v>
      </c>
      <c r="E1394" s="1" t="s">
        <v>45</v>
      </c>
      <c r="F1394" s="1">
        <v>47362.049999999901</v>
      </c>
    </row>
    <row r="1395" spans="1:6" x14ac:dyDescent="0.3">
      <c r="A1395" s="3" t="s">
        <v>5</v>
      </c>
      <c r="B1395" s="3" t="s">
        <v>52</v>
      </c>
      <c r="C1395" s="4" t="s">
        <v>4</v>
      </c>
      <c r="D1395" s="3" t="s">
        <v>1</v>
      </c>
      <c r="E1395" s="3" t="s">
        <v>46</v>
      </c>
      <c r="F1395" s="3">
        <v>346176</v>
      </c>
    </row>
    <row r="1396" spans="1:6" x14ac:dyDescent="0.3">
      <c r="A1396" s="1" t="s">
        <v>5</v>
      </c>
      <c r="B1396" s="1" t="s">
        <v>52</v>
      </c>
      <c r="C1396" s="2" t="s">
        <v>4</v>
      </c>
      <c r="D1396" s="1" t="s">
        <v>1</v>
      </c>
      <c r="E1396" s="1" t="s">
        <v>47</v>
      </c>
      <c r="F1396" s="1">
        <v>5240.25</v>
      </c>
    </row>
    <row r="1397" spans="1:6" x14ac:dyDescent="0.3">
      <c r="A1397" s="3" t="s">
        <v>5</v>
      </c>
      <c r="B1397" s="3" t="s">
        <v>52</v>
      </c>
      <c r="C1397" s="4" t="s">
        <v>4</v>
      </c>
      <c r="D1397" s="3" t="s">
        <v>1</v>
      </c>
      <c r="E1397" s="3" t="s">
        <v>48</v>
      </c>
      <c r="F1397" s="3">
        <v>25054.05</v>
      </c>
    </row>
    <row r="1398" spans="1:6" x14ac:dyDescent="0.3">
      <c r="A1398" s="1" t="s">
        <v>5</v>
      </c>
      <c r="B1398" s="1" t="s">
        <v>52</v>
      </c>
      <c r="C1398" s="2" t="s">
        <v>4</v>
      </c>
      <c r="D1398" s="1" t="s">
        <v>1</v>
      </c>
      <c r="E1398" s="1" t="s">
        <v>49</v>
      </c>
      <c r="F1398" s="1">
        <v>-6.9487754436304998</v>
      </c>
    </row>
    <row r="1399" spans="1:6" x14ac:dyDescent="0.3">
      <c r="A1399" s="3" t="s">
        <v>5</v>
      </c>
      <c r="B1399" s="3" t="s">
        <v>52</v>
      </c>
      <c r="C1399" s="4" t="s">
        <v>4</v>
      </c>
      <c r="D1399" s="3" t="s">
        <v>6</v>
      </c>
      <c r="E1399" s="3" t="s">
        <v>44</v>
      </c>
      <c r="F1399" s="3">
        <v>-328906.65000000002</v>
      </c>
    </row>
    <row r="1400" spans="1:6" x14ac:dyDescent="0.3">
      <c r="A1400" s="1" t="s">
        <v>5</v>
      </c>
      <c r="B1400" s="1" t="s">
        <v>52</v>
      </c>
      <c r="C1400" s="2" t="s">
        <v>4</v>
      </c>
      <c r="D1400" s="1" t="s">
        <v>6</v>
      </c>
      <c r="E1400" s="1" t="s">
        <v>45</v>
      </c>
      <c r="F1400" s="1">
        <v>47362.049999999901</v>
      </c>
    </row>
    <row r="1401" spans="1:6" x14ac:dyDescent="0.3">
      <c r="A1401" s="3" t="s">
        <v>5</v>
      </c>
      <c r="B1401" s="3" t="s">
        <v>52</v>
      </c>
      <c r="C1401" s="4" t="s">
        <v>4</v>
      </c>
      <c r="D1401" s="3" t="s">
        <v>6</v>
      </c>
      <c r="E1401" s="3" t="s">
        <v>46</v>
      </c>
      <c r="F1401" s="3">
        <v>346176</v>
      </c>
    </row>
    <row r="1402" spans="1:6" x14ac:dyDescent="0.3">
      <c r="A1402" s="1" t="s">
        <v>5</v>
      </c>
      <c r="B1402" s="1" t="s">
        <v>52</v>
      </c>
      <c r="C1402" s="2" t="s">
        <v>4</v>
      </c>
      <c r="D1402" s="1" t="s">
        <v>6</v>
      </c>
      <c r="E1402" s="1" t="s">
        <v>47</v>
      </c>
      <c r="F1402" s="1">
        <v>5038.6499999999896</v>
      </c>
    </row>
    <row r="1403" spans="1:6" x14ac:dyDescent="0.3">
      <c r="A1403" s="3" t="s">
        <v>5</v>
      </c>
      <c r="B1403" s="3" t="s">
        <v>52</v>
      </c>
      <c r="C1403" s="4" t="s">
        <v>4</v>
      </c>
      <c r="D1403" s="3" t="s">
        <v>6</v>
      </c>
      <c r="E1403" s="3" t="s">
        <v>48</v>
      </c>
      <c r="F1403" s="3">
        <v>25054.05</v>
      </c>
    </row>
    <row r="1404" spans="1:6" x14ac:dyDescent="0.3">
      <c r="A1404" s="1" t="s">
        <v>5</v>
      </c>
      <c r="B1404" s="1" t="s">
        <v>52</v>
      </c>
      <c r="C1404" s="2" t="s">
        <v>4</v>
      </c>
      <c r="D1404" s="1" t="s">
        <v>6</v>
      </c>
      <c r="E1404" s="1" t="s">
        <v>49</v>
      </c>
      <c r="F1404" s="1">
        <v>-6.9445188711214998</v>
      </c>
    </row>
    <row r="1405" spans="1:6" x14ac:dyDescent="0.3">
      <c r="A1405" s="3" t="s">
        <v>5</v>
      </c>
      <c r="B1405" s="3" t="s">
        <v>52</v>
      </c>
      <c r="C1405" s="4" t="s">
        <v>4</v>
      </c>
      <c r="D1405" s="3" t="s">
        <v>9</v>
      </c>
      <c r="E1405" s="3" t="s">
        <v>44</v>
      </c>
      <c r="F1405" s="3">
        <v>-329309.84999999899</v>
      </c>
    </row>
    <row r="1406" spans="1:6" x14ac:dyDescent="0.3">
      <c r="A1406" s="1" t="s">
        <v>5</v>
      </c>
      <c r="B1406" s="1" t="s">
        <v>52</v>
      </c>
      <c r="C1406" s="2" t="s">
        <v>4</v>
      </c>
      <c r="D1406" s="1" t="s">
        <v>9</v>
      </c>
      <c r="E1406" s="1" t="s">
        <v>45</v>
      </c>
      <c r="F1406" s="1">
        <v>47362.049999999901</v>
      </c>
    </row>
    <row r="1407" spans="1:6" x14ac:dyDescent="0.3">
      <c r="A1407" s="3" t="s">
        <v>5</v>
      </c>
      <c r="B1407" s="3" t="s">
        <v>52</v>
      </c>
      <c r="C1407" s="4" t="s">
        <v>4</v>
      </c>
      <c r="D1407" s="3" t="s">
        <v>9</v>
      </c>
      <c r="E1407" s="3" t="s">
        <v>46</v>
      </c>
      <c r="F1407" s="3">
        <v>346176</v>
      </c>
    </row>
    <row r="1408" spans="1:6" x14ac:dyDescent="0.3">
      <c r="A1408" s="1" t="s">
        <v>5</v>
      </c>
      <c r="B1408" s="1" t="s">
        <v>52</v>
      </c>
      <c r="C1408" s="2" t="s">
        <v>4</v>
      </c>
      <c r="D1408" s="1" t="s">
        <v>9</v>
      </c>
      <c r="E1408" s="1" t="s">
        <v>47</v>
      </c>
      <c r="F1408" s="1">
        <v>5441.8499999999904</v>
      </c>
    </row>
    <row r="1409" spans="1:6" x14ac:dyDescent="0.3">
      <c r="A1409" s="3" t="s">
        <v>5</v>
      </c>
      <c r="B1409" s="3" t="s">
        <v>52</v>
      </c>
      <c r="C1409" s="4" t="s">
        <v>4</v>
      </c>
      <c r="D1409" s="3" t="s">
        <v>9</v>
      </c>
      <c r="E1409" s="3" t="s">
        <v>48</v>
      </c>
      <c r="F1409" s="3">
        <v>25054.05</v>
      </c>
    </row>
    <row r="1410" spans="1:6" x14ac:dyDescent="0.3">
      <c r="A1410" s="1" t="s">
        <v>5</v>
      </c>
      <c r="B1410" s="1" t="s">
        <v>52</v>
      </c>
      <c r="C1410" s="2" t="s">
        <v>4</v>
      </c>
      <c r="D1410" s="1" t="s">
        <v>9</v>
      </c>
      <c r="E1410" s="1" t="s">
        <v>49</v>
      </c>
      <c r="F1410" s="1">
        <v>-6.9530320161394998</v>
      </c>
    </row>
    <row r="1411" spans="1:6" x14ac:dyDescent="0.3">
      <c r="A1411" s="3" t="s">
        <v>5</v>
      </c>
      <c r="B1411" s="3" t="s">
        <v>52</v>
      </c>
      <c r="C1411" s="4" t="s">
        <v>4</v>
      </c>
      <c r="D1411" s="3" t="s">
        <v>11</v>
      </c>
      <c r="E1411" s="3" t="s">
        <v>44</v>
      </c>
      <c r="F1411" s="3">
        <v>-330719.7</v>
      </c>
    </row>
    <row r="1412" spans="1:6" x14ac:dyDescent="0.3">
      <c r="A1412" s="1" t="s">
        <v>5</v>
      </c>
      <c r="B1412" s="1" t="s">
        <v>52</v>
      </c>
      <c r="C1412" s="2" t="s">
        <v>4</v>
      </c>
      <c r="D1412" s="1" t="s">
        <v>11</v>
      </c>
      <c r="E1412" s="1" t="s">
        <v>45</v>
      </c>
      <c r="F1412" s="1">
        <v>47362.049999999901</v>
      </c>
    </row>
    <row r="1413" spans="1:6" x14ac:dyDescent="0.3">
      <c r="A1413" s="3" t="s">
        <v>5</v>
      </c>
      <c r="B1413" s="3" t="s">
        <v>52</v>
      </c>
      <c r="C1413" s="4" t="s">
        <v>4</v>
      </c>
      <c r="D1413" s="3" t="s">
        <v>11</v>
      </c>
      <c r="E1413" s="3" t="s">
        <v>46</v>
      </c>
      <c r="F1413" s="3">
        <v>346176</v>
      </c>
    </row>
    <row r="1414" spans="1:6" x14ac:dyDescent="0.3">
      <c r="A1414" s="1" t="s">
        <v>5</v>
      </c>
      <c r="B1414" s="1" t="s">
        <v>52</v>
      </c>
      <c r="C1414" s="2" t="s">
        <v>4</v>
      </c>
      <c r="D1414" s="1" t="s">
        <v>11</v>
      </c>
      <c r="E1414" s="1" t="s">
        <v>47</v>
      </c>
      <c r="F1414" s="1">
        <v>6851.6999999999898</v>
      </c>
    </row>
    <row r="1415" spans="1:6" x14ac:dyDescent="0.3">
      <c r="A1415" s="3" t="s">
        <v>5</v>
      </c>
      <c r="B1415" s="3" t="s">
        <v>52</v>
      </c>
      <c r="C1415" s="4" t="s">
        <v>4</v>
      </c>
      <c r="D1415" s="3" t="s">
        <v>11</v>
      </c>
      <c r="E1415" s="3" t="s">
        <v>48</v>
      </c>
      <c r="F1415" s="3">
        <v>25054.05</v>
      </c>
    </row>
    <row r="1416" spans="1:6" x14ac:dyDescent="0.3">
      <c r="A1416" s="1" t="s">
        <v>5</v>
      </c>
      <c r="B1416" s="1" t="s">
        <v>52</v>
      </c>
      <c r="C1416" s="2" t="s">
        <v>4</v>
      </c>
      <c r="D1416" s="1" t="s">
        <v>11</v>
      </c>
      <c r="E1416" s="1" t="s">
        <v>49</v>
      </c>
      <c r="F1416" s="1">
        <v>-6.9827995198687498</v>
      </c>
    </row>
    <row r="1417" spans="1:6" x14ac:dyDescent="0.3">
      <c r="A1417" s="3" t="s">
        <v>5</v>
      </c>
      <c r="B1417" s="3" t="s">
        <v>52</v>
      </c>
      <c r="C1417" s="4" t="s">
        <v>4</v>
      </c>
      <c r="D1417" s="3" t="s">
        <v>1</v>
      </c>
      <c r="E1417" s="3" t="s">
        <v>44</v>
      </c>
      <c r="F1417" s="3">
        <v>21959.0999999999</v>
      </c>
    </row>
    <row r="1418" spans="1:6" x14ac:dyDescent="0.3">
      <c r="A1418" s="1" t="s">
        <v>5</v>
      </c>
      <c r="B1418" s="1" t="s">
        <v>52</v>
      </c>
      <c r="C1418" s="2" t="s">
        <v>4</v>
      </c>
      <c r="D1418" s="1" t="s">
        <v>1</v>
      </c>
      <c r="E1418" s="1" t="s">
        <v>45</v>
      </c>
      <c r="F1418" s="1">
        <v>21959.0999999999</v>
      </c>
    </row>
    <row r="1419" spans="1:6" x14ac:dyDescent="0.3">
      <c r="A1419" s="3" t="s">
        <v>5</v>
      </c>
      <c r="B1419" s="3" t="s">
        <v>52</v>
      </c>
      <c r="C1419" s="4" t="s">
        <v>4</v>
      </c>
      <c r="D1419" s="3" t="s">
        <v>1</v>
      </c>
      <c r="E1419" s="3" t="s">
        <v>49</v>
      </c>
      <c r="F1419" s="3">
        <v>1</v>
      </c>
    </row>
    <row r="1420" spans="1:6" x14ac:dyDescent="0.3">
      <c r="A1420" s="1" t="s">
        <v>5</v>
      </c>
      <c r="B1420" s="1" t="s">
        <v>52</v>
      </c>
      <c r="C1420" s="2" t="s">
        <v>4</v>
      </c>
      <c r="D1420" s="1" t="s">
        <v>6</v>
      </c>
      <c r="E1420" s="1" t="s">
        <v>44</v>
      </c>
      <c r="F1420" s="1">
        <v>21959.0999999999</v>
      </c>
    </row>
    <row r="1421" spans="1:6" x14ac:dyDescent="0.3">
      <c r="A1421" s="3" t="s">
        <v>5</v>
      </c>
      <c r="B1421" s="3" t="s">
        <v>52</v>
      </c>
      <c r="C1421" s="4" t="s">
        <v>4</v>
      </c>
      <c r="D1421" s="3" t="s">
        <v>6</v>
      </c>
      <c r="E1421" s="3" t="s">
        <v>45</v>
      </c>
      <c r="F1421" s="3">
        <v>21959.0999999999</v>
      </c>
    </row>
    <row r="1422" spans="1:6" x14ac:dyDescent="0.3">
      <c r="A1422" s="1" t="s">
        <v>5</v>
      </c>
      <c r="B1422" s="1" t="s">
        <v>52</v>
      </c>
      <c r="C1422" s="2" t="s">
        <v>4</v>
      </c>
      <c r="D1422" s="1" t="s">
        <v>6</v>
      </c>
      <c r="E1422" s="1" t="s">
        <v>49</v>
      </c>
      <c r="F1422" s="1">
        <v>1</v>
      </c>
    </row>
    <row r="1423" spans="1:6" x14ac:dyDescent="0.3">
      <c r="A1423" s="3" t="s">
        <v>5</v>
      </c>
      <c r="B1423" s="3" t="s">
        <v>52</v>
      </c>
      <c r="C1423" s="4" t="s">
        <v>4</v>
      </c>
      <c r="D1423" s="3" t="s">
        <v>9</v>
      </c>
      <c r="E1423" s="3" t="s">
        <v>44</v>
      </c>
      <c r="F1423" s="3">
        <v>21959.0999999999</v>
      </c>
    </row>
    <row r="1424" spans="1:6" x14ac:dyDescent="0.3">
      <c r="A1424" s="1" t="s">
        <v>5</v>
      </c>
      <c r="B1424" s="1" t="s">
        <v>52</v>
      </c>
      <c r="C1424" s="2" t="s">
        <v>4</v>
      </c>
      <c r="D1424" s="1" t="s">
        <v>9</v>
      </c>
      <c r="E1424" s="1" t="s">
        <v>45</v>
      </c>
      <c r="F1424" s="1">
        <v>21959.0999999999</v>
      </c>
    </row>
    <row r="1425" spans="1:6" x14ac:dyDescent="0.3">
      <c r="A1425" s="3" t="s">
        <v>5</v>
      </c>
      <c r="B1425" s="3" t="s">
        <v>52</v>
      </c>
      <c r="C1425" s="4" t="s">
        <v>4</v>
      </c>
      <c r="D1425" s="3" t="s">
        <v>9</v>
      </c>
      <c r="E1425" s="3" t="s">
        <v>49</v>
      </c>
      <c r="F1425" s="3">
        <v>1</v>
      </c>
    </row>
    <row r="1426" spans="1:6" x14ac:dyDescent="0.3">
      <c r="A1426" s="1" t="s">
        <v>5</v>
      </c>
      <c r="B1426" s="1" t="s">
        <v>52</v>
      </c>
      <c r="C1426" s="2" t="s">
        <v>4</v>
      </c>
      <c r="D1426" s="1" t="s">
        <v>11</v>
      </c>
      <c r="E1426" s="1" t="s">
        <v>44</v>
      </c>
      <c r="F1426" s="1">
        <v>21959.0999999999</v>
      </c>
    </row>
    <row r="1427" spans="1:6" x14ac:dyDescent="0.3">
      <c r="A1427" s="3" t="s">
        <v>5</v>
      </c>
      <c r="B1427" s="3" t="s">
        <v>52</v>
      </c>
      <c r="C1427" s="4" t="s">
        <v>4</v>
      </c>
      <c r="D1427" s="3" t="s">
        <v>11</v>
      </c>
      <c r="E1427" s="3" t="s">
        <v>45</v>
      </c>
      <c r="F1427" s="3">
        <v>21959.0999999999</v>
      </c>
    </row>
    <row r="1428" spans="1:6" x14ac:dyDescent="0.3">
      <c r="A1428" s="1" t="s">
        <v>5</v>
      </c>
      <c r="B1428" s="1" t="s">
        <v>52</v>
      </c>
      <c r="C1428" s="2" t="s">
        <v>4</v>
      </c>
      <c r="D1428" s="1" t="s">
        <v>11</v>
      </c>
      <c r="E1428" s="1" t="s">
        <v>49</v>
      </c>
      <c r="F1428" s="1">
        <v>1</v>
      </c>
    </row>
    <row r="1429" spans="1:6" x14ac:dyDescent="0.3">
      <c r="A1429" s="3" t="s">
        <v>5</v>
      </c>
      <c r="B1429" s="3" t="s">
        <v>52</v>
      </c>
      <c r="C1429" s="4" t="s">
        <v>4</v>
      </c>
      <c r="D1429" s="3" t="s">
        <v>1</v>
      </c>
      <c r="E1429" s="3" t="s">
        <v>44</v>
      </c>
      <c r="F1429" s="3">
        <v>8708.1</v>
      </c>
    </row>
    <row r="1430" spans="1:6" x14ac:dyDescent="0.3">
      <c r="A1430" s="1" t="s">
        <v>5</v>
      </c>
      <c r="B1430" s="1" t="s">
        <v>52</v>
      </c>
      <c r="C1430" s="2" t="s">
        <v>4</v>
      </c>
      <c r="D1430" s="1" t="s">
        <v>1</v>
      </c>
      <c r="E1430" s="1" t="s">
        <v>45</v>
      </c>
      <c r="F1430" s="1">
        <v>22963.5</v>
      </c>
    </row>
    <row r="1431" spans="1:6" x14ac:dyDescent="0.3">
      <c r="A1431" s="3" t="s">
        <v>5</v>
      </c>
      <c r="B1431" s="3" t="s">
        <v>52</v>
      </c>
      <c r="C1431" s="4" t="s">
        <v>4</v>
      </c>
      <c r="D1431" s="3" t="s">
        <v>1</v>
      </c>
      <c r="E1431" s="3" t="s">
        <v>47</v>
      </c>
      <c r="F1431" s="3">
        <v>1728.8999999999901</v>
      </c>
    </row>
    <row r="1432" spans="1:6" x14ac:dyDescent="0.3">
      <c r="A1432" s="1" t="s">
        <v>5</v>
      </c>
      <c r="B1432" s="1" t="s">
        <v>52</v>
      </c>
      <c r="C1432" s="2" t="s">
        <v>4</v>
      </c>
      <c r="D1432" s="1" t="s">
        <v>1</v>
      </c>
      <c r="E1432" s="1" t="s">
        <v>48</v>
      </c>
      <c r="F1432" s="1">
        <v>12526.5</v>
      </c>
    </row>
    <row r="1433" spans="1:6" x14ac:dyDescent="0.3">
      <c r="A1433" s="3" t="s">
        <v>5</v>
      </c>
      <c r="B1433" s="3" t="s">
        <v>52</v>
      </c>
      <c r="C1433" s="4" t="s">
        <v>4</v>
      </c>
      <c r="D1433" s="3" t="s">
        <v>1</v>
      </c>
      <c r="E1433" s="3" t="s">
        <v>49</v>
      </c>
      <c r="F1433" s="3">
        <v>0.37921484094323599</v>
      </c>
    </row>
    <row r="1434" spans="1:6" x14ac:dyDescent="0.3">
      <c r="A1434" s="1" t="s">
        <v>5</v>
      </c>
      <c r="B1434" s="1" t="s">
        <v>52</v>
      </c>
      <c r="C1434" s="2" t="s">
        <v>4</v>
      </c>
      <c r="D1434" s="1" t="s">
        <v>6</v>
      </c>
      <c r="E1434" s="1" t="s">
        <v>44</v>
      </c>
      <c r="F1434" s="1">
        <v>20256.449999999899</v>
      </c>
    </row>
    <row r="1435" spans="1:6" x14ac:dyDescent="0.3">
      <c r="A1435" s="3" t="s">
        <v>5</v>
      </c>
      <c r="B1435" s="3" t="s">
        <v>52</v>
      </c>
      <c r="C1435" s="4" t="s">
        <v>4</v>
      </c>
      <c r="D1435" s="3" t="s">
        <v>6</v>
      </c>
      <c r="E1435" s="3" t="s">
        <v>45</v>
      </c>
      <c r="F1435" s="3">
        <v>34445.249999999898</v>
      </c>
    </row>
    <row r="1436" spans="1:6" x14ac:dyDescent="0.3">
      <c r="A1436" s="1" t="s">
        <v>5</v>
      </c>
      <c r="B1436" s="1" t="s">
        <v>52</v>
      </c>
      <c r="C1436" s="2" t="s">
        <v>4</v>
      </c>
      <c r="D1436" s="1" t="s">
        <v>6</v>
      </c>
      <c r="E1436" s="1" t="s">
        <v>47</v>
      </c>
      <c r="F1436" s="1">
        <v>1662.29999999999</v>
      </c>
    </row>
    <row r="1437" spans="1:6" x14ac:dyDescent="0.3">
      <c r="A1437" s="3" t="s">
        <v>5</v>
      </c>
      <c r="B1437" s="3" t="s">
        <v>52</v>
      </c>
      <c r="C1437" s="4" t="s">
        <v>4</v>
      </c>
      <c r="D1437" s="3" t="s">
        <v>6</v>
      </c>
      <c r="E1437" s="3" t="s">
        <v>48</v>
      </c>
      <c r="F1437" s="3">
        <v>12526.5</v>
      </c>
    </row>
    <row r="1438" spans="1:6" x14ac:dyDescent="0.3">
      <c r="A1438" s="1" t="s">
        <v>5</v>
      </c>
      <c r="B1438" s="1" t="s">
        <v>52</v>
      </c>
      <c r="C1438" s="2" t="s">
        <v>4</v>
      </c>
      <c r="D1438" s="1" t="s">
        <v>6</v>
      </c>
      <c r="E1438" s="1" t="s">
        <v>49</v>
      </c>
      <c r="F1438" s="1">
        <v>0.58807673046356101</v>
      </c>
    </row>
    <row r="1439" spans="1:6" x14ac:dyDescent="0.3">
      <c r="A1439" s="3" t="s">
        <v>5</v>
      </c>
      <c r="B1439" s="3" t="s">
        <v>52</v>
      </c>
      <c r="C1439" s="4" t="s">
        <v>4</v>
      </c>
      <c r="D1439" s="3" t="s">
        <v>9</v>
      </c>
      <c r="E1439" s="3" t="s">
        <v>44</v>
      </c>
      <c r="F1439" s="3">
        <v>23252.8499999999</v>
      </c>
    </row>
    <row r="1440" spans="1:6" x14ac:dyDescent="0.3">
      <c r="A1440" s="1" t="s">
        <v>5</v>
      </c>
      <c r="B1440" s="1" t="s">
        <v>52</v>
      </c>
      <c r="C1440" s="2" t="s">
        <v>4</v>
      </c>
      <c r="D1440" s="1" t="s">
        <v>9</v>
      </c>
      <c r="E1440" s="1" t="s">
        <v>45</v>
      </c>
      <c r="F1440" s="1">
        <v>45927</v>
      </c>
    </row>
    <row r="1441" spans="1:6" x14ac:dyDescent="0.3">
      <c r="A1441" s="3" t="s">
        <v>5</v>
      </c>
      <c r="B1441" s="3" t="s">
        <v>52</v>
      </c>
      <c r="C1441" s="4" t="s">
        <v>4</v>
      </c>
      <c r="D1441" s="3" t="s">
        <v>9</v>
      </c>
      <c r="E1441" s="3" t="s">
        <v>47</v>
      </c>
      <c r="F1441" s="3">
        <v>1795.94999999999</v>
      </c>
    </row>
    <row r="1442" spans="1:6" x14ac:dyDescent="0.3">
      <c r="A1442" s="1" t="s">
        <v>5</v>
      </c>
      <c r="B1442" s="1" t="s">
        <v>52</v>
      </c>
      <c r="C1442" s="2" t="s">
        <v>4</v>
      </c>
      <c r="D1442" s="1" t="s">
        <v>9</v>
      </c>
      <c r="E1442" s="1" t="s">
        <v>48</v>
      </c>
      <c r="F1442" s="1">
        <v>20878.2</v>
      </c>
    </row>
    <row r="1443" spans="1:6" x14ac:dyDescent="0.3">
      <c r="A1443" s="3" t="s">
        <v>5</v>
      </c>
      <c r="B1443" s="3" t="s">
        <v>52</v>
      </c>
      <c r="C1443" s="4" t="s">
        <v>4</v>
      </c>
      <c r="D1443" s="3" t="s">
        <v>9</v>
      </c>
      <c r="E1443" s="3" t="s">
        <v>49</v>
      </c>
      <c r="F1443" s="3">
        <v>0.50630021555947402</v>
      </c>
    </row>
    <row r="1444" spans="1:6" x14ac:dyDescent="0.3">
      <c r="A1444" s="1" t="s">
        <v>5</v>
      </c>
      <c r="B1444" s="1" t="s">
        <v>52</v>
      </c>
      <c r="C1444" s="2" t="s">
        <v>4</v>
      </c>
      <c r="D1444" s="1" t="s">
        <v>11</v>
      </c>
      <c r="E1444" s="1" t="s">
        <v>44</v>
      </c>
      <c r="F1444" s="1">
        <v>30093.449999999899</v>
      </c>
    </row>
    <row r="1445" spans="1:6" x14ac:dyDescent="0.3">
      <c r="A1445" s="3" t="s">
        <v>5</v>
      </c>
      <c r="B1445" s="3" t="s">
        <v>52</v>
      </c>
      <c r="C1445" s="4" t="s">
        <v>4</v>
      </c>
      <c r="D1445" s="3" t="s">
        <v>11</v>
      </c>
      <c r="E1445" s="3" t="s">
        <v>45</v>
      </c>
      <c r="F1445" s="3">
        <v>57408.749999999898</v>
      </c>
    </row>
    <row r="1446" spans="1:6" x14ac:dyDescent="0.3">
      <c r="A1446" s="1" t="s">
        <v>5</v>
      </c>
      <c r="B1446" s="1" t="s">
        <v>52</v>
      </c>
      <c r="C1446" s="2" t="s">
        <v>4</v>
      </c>
      <c r="D1446" s="1" t="s">
        <v>11</v>
      </c>
      <c r="E1446" s="1" t="s">
        <v>47</v>
      </c>
      <c r="F1446" s="1">
        <v>2261.25</v>
      </c>
    </row>
    <row r="1447" spans="1:6" x14ac:dyDescent="0.3">
      <c r="A1447" s="3" t="s">
        <v>5</v>
      </c>
      <c r="B1447" s="3" t="s">
        <v>52</v>
      </c>
      <c r="C1447" s="4" t="s">
        <v>4</v>
      </c>
      <c r="D1447" s="3" t="s">
        <v>11</v>
      </c>
      <c r="E1447" s="3" t="s">
        <v>48</v>
      </c>
      <c r="F1447" s="3">
        <v>25054.05</v>
      </c>
    </row>
    <row r="1448" spans="1:6" x14ac:dyDescent="0.3">
      <c r="A1448" s="1" t="s">
        <v>5</v>
      </c>
      <c r="B1448" s="1" t="s">
        <v>52</v>
      </c>
      <c r="C1448" s="2" t="s">
        <v>4</v>
      </c>
      <c r="D1448" s="1" t="s">
        <v>11</v>
      </c>
      <c r="E1448" s="1" t="s">
        <v>49</v>
      </c>
      <c r="F1448" s="1">
        <v>0.52419622444313796</v>
      </c>
    </row>
    <row r="1449" spans="1:6" x14ac:dyDescent="0.3">
      <c r="A1449" s="3" t="s">
        <v>13</v>
      </c>
      <c r="B1449" s="3" t="s">
        <v>43</v>
      </c>
      <c r="C1449" s="4" t="s">
        <v>12</v>
      </c>
      <c r="D1449" s="3" t="s">
        <v>1</v>
      </c>
      <c r="E1449" s="3" t="s">
        <v>44</v>
      </c>
      <c r="F1449" s="3">
        <v>87824.279999999897</v>
      </c>
    </row>
    <row r="1450" spans="1:6" x14ac:dyDescent="0.3">
      <c r="A1450" s="1" t="s">
        <v>13</v>
      </c>
      <c r="B1450" s="1" t="s">
        <v>43</v>
      </c>
      <c r="C1450" s="2" t="s">
        <v>12</v>
      </c>
      <c r="D1450" s="1" t="s">
        <v>1</v>
      </c>
      <c r="E1450" s="1" t="s">
        <v>45</v>
      </c>
      <c r="F1450" s="1">
        <v>93555</v>
      </c>
    </row>
    <row r="1451" spans="1:6" x14ac:dyDescent="0.3">
      <c r="A1451" s="3" t="s">
        <v>13</v>
      </c>
      <c r="B1451" s="3" t="s">
        <v>43</v>
      </c>
      <c r="C1451" s="4" t="s">
        <v>12</v>
      </c>
      <c r="D1451" s="3" t="s">
        <v>1</v>
      </c>
      <c r="E1451" s="3" t="s">
        <v>46</v>
      </c>
      <c r="F1451" s="3">
        <v>2083.1999999999898</v>
      </c>
    </row>
    <row r="1452" spans="1:6" x14ac:dyDescent="0.3">
      <c r="A1452" s="1" t="s">
        <v>13</v>
      </c>
      <c r="B1452" s="1" t="s">
        <v>43</v>
      </c>
      <c r="C1452" s="2" t="s">
        <v>12</v>
      </c>
      <c r="D1452" s="1" t="s">
        <v>1</v>
      </c>
      <c r="E1452" s="1" t="s">
        <v>47</v>
      </c>
      <c r="F1452" s="1">
        <v>47.519999999999897</v>
      </c>
    </row>
    <row r="1453" spans="1:6" x14ac:dyDescent="0.3">
      <c r="A1453" s="3" t="s">
        <v>13</v>
      </c>
      <c r="B1453" s="3" t="s">
        <v>43</v>
      </c>
      <c r="C1453" s="4" t="s">
        <v>12</v>
      </c>
      <c r="D1453" s="3" t="s">
        <v>1</v>
      </c>
      <c r="E1453" s="3" t="s">
        <v>48</v>
      </c>
      <c r="F1453" s="3">
        <v>3599.99999999999</v>
      </c>
    </row>
    <row r="1454" spans="1:6" x14ac:dyDescent="0.3">
      <c r="A1454" s="1" t="s">
        <v>13</v>
      </c>
      <c r="B1454" s="1" t="s">
        <v>43</v>
      </c>
      <c r="C1454" s="2" t="s">
        <v>12</v>
      </c>
      <c r="D1454" s="1" t="s">
        <v>1</v>
      </c>
      <c r="E1454" s="1" t="s">
        <v>49</v>
      </c>
      <c r="F1454" s="1">
        <v>0.93874490941157596</v>
      </c>
    </row>
    <row r="1455" spans="1:6" x14ac:dyDescent="0.3">
      <c r="A1455" s="3" t="s">
        <v>13</v>
      </c>
      <c r="B1455" s="3" t="s">
        <v>43</v>
      </c>
      <c r="C1455" s="4" t="s">
        <v>12</v>
      </c>
      <c r="D1455" s="3" t="s">
        <v>6</v>
      </c>
      <c r="E1455" s="3" t="s">
        <v>44</v>
      </c>
      <c r="F1455" s="3">
        <v>132801.78</v>
      </c>
    </row>
    <row r="1456" spans="1:6" x14ac:dyDescent="0.3">
      <c r="A1456" s="1" t="s">
        <v>13</v>
      </c>
      <c r="B1456" s="1" t="s">
        <v>43</v>
      </c>
      <c r="C1456" s="2" t="s">
        <v>12</v>
      </c>
      <c r="D1456" s="1" t="s">
        <v>6</v>
      </c>
      <c r="E1456" s="1" t="s">
        <v>45</v>
      </c>
      <c r="F1456" s="1">
        <v>140332.5</v>
      </c>
    </row>
    <row r="1457" spans="1:6" x14ac:dyDescent="0.3">
      <c r="A1457" s="3" t="s">
        <v>13</v>
      </c>
      <c r="B1457" s="3" t="s">
        <v>43</v>
      </c>
      <c r="C1457" s="4" t="s">
        <v>12</v>
      </c>
      <c r="D1457" s="3" t="s">
        <v>6</v>
      </c>
      <c r="E1457" s="3" t="s">
        <v>46</v>
      </c>
      <c r="F1457" s="3">
        <v>2083.1999999999898</v>
      </c>
    </row>
    <row r="1458" spans="1:6" x14ac:dyDescent="0.3">
      <c r="A1458" s="1" t="s">
        <v>13</v>
      </c>
      <c r="B1458" s="1" t="s">
        <v>43</v>
      </c>
      <c r="C1458" s="2" t="s">
        <v>12</v>
      </c>
      <c r="D1458" s="1" t="s">
        <v>6</v>
      </c>
      <c r="E1458" s="1" t="s">
        <v>47</v>
      </c>
      <c r="F1458" s="1">
        <v>47.519999999999897</v>
      </c>
    </row>
    <row r="1459" spans="1:6" x14ac:dyDescent="0.3">
      <c r="A1459" s="3" t="s">
        <v>13</v>
      </c>
      <c r="B1459" s="3" t="s">
        <v>43</v>
      </c>
      <c r="C1459" s="4" t="s">
        <v>12</v>
      </c>
      <c r="D1459" s="3" t="s">
        <v>6</v>
      </c>
      <c r="E1459" s="3" t="s">
        <v>48</v>
      </c>
      <c r="F1459" s="3">
        <v>5400</v>
      </c>
    </row>
    <row r="1460" spans="1:6" x14ac:dyDescent="0.3">
      <c r="A1460" s="1" t="s">
        <v>13</v>
      </c>
      <c r="B1460" s="1" t="s">
        <v>43</v>
      </c>
      <c r="C1460" s="2" t="s">
        <v>12</v>
      </c>
      <c r="D1460" s="1" t="s">
        <v>6</v>
      </c>
      <c r="E1460" s="1" t="s">
        <v>49</v>
      </c>
      <c r="F1460" s="1">
        <v>0.94633659344770404</v>
      </c>
    </row>
    <row r="1461" spans="1:6" x14ac:dyDescent="0.3">
      <c r="A1461" s="3" t="s">
        <v>13</v>
      </c>
      <c r="B1461" s="3" t="s">
        <v>43</v>
      </c>
      <c r="C1461" s="4" t="s">
        <v>12</v>
      </c>
      <c r="D1461" s="3" t="s">
        <v>9</v>
      </c>
      <c r="E1461" s="3" t="s">
        <v>44</v>
      </c>
      <c r="F1461" s="3">
        <v>177779.28</v>
      </c>
    </row>
    <row r="1462" spans="1:6" x14ac:dyDescent="0.3">
      <c r="A1462" s="1" t="s">
        <v>13</v>
      </c>
      <c r="B1462" s="1" t="s">
        <v>43</v>
      </c>
      <c r="C1462" s="2" t="s">
        <v>12</v>
      </c>
      <c r="D1462" s="1" t="s">
        <v>9</v>
      </c>
      <c r="E1462" s="1" t="s">
        <v>45</v>
      </c>
      <c r="F1462" s="1">
        <v>187110</v>
      </c>
    </row>
    <row r="1463" spans="1:6" x14ac:dyDescent="0.3">
      <c r="A1463" s="3" t="s">
        <v>13</v>
      </c>
      <c r="B1463" s="3" t="s">
        <v>43</v>
      </c>
      <c r="C1463" s="4" t="s">
        <v>12</v>
      </c>
      <c r="D1463" s="3" t="s">
        <v>9</v>
      </c>
      <c r="E1463" s="3" t="s">
        <v>46</v>
      </c>
      <c r="F1463" s="3">
        <v>2083.1999999999898</v>
      </c>
    </row>
    <row r="1464" spans="1:6" x14ac:dyDescent="0.3">
      <c r="A1464" s="1" t="s">
        <v>13</v>
      </c>
      <c r="B1464" s="1" t="s">
        <v>43</v>
      </c>
      <c r="C1464" s="2" t="s">
        <v>12</v>
      </c>
      <c r="D1464" s="1" t="s">
        <v>9</v>
      </c>
      <c r="E1464" s="1" t="s">
        <v>47</v>
      </c>
      <c r="F1464" s="1">
        <v>47.519999999999897</v>
      </c>
    </row>
    <row r="1465" spans="1:6" x14ac:dyDescent="0.3">
      <c r="A1465" s="3" t="s">
        <v>13</v>
      </c>
      <c r="B1465" s="3" t="s">
        <v>43</v>
      </c>
      <c r="C1465" s="4" t="s">
        <v>12</v>
      </c>
      <c r="D1465" s="3" t="s">
        <v>9</v>
      </c>
      <c r="E1465" s="3" t="s">
        <v>48</v>
      </c>
      <c r="F1465" s="3">
        <v>7199.99999999999</v>
      </c>
    </row>
    <row r="1466" spans="1:6" x14ac:dyDescent="0.3">
      <c r="A1466" s="1" t="s">
        <v>13</v>
      </c>
      <c r="B1466" s="1" t="s">
        <v>43</v>
      </c>
      <c r="C1466" s="2" t="s">
        <v>12</v>
      </c>
      <c r="D1466" s="1" t="s">
        <v>9</v>
      </c>
      <c r="E1466" s="1" t="s">
        <v>49</v>
      </c>
      <c r="F1466" s="1">
        <v>0.95013243546576798</v>
      </c>
    </row>
    <row r="1467" spans="1:6" x14ac:dyDescent="0.3">
      <c r="A1467" s="3" t="s">
        <v>13</v>
      </c>
      <c r="B1467" s="3" t="s">
        <v>43</v>
      </c>
      <c r="C1467" s="4" t="s">
        <v>12</v>
      </c>
      <c r="D1467" s="3" t="s">
        <v>11</v>
      </c>
      <c r="E1467" s="3" t="s">
        <v>44</v>
      </c>
      <c r="F1467" s="3">
        <v>222756.78</v>
      </c>
    </row>
    <row r="1468" spans="1:6" x14ac:dyDescent="0.3">
      <c r="A1468" s="1" t="s">
        <v>13</v>
      </c>
      <c r="B1468" s="1" t="s">
        <v>43</v>
      </c>
      <c r="C1468" s="2" t="s">
        <v>12</v>
      </c>
      <c r="D1468" s="1" t="s">
        <v>11</v>
      </c>
      <c r="E1468" s="1" t="s">
        <v>45</v>
      </c>
      <c r="F1468" s="1">
        <v>233887.5</v>
      </c>
    </row>
    <row r="1469" spans="1:6" x14ac:dyDescent="0.3">
      <c r="A1469" s="3" t="s">
        <v>13</v>
      </c>
      <c r="B1469" s="3" t="s">
        <v>43</v>
      </c>
      <c r="C1469" s="4" t="s">
        <v>12</v>
      </c>
      <c r="D1469" s="3" t="s">
        <v>11</v>
      </c>
      <c r="E1469" s="3" t="s">
        <v>46</v>
      </c>
      <c r="F1469" s="3">
        <v>2083.1999999999898</v>
      </c>
    </row>
    <row r="1470" spans="1:6" x14ac:dyDescent="0.3">
      <c r="A1470" s="1" t="s">
        <v>13</v>
      </c>
      <c r="B1470" s="1" t="s">
        <v>43</v>
      </c>
      <c r="C1470" s="2" t="s">
        <v>12</v>
      </c>
      <c r="D1470" s="1" t="s">
        <v>11</v>
      </c>
      <c r="E1470" s="1" t="s">
        <v>47</v>
      </c>
      <c r="F1470" s="1">
        <v>47.519999999999897</v>
      </c>
    </row>
    <row r="1471" spans="1:6" x14ac:dyDescent="0.3">
      <c r="A1471" s="3" t="s">
        <v>13</v>
      </c>
      <c r="B1471" s="3" t="s">
        <v>43</v>
      </c>
      <c r="C1471" s="4" t="s">
        <v>12</v>
      </c>
      <c r="D1471" s="3" t="s">
        <v>11</v>
      </c>
      <c r="E1471" s="3" t="s">
        <v>48</v>
      </c>
      <c r="F1471" s="3">
        <v>8999.9999999999909</v>
      </c>
    </row>
    <row r="1472" spans="1:6" x14ac:dyDescent="0.3">
      <c r="A1472" s="1" t="s">
        <v>13</v>
      </c>
      <c r="B1472" s="1" t="s">
        <v>43</v>
      </c>
      <c r="C1472" s="2" t="s">
        <v>12</v>
      </c>
      <c r="D1472" s="1" t="s">
        <v>11</v>
      </c>
      <c r="E1472" s="1" t="s">
        <v>49</v>
      </c>
      <c r="F1472" s="1">
        <v>0.952409940676607</v>
      </c>
    </row>
    <row r="1473" spans="1:6" x14ac:dyDescent="0.3">
      <c r="A1473" s="3" t="s">
        <v>13</v>
      </c>
      <c r="B1473" s="3" t="s">
        <v>43</v>
      </c>
      <c r="C1473" s="4" t="s">
        <v>12</v>
      </c>
      <c r="D1473" s="3" t="s">
        <v>1</v>
      </c>
      <c r="E1473" s="3" t="s">
        <v>0</v>
      </c>
      <c r="F1473" s="3">
        <v>26</v>
      </c>
    </row>
    <row r="1474" spans="1:6" x14ac:dyDescent="0.3">
      <c r="A1474" s="1" t="s">
        <v>13</v>
      </c>
      <c r="B1474" s="1" t="s">
        <v>43</v>
      </c>
      <c r="C1474" s="2" t="s">
        <v>12</v>
      </c>
      <c r="D1474" s="1" t="s">
        <v>1</v>
      </c>
      <c r="E1474" s="1" t="s">
        <v>44</v>
      </c>
      <c r="F1474" s="1">
        <v>12848</v>
      </c>
    </row>
    <row r="1475" spans="1:6" x14ac:dyDescent="0.3">
      <c r="A1475" s="3" t="s">
        <v>13</v>
      </c>
      <c r="B1475" s="3" t="s">
        <v>43</v>
      </c>
      <c r="C1475" s="4" t="s">
        <v>12</v>
      </c>
      <c r="D1475" s="3" t="s">
        <v>1</v>
      </c>
      <c r="E1475" s="3" t="s">
        <v>45</v>
      </c>
      <c r="F1475" s="3">
        <v>12848</v>
      </c>
    </row>
    <row r="1476" spans="1:6" x14ac:dyDescent="0.3">
      <c r="A1476" s="1" t="s">
        <v>13</v>
      </c>
      <c r="B1476" s="1" t="s">
        <v>43</v>
      </c>
      <c r="C1476" s="2" t="s">
        <v>12</v>
      </c>
      <c r="D1476" s="1" t="s">
        <v>1</v>
      </c>
      <c r="E1476" s="1" t="s">
        <v>49</v>
      </c>
      <c r="F1476" s="1">
        <v>1</v>
      </c>
    </row>
    <row r="1477" spans="1:6" x14ac:dyDescent="0.3">
      <c r="A1477" s="3" t="s">
        <v>13</v>
      </c>
      <c r="B1477" s="3" t="s">
        <v>43</v>
      </c>
      <c r="C1477" s="4" t="s">
        <v>12</v>
      </c>
      <c r="D1477" s="3" t="s">
        <v>6</v>
      </c>
      <c r="E1477" s="3" t="s">
        <v>0</v>
      </c>
      <c r="F1477" s="3">
        <v>24</v>
      </c>
    </row>
    <row r="1478" spans="1:6" x14ac:dyDescent="0.3">
      <c r="A1478" s="1" t="s">
        <v>13</v>
      </c>
      <c r="B1478" s="1" t="s">
        <v>43</v>
      </c>
      <c r="C1478" s="2" t="s">
        <v>12</v>
      </c>
      <c r="D1478" s="1" t="s">
        <v>6</v>
      </c>
      <c r="E1478" s="1" t="s">
        <v>44</v>
      </c>
      <c r="F1478" s="1">
        <v>7940</v>
      </c>
    </row>
    <row r="1479" spans="1:6" x14ac:dyDescent="0.3">
      <c r="A1479" s="3" t="s">
        <v>13</v>
      </c>
      <c r="B1479" s="3" t="s">
        <v>43</v>
      </c>
      <c r="C1479" s="4" t="s">
        <v>12</v>
      </c>
      <c r="D1479" s="3" t="s">
        <v>6</v>
      </c>
      <c r="E1479" s="3" t="s">
        <v>45</v>
      </c>
      <c r="F1479" s="3">
        <v>7940</v>
      </c>
    </row>
    <row r="1480" spans="1:6" x14ac:dyDescent="0.3">
      <c r="A1480" s="1" t="s">
        <v>13</v>
      </c>
      <c r="B1480" s="1" t="s">
        <v>43</v>
      </c>
      <c r="C1480" s="2" t="s">
        <v>12</v>
      </c>
      <c r="D1480" s="1" t="s">
        <v>6</v>
      </c>
      <c r="E1480" s="1" t="s">
        <v>49</v>
      </c>
      <c r="F1480" s="1">
        <v>1</v>
      </c>
    </row>
    <row r="1481" spans="1:6" x14ac:dyDescent="0.3">
      <c r="A1481" s="3" t="s">
        <v>13</v>
      </c>
      <c r="B1481" s="3" t="s">
        <v>43</v>
      </c>
      <c r="C1481" s="4" t="s">
        <v>12</v>
      </c>
      <c r="D1481" s="3" t="s">
        <v>9</v>
      </c>
      <c r="E1481" s="3" t="s">
        <v>0</v>
      </c>
      <c r="F1481" s="3">
        <v>40.798497672331699</v>
      </c>
    </row>
    <row r="1482" spans="1:6" x14ac:dyDescent="0.3">
      <c r="A1482" s="1" t="s">
        <v>13</v>
      </c>
      <c r="B1482" s="1" t="s">
        <v>43</v>
      </c>
      <c r="C1482" s="2" t="s">
        <v>12</v>
      </c>
      <c r="D1482" s="1" t="s">
        <v>9</v>
      </c>
      <c r="E1482" s="1" t="s">
        <v>44</v>
      </c>
      <c r="F1482" s="1">
        <v>14291</v>
      </c>
    </row>
    <row r="1483" spans="1:6" x14ac:dyDescent="0.3">
      <c r="A1483" s="3" t="s">
        <v>13</v>
      </c>
      <c r="B1483" s="3" t="s">
        <v>43</v>
      </c>
      <c r="C1483" s="4" t="s">
        <v>12</v>
      </c>
      <c r="D1483" s="3" t="s">
        <v>9</v>
      </c>
      <c r="E1483" s="3" t="s">
        <v>45</v>
      </c>
      <c r="F1483" s="3">
        <v>14291</v>
      </c>
    </row>
    <row r="1484" spans="1:6" x14ac:dyDescent="0.3">
      <c r="A1484" s="1" t="s">
        <v>13</v>
      </c>
      <c r="B1484" s="1" t="s">
        <v>43</v>
      </c>
      <c r="C1484" s="2" t="s">
        <v>12</v>
      </c>
      <c r="D1484" s="1" t="s">
        <v>9</v>
      </c>
      <c r="E1484" s="1" t="s">
        <v>49</v>
      </c>
      <c r="F1484" s="1">
        <v>1</v>
      </c>
    </row>
    <row r="1485" spans="1:6" x14ac:dyDescent="0.3">
      <c r="A1485" s="3" t="s">
        <v>13</v>
      </c>
      <c r="B1485" s="3" t="s">
        <v>43</v>
      </c>
      <c r="C1485" s="4" t="s">
        <v>12</v>
      </c>
      <c r="D1485" s="3" t="s">
        <v>11</v>
      </c>
      <c r="E1485" s="3" t="s">
        <v>0</v>
      </c>
      <c r="F1485" s="3">
        <v>37.657534364528999</v>
      </c>
    </row>
    <row r="1486" spans="1:6" x14ac:dyDescent="0.3">
      <c r="A1486" s="1" t="s">
        <v>13</v>
      </c>
      <c r="B1486" s="1" t="s">
        <v>43</v>
      </c>
      <c r="C1486" s="2" t="s">
        <v>12</v>
      </c>
      <c r="D1486" s="1" t="s">
        <v>11</v>
      </c>
      <c r="E1486" s="1" t="s">
        <v>44</v>
      </c>
      <c r="F1486" s="1">
        <v>18287</v>
      </c>
    </row>
    <row r="1487" spans="1:6" x14ac:dyDescent="0.3">
      <c r="A1487" s="3" t="s">
        <v>13</v>
      </c>
      <c r="B1487" s="3" t="s">
        <v>43</v>
      </c>
      <c r="C1487" s="4" t="s">
        <v>12</v>
      </c>
      <c r="D1487" s="3" t="s">
        <v>11</v>
      </c>
      <c r="E1487" s="3" t="s">
        <v>45</v>
      </c>
      <c r="F1487" s="3">
        <v>18287</v>
      </c>
    </row>
    <row r="1488" spans="1:6" x14ac:dyDescent="0.3">
      <c r="A1488" s="1" t="s">
        <v>13</v>
      </c>
      <c r="B1488" s="1" t="s">
        <v>43</v>
      </c>
      <c r="C1488" s="2" t="s">
        <v>12</v>
      </c>
      <c r="D1488" s="1" t="s">
        <v>11</v>
      </c>
      <c r="E1488" s="1" t="s">
        <v>49</v>
      </c>
      <c r="F1488" s="1">
        <v>1</v>
      </c>
    </row>
    <row r="1489" spans="1:6" x14ac:dyDescent="0.3">
      <c r="A1489" s="3" t="s">
        <v>13</v>
      </c>
      <c r="B1489" s="3" t="s">
        <v>43</v>
      </c>
      <c r="C1489" s="4" t="s">
        <v>12</v>
      </c>
      <c r="D1489" s="3" t="s">
        <v>1</v>
      </c>
      <c r="E1489" s="3" t="s">
        <v>0</v>
      </c>
      <c r="F1489" s="3">
        <v>1</v>
      </c>
    </row>
    <row r="1490" spans="1:6" x14ac:dyDescent="0.3">
      <c r="A1490" s="1" t="s">
        <v>13</v>
      </c>
      <c r="B1490" s="1" t="s">
        <v>43</v>
      </c>
      <c r="C1490" s="2" t="s">
        <v>12</v>
      </c>
      <c r="D1490" s="1" t="s">
        <v>1</v>
      </c>
      <c r="E1490" s="1" t="s">
        <v>44</v>
      </c>
      <c r="F1490" s="1">
        <v>31333.1699999999</v>
      </c>
    </row>
    <row r="1491" spans="1:6" x14ac:dyDescent="0.3">
      <c r="A1491" s="3" t="s">
        <v>13</v>
      </c>
      <c r="B1491" s="3" t="s">
        <v>43</v>
      </c>
      <c r="C1491" s="4" t="s">
        <v>12</v>
      </c>
      <c r="D1491" s="3" t="s">
        <v>1</v>
      </c>
      <c r="E1491" s="3" t="s">
        <v>45</v>
      </c>
      <c r="F1491" s="3">
        <v>43035.299999999901</v>
      </c>
    </row>
    <row r="1492" spans="1:6" x14ac:dyDescent="0.3">
      <c r="A1492" s="1" t="s">
        <v>13</v>
      </c>
      <c r="B1492" s="1" t="s">
        <v>43</v>
      </c>
      <c r="C1492" s="2" t="s">
        <v>12</v>
      </c>
      <c r="D1492" s="1" t="s">
        <v>1</v>
      </c>
      <c r="E1492" s="1" t="s">
        <v>46</v>
      </c>
      <c r="F1492" s="1">
        <v>933.44999999999902</v>
      </c>
    </row>
    <row r="1493" spans="1:6" x14ac:dyDescent="0.3">
      <c r="A1493" s="3" t="s">
        <v>13</v>
      </c>
      <c r="B1493" s="3" t="s">
        <v>43</v>
      </c>
      <c r="C1493" s="4" t="s">
        <v>12</v>
      </c>
      <c r="D1493" s="3" t="s">
        <v>1</v>
      </c>
      <c r="E1493" s="3" t="s">
        <v>47</v>
      </c>
      <c r="F1493" s="3">
        <v>31.68</v>
      </c>
    </row>
    <row r="1494" spans="1:6" x14ac:dyDescent="0.3">
      <c r="A1494" s="1" t="s">
        <v>13</v>
      </c>
      <c r="B1494" s="1" t="s">
        <v>43</v>
      </c>
      <c r="C1494" s="2" t="s">
        <v>12</v>
      </c>
      <c r="D1494" s="1" t="s">
        <v>1</v>
      </c>
      <c r="E1494" s="1" t="s">
        <v>48</v>
      </c>
      <c r="F1494" s="1">
        <v>10737</v>
      </c>
    </row>
    <row r="1495" spans="1:6" x14ac:dyDescent="0.3">
      <c r="A1495" s="3" t="s">
        <v>13</v>
      </c>
      <c r="B1495" s="3" t="s">
        <v>43</v>
      </c>
      <c r="C1495" s="4" t="s">
        <v>12</v>
      </c>
      <c r="D1495" s="3" t="s">
        <v>1</v>
      </c>
      <c r="E1495" s="3" t="s">
        <v>49</v>
      </c>
      <c r="F1495" s="3">
        <v>0.72808066866037802</v>
      </c>
    </row>
    <row r="1496" spans="1:6" x14ac:dyDescent="0.3">
      <c r="A1496" s="1" t="s">
        <v>13</v>
      </c>
      <c r="B1496" s="1" t="s">
        <v>43</v>
      </c>
      <c r="C1496" s="2" t="s">
        <v>12</v>
      </c>
      <c r="D1496" s="1" t="s">
        <v>6</v>
      </c>
      <c r="E1496" s="1" t="s">
        <v>44</v>
      </c>
      <c r="F1496" s="1">
        <v>30399.72</v>
      </c>
    </row>
    <row r="1497" spans="1:6" x14ac:dyDescent="0.3">
      <c r="A1497" s="3" t="s">
        <v>13</v>
      </c>
      <c r="B1497" s="3" t="s">
        <v>43</v>
      </c>
      <c r="C1497" s="4" t="s">
        <v>12</v>
      </c>
      <c r="D1497" s="3" t="s">
        <v>6</v>
      </c>
      <c r="E1497" s="3" t="s">
        <v>45</v>
      </c>
      <c r="F1497" s="3">
        <v>43035.299999999901</v>
      </c>
    </row>
    <row r="1498" spans="1:6" x14ac:dyDescent="0.3">
      <c r="A1498" s="1" t="s">
        <v>13</v>
      </c>
      <c r="B1498" s="1" t="s">
        <v>43</v>
      </c>
      <c r="C1498" s="2" t="s">
        <v>12</v>
      </c>
      <c r="D1498" s="1" t="s">
        <v>6</v>
      </c>
      <c r="E1498" s="1" t="s">
        <v>46</v>
      </c>
      <c r="F1498" s="1">
        <v>1866.8999999999901</v>
      </c>
    </row>
    <row r="1499" spans="1:6" x14ac:dyDescent="0.3">
      <c r="A1499" s="3" t="s">
        <v>13</v>
      </c>
      <c r="B1499" s="3" t="s">
        <v>43</v>
      </c>
      <c r="C1499" s="4" t="s">
        <v>12</v>
      </c>
      <c r="D1499" s="3" t="s">
        <v>6</v>
      </c>
      <c r="E1499" s="3" t="s">
        <v>47</v>
      </c>
      <c r="F1499" s="3">
        <v>31.68</v>
      </c>
    </row>
    <row r="1500" spans="1:6" x14ac:dyDescent="0.3">
      <c r="A1500" s="1" t="s">
        <v>13</v>
      </c>
      <c r="B1500" s="1" t="s">
        <v>43</v>
      </c>
      <c r="C1500" s="2" t="s">
        <v>12</v>
      </c>
      <c r="D1500" s="1" t="s">
        <v>6</v>
      </c>
      <c r="E1500" s="1" t="s">
        <v>48</v>
      </c>
      <c r="F1500" s="1">
        <v>10737</v>
      </c>
    </row>
    <row r="1501" spans="1:6" x14ac:dyDescent="0.3">
      <c r="A1501" s="3" t="s">
        <v>13</v>
      </c>
      <c r="B1501" s="3" t="s">
        <v>43</v>
      </c>
      <c r="C1501" s="4" t="s">
        <v>12</v>
      </c>
      <c r="D1501" s="3" t="s">
        <v>6</v>
      </c>
      <c r="E1501" s="3" t="s">
        <v>49</v>
      </c>
      <c r="F1501" s="3">
        <v>0.70639033537584195</v>
      </c>
    </row>
    <row r="1502" spans="1:6" x14ac:dyDescent="0.3">
      <c r="A1502" s="1" t="s">
        <v>13</v>
      </c>
      <c r="B1502" s="1" t="s">
        <v>43</v>
      </c>
      <c r="C1502" s="2" t="s">
        <v>12</v>
      </c>
      <c r="D1502" s="1" t="s">
        <v>9</v>
      </c>
      <c r="E1502" s="1" t="s">
        <v>44</v>
      </c>
      <c r="F1502" s="1">
        <v>51931.319999999898</v>
      </c>
    </row>
    <row r="1503" spans="1:6" x14ac:dyDescent="0.3">
      <c r="A1503" s="3" t="s">
        <v>13</v>
      </c>
      <c r="B1503" s="3" t="s">
        <v>43</v>
      </c>
      <c r="C1503" s="4" t="s">
        <v>12</v>
      </c>
      <c r="D1503" s="3" t="s">
        <v>9</v>
      </c>
      <c r="E1503" s="3" t="s">
        <v>45</v>
      </c>
      <c r="F1503" s="3">
        <v>71725.5</v>
      </c>
    </row>
    <row r="1504" spans="1:6" x14ac:dyDescent="0.3">
      <c r="A1504" s="1" t="s">
        <v>13</v>
      </c>
      <c r="B1504" s="1" t="s">
        <v>43</v>
      </c>
      <c r="C1504" s="2" t="s">
        <v>12</v>
      </c>
      <c r="D1504" s="1" t="s">
        <v>9</v>
      </c>
      <c r="E1504" s="1" t="s">
        <v>46</v>
      </c>
      <c r="F1504" s="1">
        <v>1866.8999999999901</v>
      </c>
    </row>
    <row r="1505" spans="1:6" x14ac:dyDescent="0.3">
      <c r="A1505" s="3" t="s">
        <v>13</v>
      </c>
      <c r="B1505" s="3" t="s">
        <v>43</v>
      </c>
      <c r="C1505" s="4" t="s">
        <v>12</v>
      </c>
      <c r="D1505" s="3" t="s">
        <v>9</v>
      </c>
      <c r="E1505" s="3" t="s">
        <v>47</v>
      </c>
      <c r="F1505" s="3">
        <v>31.68</v>
      </c>
    </row>
    <row r="1506" spans="1:6" x14ac:dyDescent="0.3">
      <c r="A1506" s="1" t="s">
        <v>13</v>
      </c>
      <c r="B1506" s="1" t="s">
        <v>43</v>
      </c>
      <c r="C1506" s="2" t="s">
        <v>12</v>
      </c>
      <c r="D1506" s="1" t="s">
        <v>9</v>
      </c>
      <c r="E1506" s="1" t="s">
        <v>48</v>
      </c>
      <c r="F1506" s="1">
        <v>17895.5999999999</v>
      </c>
    </row>
    <row r="1507" spans="1:6" x14ac:dyDescent="0.3">
      <c r="A1507" s="3" t="s">
        <v>13</v>
      </c>
      <c r="B1507" s="3" t="s">
        <v>43</v>
      </c>
      <c r="C1507" s="4" t="s">
        <v>12</v>
      </c>
      <c r="D1507" s="3" t="s">
        <v>9</v>
      </c>
      <c r="E1507" s="3" t="s">
        <v>49</v>
      </c>
      <c r="F1507" s="3">
        <v>0.724028692724344</v>
      </c>
    </row>
    <row r="1508" spans="1:6" x14ac:dyDescent="0.3">
      <c r="A1508" s="1" t="s">
        <v>13</v>
      </c>
      <c r="B1508" s="1" t="s">
        <v>43</v>
      </c>
      <c r="C1508" s="2" t="s">
        <v>12</v>
      </c>
      <c r="D1508" s="1" t="s">
        <v>11</v>
      </c>
      <c r="E1508" s="1" t="s">
        <v>44</v>
      </c>
      <c r="F1508" s="1">
        <v>62697.119999999901</v>
      </c>
    </row>
    <row r="1509" spans="1:6" x14ac:dyDescent="0.3">
      <c r="A1509" s="3" t="s">
        <v>13</v>
      </c>
      <c r="B1509" s="3" t="s">
        <v>43</v>
      </c>
      <c r="C1509" s="4" t="s">
        <v>12</v>
      </c>
      <c r="D1509" s="3" t="s">
        <v>11</v>
      </c>
      <c r="E1509" s="3" t="s">
        <v>45</v>
      </c>
      <c r="F1509" s="3">
        <v>86070.599999999904</v>
      </c>
    </row>
    <row r="1510" spans="1:6" x14ac:dyDescent="0.3">
      <c r="A1510" s="1" t="s">
        <v>13</v>
      </c>
      <c r="B1510" s="1" t="s">
        <v>43</v>
      </c>
      <c r="C1510" s="2" t="s">
        <v>12</v>
      </c>
      <c r="D1510" s="1" t="s">
        <v>11</v>
      </c>
      <c r="E1510" s="1" t="s">
        <v>46</v>
      </c>
      <c r="F1510" s="1">
        <v>1866.8999999999901</v>
      </c>
    </row>
    <row r="1511" spans="1:6" x14ac:dyDescent="0.3">
      <c r="A1511" s="3" t="s">
        <v>13</v>
      </c>
      <c r="B1511" s="3" t="s">
        <v>43</v>
      </c>
      <c r="C1511" s="4" t="s">
        <v>12</v>
      </c>
      <c r="D1511" s="3" t="s">
        <v>11</v>
      </c>
      <c r="E1511" s="3" t="s">
        <v>47</v>
      </c>
      <c r="F1511" s="3">
        <v>31.68</v>
      </c>
    </row>
    <row r="1512" spans="1:6" x14ac:dyDescent="0.3">
      <c r="A1512" s="1" t="s">
        <v>13</v>
      </c>
      <c r="B1512" s="1" t="s">
        <v>43</v>
      </c>
      <c r="C1512" s="2" t="s">
        <v>12</v>
      </c>
      <c r="D1512" s="1" t="s">
        <v>11</v>
      </c>
      <c r="E1512" s="1" t="s">
        <v>48</v>
      </c>
      <c r="F1512" s="1">
        <v>21474.8999999999</v>
      </c>
    </row>
    <row r="1513" spans="1:6" x14ac:dyDescent="0.3">
      <c r="A1513" s="3" t="s">
        <v>13</v>
      </c>
      <c r="B1513" s="3" t="s">
        <v>43</v>
      </c>
      <c r="C1513" s="4" t="s">
        <v>12</v>
      </c>
      <c r="D1513" s="3" t="s">
        <v>11</v>
      </c>
      <c r="E1513" s="3" t="s">
        <v>49</v>
      </c>
      <c r="F1513" s="3">
        <v>0.72843828206146999</v>
      </c>
    </row>
    <row r="1514" spans="1:6" x14ac:dyDescent="0.3">
      <c r="A1514" s="1" t="s">
        <v>13</v>
      </c>
      <c r="B1514" s="1" t="s">
        <v>43</v>
      </c>
      <c r="C1514" s="2" t="s">
        <v>12</v>
      </c>
      <c r="D1514" s="1" t="s">
        <v>1</v>
      </c>
      <c r="E1514" s="1" t="s">
        <v>44</v>
      </c>
      <c r="F1514" s="1">
        <v>70779.679999999993</v>
      </c>
    </row>
    <row r="1515" spans="1:6" x14ac:dyDescent="0.3">
      <c r="A1515" s="3" t="s">
        <v>13</v>
      </c>
      <c r="B1515" s="3" t="s">
        <v>43</v>
      </c>
      <c r="C1515" s="4" t="s">
        <v>12</v>
      </c>
      <c r="D1515" s="3" t="s">
        <v>1</v>
      </c>
      <c r="E1515" s="3" t="s">
        <v>45</v>
      </c>
      <c r="F1515" s="3">
        <v>93555</v>
      </c>
    </row>
    <row r="1516" spans="1:6" x14ac:dyDescent="0.3">
      <c r="A1516" s="1" t="s">
        <v>13</v>
      </c>
      <c r="B1516" s="1" t="s">
        <v>43</v>
      </c>
      <c r="C1516" s="2" t="s">
        <v>12</v>
      </c>
      <c r="D1516" s="1" t="s">
        <v>1</v>
      </c>
      <c r="E1516" s="1" t="s">
        <v>47</v>
      </c>
      <c r="F1516" s="1">
        <v>1300.4199999999901</v>
      </c>
    </row>
    <row r="1517" spans="1:6" x14ac:dyDescent="0.3">
      <c r="A1517" s="3" t="s">
        <v>13</v>
      </c>
      <c r="B1517" s="3" t="s">
        <v>43</v>
      </c>
      <c r="C1517" s="4" t="s">
        <v>12</v>
      </c>
      <c r="D1517" s="3" t="s">
        <v>1</v>
      </c>
      <c r="E1517" s="3" t="s">
        <v>48</v>
      </c>
      <c r="F1517" s="3">
        <v>21474.8999999999</v>
      </c>
    </row>
    <row r="1518" spans="1:6" x14ac:dyDescent="0.3">
      <c r="A1518" s="1" t="s">
        <v>13</v>
      </c>
      <c r="B1518" s="1" t="s">
        <v>43</v>
      </c>
      <c r="C1518" s="2" t="s">
        <v>12</v>
      </c>
      <c r="D1518" s="1" t="s">
        <v>1</v>
      </c>
      <c r="E1518" s="1" t="s">
        <v>49</v>
      </c>
      <c r="F1518" s="1">
        <v>0.756556891668002</v>
      </c>
    </row>
    <row r="1519" spans="1:6" x14ac:dyDescent="0.3">
      <c r="A1519" s="3" t="s">
        <v>13</v>
      </c>
      <c r="B1519" s="3" t="s">
        <v>43</v>
      </c>
      <c r="C1519" s="4" t="s">
        <v>12</v>
      </c>
      <c r="D1519" s="3" t="s">
        <v>6</v>
      </c>
      <c r="E1519" s="3" t="s">
        <v>44</v>
      </c>
      <c r="F1519" s="3">
        <v>70829.62</v>
      </c>
    </row>
    <row r="1520" spans="1:6" x14ac:dyDescent="0.3">
      <c r="A1520" s="1" t="s">
        <v>13</v>
      </c>
      <c r="B1520" s="1" t="s">
        <v>43</v>
      </c>
      <c r="C1520" s="2" t="s">
        <v>12</v>
      </c>
      <c r="D1520" s="1" t="s">
        <v>6</v>
      </c>
      <c r="E1520" s="1" t="s">
        <v>45</v>
      </c>
      <c r="F1520" s="1">
        <v>93555</v>
      </c>
    </row>
    <row r="1521" spans="1:6" x14ac:dyDescent="0.3">
      <c r="A1521" s="3" t="s">
        <v>13</v>
      </c>
      <c r="B1521" s="3" t="s">
        <v>43</v>
      </c>
      <c r="C1521" s="4" t="s">
        <v>12</v>
      </c>
      <c r="D1521" s="3" t="s">
        <v>6</v>
      </c>
      <c r="E1521" s="3" t="s">
        <v>47</v>
      </c>
      <c r="F1521" s="3">
        <v>1250.48</v>
      </c>
    </row>
    <row r="1522" spans="1:6" x14ac:dyDescent="0.3">
      <c r="A1522" s="1" t="s">
        <v>13</v>
      </c>
      <c r="B1522" s="1" t="s">
        <v>43</v>
      </c>
      <c r="C1522" s="2" t="s">
        <v>12</v>
      </c>
      <c r="D1522" s="1" t="s">
        <v>6</v>
      </c>
      <c r="E1522" s="1" t="s">
        <v>48</v>
      </c>
      <c r="F1522" s="1">
        <v>21474.8999999999</v>
      </c>
    </row>
    <row r="1523" spans="1:6" x14ac:dyDescent="0.3">
      <c r="A1523" s="3" t="s">
        <v>13</v>
      </c>
      <c r="B1523" s="3" t="s">
        <v>43</v>
      </c>
      <c r="C1523" s="4" t="s">
        <v>12</v>
      </c>
      <c r="D1523" s="3" t="s">
        <v>6</v>
      </c>
      <c r="E1523" s="3" t="s">
        <v>49</v>
      </c>
      <c r="F1523" s="3">
        <v>0.75709069531291695</v>
      </c>
    </row>
    <row r="1524" spans="1:6" x14ac:dyDescent="0.3">
      <c r="A1524" s="1" t="s">
        <v>13</v>
      </c>
      <c r="B1524" s="1" t="s">
        <v>43</v>
      </c>
      <c r="C1524" s="2" t="s">
        <v>12</v>
      </c>
      <c r="D1524" s="1" t="s">
        <v>9</v>
      </c>
      <c r="E1524" s="1" t="s">
        <v>44</v>
      </c>
      <c r="F1524" s="1">
        <v>70729.3</v>
      </c>
    </row>
    <row r="1525" spans="1:6" x14ac:dyDescent="0.3">
      <c r="A1525" s="3" t="s">
        <v>13</v>
      </c>
      <c r="B1525" s="3" t="s">
        <v>43</v>
      </c>
      <c r="C1525" s="4" t="s">
        <v>12</v>
      </c>
      <c r="D1525" s="3" t="s">
        <v>9</v>
      </c>
      <c r="E1525" s="3" t="s">
        <v>45</v>
      </c>
      <c r="F1525" s="3">
        <v>93555</v>
      </c>
    </row>
    <row r="1526" spans="1:6" x14ac:dyDescent="0.3">
      <c r="A1526" s="1" t="s">
        <v>13</v>
      </c>
      <c r="B1526" s="1" t="s">
        <v>43</v>
      </c>
      <c r="C1526" s="2" t="s">
        <v>12</v>
      </c>
      <c r="D1526" s="1" t="s">
        <v>9</v>
      </c>
      <c r="E1526" s="1" t="s">
        <v>47</v>
      </c>
      <c r="F1526" s="1">
        <v>1350.8</v>
      </c>
    </row>
    <row r="1527" spans="1:6" x14ac:dyDescent="0.3">
      <c r="A1527" s="3" t="s">
        <v>13</v>
      </c>
      <c r="B1527" s="3" t="s">
        <v>43</v>
      </c>
      <c r="C1527" s="4" t="s">
        <v>12</v>
      </c>
      <c r="D1527" s="3" t="s">
        <v>9</v>
      </c>
      <c r="E1527" s="3" t="s">
        <v>48</v>
      </c>
      <c r="F1527" s="3">
        <v>21474.8999999999</v>
      </c>
    </row>
    <row r="1528" spans="1:6" x14ac:dyDescent="0.3">
      <c r="A1528" s="1" t="s">
        <v>13</v>
      </c>
      <c r="B1528" s="1" t="s">
        <v>43</v>
      </c>
      <c r="C1528" s="2" t="s">
        <v>12</v>
      </c>
      <c r="D1528" s="1" t="s">
        <v>9</v>
      </c>
      <c r="E1528" s="1" t="s">
        <v>49</v>
      </c>
      <c r="F1528" s="1">
        <v>0.75601838490727302</v>
      </c>
    </row>
    <row r="1529" spans="1:6" x14ac:dyDescent="0.3">
      <c r="A1529" s="3" t="s">
        <v>13</v>
      </c>
      <c r="B1529" s="3" t="s">
        <v>43</v>
      </c>
      <c r="C1529" s="4" t="s">
        <v>12</v>
      </c>
      <c r="D1529" s="3" t="s">
        <v>11</v>
      </c>
      <c r="E1529" s="3" t="s">
        <v>44</v>
      </c>
      <c r="F1529" s="3">
        <v>70379.5</v>
      </c>
    </row>
    <row r="1530" spans="1:6" x14ac:dyDescent="0.3">
      <c r="A1530" s="1" t="s">
        <v>13</v>
      </c>
      <c r="B1530" s="1" t="s">
        <v>43</v>
      </c>
      <c r="C1530" s="2" t="s">
        <v>12</v>
      </c>
      <c r="D1530" s="1" t="s">
        <v>11</v>
      </c>
      <c r="E1530" s="1" t="s">
        <v>45</v>
      </c>
      <c r="F1530" s="1">
        <v>93555</v>
      </c>
    </row>
    <row r="1531" spans="1:6" x14ac:dyDescent="0.3">
      <c r="A1531" s="3" t="s">
        <v>13</v>
      </c>
      <c r="B1531" s="3" t="s">
        <v>43</v>
      </c>
      <c r="C1531" s="4" t="s">
        <v>12</v>
      </c>
      <c r="D1531" s="3" t="s">
        <v>11</v>
      </c>
      <c r="E1531" s="3" t="s">
        <v>47</v>
      </c>
      <c r="F1531" s="3">
        <v>1700.5999999999899</v>
      </c>
    </row>
    <row r="1532" spans="1:6" x14ac:dyDescent="0.3">
      <c r="A1532" s="1" t="s">
        <v>13</v>
      </c>
      <c r="B1532" s="1" t="s">
        <v>43</v>
      </c>
      <c r="C1532" s="2" t="s">
        <v>12</v>
      </c>
      <c r="D1532" s="1" t="s">
        <v>11</v>
      </c>
      <c r="E1532" s="1" t="s">
        <v>48</v>
      </c>
      <c r="F1532" s="1">
        <v>21474.8999999999</v>
      </c>
    </row>
    <row r="1533" spans="1:6" x14ac:dyDescent="0.3">
      <c r="A1533" s="3" t="s">
        <v>13</v>
      </c>
      <c r="B1533" s="3" t="s">
        <v>43</v>
      </c>
      <c r="C1533" s="4" t="s">
        <v>12</v>
      </c>
      <c r="D1533" s="3" t="s">
        <v>11</v>
      </c>
      <c r="E1533" s="3" t="s">
        <v>49</v>
      </c>
      <c r="F1533" s="3">
        <v>0.75227940783496305</v>
      </c>
    </row>
    <row r="1534" spans="1:6" x14ac:dyDescent="0.3">
      <c r="A1534" s="1" t="s">
        <v>13</v>
      </c>
      <c r="B1534" s="1" t="s">
        <v>43</v>
      </c>
      <c r="C1534" s="2" t="s">
        <v>12</v>
      </c>
      <c r="D1534" s="1" t="s">
        <v>1</v>
      </c>
      <c r="E1534" s="1" t="s">
        <v>44</v>
      </c>
      <c r="F1534" s="1">
        <v>79522.080000000002</v>
      </c>
    </row>
    <row r="1535" spans="1:6" x14ac:dyDescent="0.3">
      <c r="A1535" s="3" t="s">
        <v>13</v>
      </c>
      <c r="B1535" s="3" t="s">
        <v>43</v>
      </c>
      <c r="C1535" s="4" t="s">
        <v>12</v>
      </c>
      <c r="D1535" s="3" t="s">
        <v>1</v>
      </c>
      <c r="E1535" s="3" t="s">
        <v>45</v>
      </c>
      <c r="F1535" s="3">
        <v>79522.080000000002</v>
      </c>
    </row>
    <row r="1536" spans="1:6" x14ac:dyDescent="0.3">
      <c r="A1536" s="1" t="s">
        <v>13</v>
      </c>
      <c r="B1536" s="1" t="s">
        <v>43</v>
      </c>
      <c r="C1536" s="2" t="s">
        <v>12</v>
      </c>
      <c r="D1536" s="1" t="s">
        <v>1</v>
      </c>
      <c r="E1536" s="1" t="s">
        <v>49</v>
      </c>
      <c r="F1536" s="1">
        <v>1</v>
      </c>
    </row>
    <row r="1537" spans="1:6" x14ac:dyDescent="0.3">
      <c r="A1537" s="3" t="s">
        <v>13</v>
      </c>
      <c r="B1537" s="3" t="s">
        <v>43</v>
      </c>
      <c r="C1537" s="4" t="s">
        <v>12</v>
      </c>
      <c r="D1537" s="3" t="s">
        <v>6</v>
      </c>
      <c r="E1537" s="3" t="s">
        <v>44</v>
      </c>
      <c r="F1537" s="3">
        <v>79522.080000000002</v>
      </c>
    </row>
    <row r="1538" spans="1:6" x14ac:dyDescent="0.3">
      <c r="A1538" s="1" t="s">
        <v>13</v>
      </c>
      <c r="B1538" s="1" t="s">
        <v>43</v>
      </c>
      <c r="C1538" s="2" t="s">
        <v>12</v>
      </c>
      <c r="D1538" s="1" t="s">
        <v>6</v>
      </c>
      <c r="E1538" s="1" t="s">
        <v>45</v>
      </c>
      <c r="F1538" s="1">
        <v>79522.080000000002</v>
      </c>
    </row>
    <row r="1539" spans="1:6" x14ac:dyDescent="0.3">
      <c r="A1539" s="3" t="s">
        <v>13</v>
      </c>
      <c r="B1539" s="3" t="s">
        <v>43</v>
      </c>
      <c r="C1539" s="4" t="s">
        <v>12</v>
      </c>
      <c r="D1539" s="3" t="s">
        <v>6</v>
      </c>
      <c r="E1539" s="3" t="s">
        <v>49</v>
      </c>
      <c r="F1539" s="3">
        <v>1</v>
      </c>
    </row>
    <row r="1540" spans="1:6" x14ac:dyDescent="0.3">
      <c r="A1540" s="1" t="s">
        <v>13</v>
      </c>
      <c r="B1540" s="1" t="s">
        <v>43</v>
      </c>
      <c r="C1540" s="2" t="s">
        <v>12</v>
      </c>
      <c r="D1540" s="1" t="s">
        <v>9</v>
      </c>
      <c r="E1540" s="1" t="s">
        <v>44</v>
      </c>
      <c r="F1540" s="1">
        <v>79522.080000000002</v>
      </c>
    </row>
    <row r="1541" spans="1:6" x14ac:dyDescent="0.3">
      <c r="A1541" s="3" t="s">
        <v>13</v>
      </c>
      <c r="B1541" s="3" t="s">
        <v>43</v>
      </c>
      <c r="C1541" s="4" t="s">
        <v>12</v>
      </c>
      <c r="D1541" s="3" t="s">
        <v>9</v>
      </c>
      <c r="E1541" s="3" t="s">
        <v>45</v>
      </c>
      <c r="F1541" s="3">
        <v>79522.080000000002</v>
      </c>
    </row>
    <row r="1542" spans="1:6" x14ac:dyDescent="0.3">
      <c r="A1542" s="1" t="s">
        <v>13</v>
      </c>
      <c r="B1542" s="1" t="s">
        <v>43</v>
      </c>
      <c r="C1542" s="2" t="s">
        <v>12</v>
      </c>
      <c r="D1542" s="1" t="s">
        <v>9</v>
      </c>
      <c r="E1542" s="1" t="s">
        <v>49</v>
      </c>
      <c r="F1542" s="1">
        <v>1</v>
      </c>
    </row>
    <row r="1543" spans="1:6" x14ac:dyDescent="0.3">
      <c r="A1543" s="3" t="s">
        <v>13</v>
      </c>
      <c r="B1543" s="3" t="s">
        <v>43</v>
      </c>
      <c r="C1543" s="4" t="s">
        <v>12</v>
      </c>
      <c r="D1543" s="3" t="s">
        <v>11</v>
      </c>
      <c r="E1543" s="3" t="s">
        <v>44</v>
      </c>
      <c r="F1543" s="3">
        <v>79522.080000000002</v>
      </c>
    </row>
    <row r="1544" spans="1:6" x14ac:dyDescent="0.3">
      <c r="A1544" s="1" t="s">
        <v>13</v>
      </c>
      <c r="B1544" s="1" t="s">
        <v>43</v>
      </c>
      <c r="C1544" s="2" t="s">
        <v>12</v>
      </c>
      <c r="D1544" s="1" t="s">
        <v>11</v>
      </c>
      <c r="E1544" s="1" t="s">
        <v>45</v>
      </c>
      <c r="F1544" s="1">
        <v>79522.080000000002</v>
      </c>
    </row>
    <row r="1545" spans="1:6" x14ac:dyDescent="0.3">
      <c r="A1545" s="3" t="s">
        <v>13</v>
      </c>
      <c r="B1545" s="3" t="s">
        <v>43</v>
      </c>
      <c r="C1545" s="4" t="s">
        <v>12</v>
      </c>
      <c r="D1545" s="3" t="s">
        <v>11</v>
      </c>
      <c r="E1545" s="3" t="s">
        <v>49</v>
      </c>
      <c r="F1545" s="3">
        <v>1</v>
      </c>
    </row>
    <row r="1546" spans="1:6" x14ac:dyDescent="0.3">
      <c r="A1546" s="1" t="s">
        <v>13</v>
      </c>
      <c r="B1546" s="1" t="s">
        <v>43</v>
      </c>
      <c r="C1546" s="2" t="s">
        <v>12</v>
      </c>
      <c r="D1546" s="1" t="s">
        <v>1</v>
      </c>
      <c r="E1546" s="1" t="s">
        <v>44</v>
      </c>
      <c r="F1546" s="1">
        <v>15642.5</v>
      </c>
    </row>
    <row r="1547" spans="1:6" x14ac:dyDescent="0.3">
      <c r="A1547" s="3" t="s">
        <v>13</v>
      </c>
      <c r="B1547" s="3" t="s">
        <v>43</v>
      </c>
      <c r="C1547" s="4" t="s">
        <v>12</v>
      </c>
      <c r="D1547" s="3" t="s">
        <v>1</v>
      </c>
      <c r="E1547" s="3" t="s">
        <v>45</v>
      </c>
      <c r="F1547" s="3">
        <v>42100.08</v>
      </c>
    </row>
    <row r="1548" spans="1:6" x14ac:dyDescent="0.3">
      <c r="A1548" s="1" t="s">
        <v>13</v>
      </c>
      <c r="B1548" s="1" t="s">
        <v>43</v>
      </c>
      <c r="C1548" s="2" t="s">
        <v>12</v>
      </c>
      <c r="D1548" s="1" t="s">
        <v>1</v>
      </c>
      <c r="E1548" s="1" t="s">
        <v>46</v>
      </c>
      <c r="F1548" s="1">
        <v>1041.5999999999899</v>
      </c>
    </row>
    <row r="1549" spans="1:6" x14ac:dyDescent="0.3">
      <c r="A1549" s="3" t="s">
        <v>13</v>
      </c>
      <c r="B1549" s="3" t="s">
        <v>43</v>
      </c>
      <c r="C1549" s="4" t="s">
        <v>12</v>
      </c>
      <c r="D1549" s="3" t="s">
        <v>1</v>
      </c>
      <c r="E1549" s="3" t="s">
        <v>47</v>
      </c>
      <c r="F1549" s="3">
        <v>3941.0799999999899</v>
      </c>
    </row>
    <row r="1550" spans="1:6" x14ac:dyDescent="0.3">
      <c r="A1550" s="1" t="s">
        <v>13</v>
      </c>
      <c r="B1550" s="1" t="s">
        <v>43</v>
      </c>
      <c r="C1550" s="2" t="s">
        <v>12</v>
      </c>
      <c r="D1550" s="1" t="s">
        <v>1</v>
      </c>
      <c r="E1550" s="1" t="s">
        <v>48</v>
      </c>
      <c r="F1550" s="1">
        <v>21474.8999999999</v>
      </c>
    </row>
    <row r="1551" spans="1:6" x14ac:dyDescent="0.3">
      <c r="A1551" s="3" t="s">
        <v>13</v>
      </c>
      <c r="B1551" s="3" t="s">
        <v>43</v>
      </c>
      <c r="C1551" s="4" t="s">
        <v>12</v>
      </c>
      <c r="D1551" s="3" t="s">
        <v>1</v>
      </c>
      <c r="E1551" s="3" t="s">
        <v>49</v>
      </c>
      <c r="F1551" s="3">
        <v>0.37155511343446301</v>
      </c>
    </row>
    <row r="1552" spans="1:6" x14ac:dyDescent="0.3">
      <c r="A1552" s="1" t="s">
        <v>13</v>
      </c>
      <c r="B1552" s="1" t="s">
        <v>43</v>
      </c>
      <c r="C1552" s="2" t="s">
        <v>12</v>
      </c>
      <c r="D1552" s="1" t="s">
        <v>6</v>
      </c>
      <c r="E1552" s="1" t="s">
        <v>44</v>
      </c>
      <c r="F1552" s="1">
        <v>36496.2599999999</v>
      </c>
    </row>
    <row r="1553" spans="1:6" x14ac:dyDescent="0.3">
      <c r="A1553" s="3" t="s">
        <v>13</v>
      </c>
      <c r="B1553" s="3" t="s">
        <v>43</v>
      </c>
      <c r="C1553" s="4" t="s">
        <v>12</v>
      </c>
      <c r="D1553" s="3" t="s">
        <v>6</v>
      </c>
      <c r="E1553" s="3" t="s">
        <v>45</v>
      </c>
      <c r="F1553" s="3">
        <v>63149.459999999897</v>
      </c>
    </row>
    <row r="1554" spans="1:6" x14ac:dyDescent="0.3">
      <c r="A1554" s="1" t="s">
        <v>13</v>
      </c>
      <c r="B1554" s="1" t="s">
        <v>43</v>
      </c>
      <c r="C1554" s="2" t="s">
        <v>12</v>
      </c>
      <c r="D1554" s="1" t="s">
        <v>6</v>
      </c>
      <c r="E1554" s="1" t="s">
        <v>46</v>
      </c>
      <c r="F1554" s="1">
        <v>1388.79999999999</v>
      </c>
    </row>
    <row r="1555" spans="1:6" x14ac:dyDescent="0.3">
      <c r="A1555" s="3" t="s">
        <v>13</v>
      </c>
      <c r="B1555" s="3" t="s">
        <v>43</v>
      </c>
      <c r="C1555" s="4" t="s">
        <v>12</v>
      </c>
      <c r="D1555" s="3" t="s">
        <v>6</v>
      </c>
      <c r="E1555" s="3" t="s">
        <v>47</v>
      </c>
      <c r="F1555" s="3">
        <v>3789.49999999999</v>
      </c>
    </row>
    <row r="1556" spans="1:6" x14ac:dyDescent="0.3">
      <c r="A1556" s="1" t="s">
        <v>13</v>
      </c>
      <c r="B1556" s="1" t="s">
        <v>43</v>
      </c>
      <c r="C1556" s="2" t="s">
        <v>12</v>
      </c>
      <c r="D1556" s="1" t="s">
        <v>6</v>
      </c>
      <c r="E1556" s="1" t="s">
        <v>48</v>
      </c>
      <c r="F1556" s="1">
        <v>21474.8999999999</v>
      </c>
    </row>
    <row r="1557" spans="1:6" x14ac:dyDescent="0.3">
      <c r="A1557" s="3" t="s">
        <v>13</v>
      </c>
      <c r="B1557" s="3" t="s">
        <v>43</v>
      </c>
      <c r="C1557" s="4" t="s">
        <v>12</v>
      </c>
      <c r="D1557" s="3" t="s">
        <v>6</v>
      </c>
      <c r="E1557" s="3" t="s">
        <v>49</v>
      </c>
      <c r="F1557" s="3">
        <v>0.57793463317025895</v>
      </c>
    </row>
    <row r="1558" spans="1:6" x14ac:dyDescent="0.3">
      <c r="A1558" s="1" t="s">
        <v>13</v>
      </c>
      <c r="B1558" s="1" t="s">
        <v>43</v>
      </c>
      <c r="C1558" s="2" t="s">
        <v>12</v>
      </c>
      <c r="D1558" s="1" t="s">
        <v>9</v>
      </c>
      <c r="E1558" s="1" t="s">
        <v>44</v>
      </c>
      <c r="F1558" s="1">
        <v>56548.739999999903</v>
      </c>
    </row>
    <row r="1559" spans="1:6" x14ac:dyDescent="0.3">
      <c r="A1559" s="3" t="s">
        <v>13</v>
      </c>
      <c r="B1559" s="3" t="s">
        <v>43</v>
      </c>
      <c r="C1559" s="4" t="s">
        <v>12</v>
      </c>
      <c r="D1559" s="3" t="s">
        <v>9</v>
      </c>
      <c r="E1559" s="3" t="s">
        <v>45</v>
      </c>
      <c r="F1559" s="3">
        <v>84199.5</v>
      </c>
    </row>
    <row r="1560" spans="1:6" x14ac:dyDescent="0.3">
      <c r="A1560" s="1" t="s">
        <v>13</v>
      </c>
      <c r="B1560" s="1" t="s">
        <v>43</v>
      </c>
      <c r="C1560" s="2" t="s">
        <v>12</v>
      </c>
      <c r="D1560" s="1" t="s">
        <v>9</v>
      </c>
      <c r="E1560" s="1" t="s">
        <v>46</v>
      </c>
      <c r="F1560" s="1">
        <v>2083.1999999999898</v>
      </c>
    </row>
    <row r="1561" spans="1:6" x14ac:dyDescent="0.3">
      <c r="A1561" s="3" t="s">
        <v>13</v>
      </c>
      <c r="B1561" s="3" t="s">
        <v>43</v>
      </c>
      <c r="C1561" s="4" t="s">
        <v>12</v>
      </c>
      <c r="D1561" s="3" t="s">
        <v>9</v>
      </c>
      <c r="E1561" s="3" t="s">
        <v>47</v>
      </c>
      <c r="F1561" s="3">
        <v>4092.66</v>
      </c>
    </row>
    <row r="1562" spans="1:6" x14ac:dyDescent="0.3">
      <c r="A1562" s="1" t="s">
        <v>13</v>
      </c>
      <c r="B1562" s="1" t="s">
        <v>43</v>
      </c>
      <c r="C1562" s="2" t="s">
        <v>12</v>
      </c>
      <c r="D1562" s="1" t="s">
        <v>9</v>
      </c>
      <c r="E1562" s="1" t="s">
        <v>48</v>
      </c>
      <c r="F1562" s="1">
        <v>21474.8999999999</v>
      </c>
    </row>
    <row r="1563" spans="1:6" x14ac:dyDescent="0.3">
      <c r="A1563" s="3" t="s">
        <v>13</v>
      </c>
      <c r="B1563" s="3" t="s">
        <v>43</v>
      </c>
      <c r="C1563" s="4" t="s">
        <v>12</v>
      </c>
      <c r="D1563" s="3" t="s">
        <v>9</v>
      </c>
      <c r="E1563" s="3" t="s">
        <v>49</v>
      </c>
      <c r="F1563" s="3">
        <v>0.67160422567829903</v>
      </c>
    </row>
    <row r="1564" spans="1:6" x14ac:dyDescent="0.3">
      <c r="A1564" s="1" t="s">
        <v>13</v>
      </c>
      <c r="B1564" s="1" t="s">
        <v>43</v>
      </c>
      <c r="C1564" s="2" t="s">
        <v>12</v>
      </c>
      <c r="D1564" s="1" t="s">
        <v>11</v>
      </c>
      <c r="E1564" s="1" t="s">
        <v>44</v>
      </c>
      <c r="F1564" s="1">
        <v>76537.719999999899</v>
      </c>
    </row>
    <row r="1565" spans="1:6" x14ac:dyDescent="0.3">
      <c r="A1565" s="3" t="s">
        <v>13</v>
      </c>
      <c r="B1565" s="3" t="s">
        <v>43</v>
      </c>
      <c r="C1565" s="4" t="s">
        <v>12</v>
      </c>
      <c r="D1565" s="3" t="s">
        <v>11</v>
      </c>
      <c r="E1565" s="3" t="s">
        <v>45</v>
      </c>
      <c r="F1565" s="3">
        <v>105249.539999999</v>
      </c>
    </row>
    <row r="1566" spans="1:6" x14ac:dyDescent="0.3">
      <c r="A1566" s="1" t="s">
        <v>13</v>
      </c>
      <c r="B1566" s="1" t="s">
        <v>43</v>
      </c>
      <c r="C1566" s="2" t="s">
        <v>12</v>
      </c>
      <c r="D1566" s="1" t="s">
        <v>11</v>
      </c>
      <c r="E1566" s="1" t="s">
        <v>46</v>
      </c>
      <c r="F1566" s="1">
        <v>2083.1999999999898</v>
      </c>
    </row>
    <row r="1567" spans="1:6" x14ac:dyDescent="0.3">
      <c r="A1567" s="3" t="s">
        <v>13</v>
      </c>
      <c r="B1567" s="3" t="s">
        <v>43</v>
      </c>
      <c r="C1567" s="4" t="s">
        <v>12</v>
      </c>
      <c r="D1567" s="3" t="s">
        <v>11</v>
      </c>
      <c r="E1567" s="3" t="s">
        <v>47</v>
      </c>
      <c r="F1567" s="3">
        <v>5153.72</v>
      </c>
    </row>
    <row r="1568" spans="1:6" x14ac:dyDescent="0.3">
      <c r="A1568" s="1" t="s">
        <v>13</v>
      </c>
      <c r="B1568" s="1" t="s">
        <v>43</v>
      </c>
      <c r="C1568" s="2" t="s">
        <v>12</v>
      </c>
      <c r="D1568" s="1" t="s">
        <v>11</v>
      </c>
      <c r="E1568" s="1" t="s">
        <v>48</v>
      </c>
      <c r="F1568" s="1">
        <v>21474.8999999999</v>
      </c>
    </row>
    <row r="1569" spans="1:6" x14ac:dyDescent="0.3">
      <c r="A1569" s="3" t="s">
        <v>13</v>
      </c>
      <c r="B1569" s="3" t="s">
        <v>43</v>
      </c>
      <c r="C1569" s="4" t="s">
        <v>12</v>
      </c>
      <c r="D1569" s="3" t="s">
        <v>11</v>
      </c>
      <c r="E1569" s="3" t="s">
        <v>49</v>
      </c>
      <c r="F1569" s="3">
        <v>0.72720241817683895</v>
      </c>
    </row>
    <row r="1570" spans="1:6" x14ac:dyDescent="0.3">
      <c r="A1570" s="1" t="s">
        <v>13</v>
      </c>
      <c r="B1570" s="1" t="s">
        <v>50</v>
      </c>
      <c r="C1570" s="2" t="s">
        <v>12</v>
      </c>
      <c r="D1570" s="1" t="s">
        <v>1</v>
      </c>
      <c r="E1570" s="1" t="s">
        <v>44</v>
      </c>
      <c r="F1570" s="1">
        <v>1334800</v>
      </c>
    </row>
    <row r="1571" spans="1:6" x14ac:dyDescent="0.3">
      <c r="A1571" s="3" t="s">
        <v>13</v>
      </c>
      <c r="B1571" s="3" t="s">
        <v>50</v>
      </c>
      <c r="C1571" s="4" t="s">
        <v>12</v>
      </c>
      <c r="D1571" s="3" t="s">
        <v>1</v>
      </c>
      <c r="E1571" s="3" t="s">
        <v>45</v>
      </c>
      <c r="F1571" s="3">
        <v>1334800</v>
      </c>
    </row>
    <row r="1572" spans="1:6" x14ac:dyDescent="0.3">
      <c r="A1572" s="1" t="s">
        <v>13</v>
      </c>
      <c r="B1572" s="1" t="s">
        <v>50</v>
      </c>
      <c r="C1572" s="2" t="s">
        <v>12</v>
      </c>
      <c r="D1572" s="1" t="s">
        <v>1</v>
      </c>
      <c r="E1572" s="1" t="s">
        <v>49</v>
      </c>
      <c r="F1572" s="1">
        <v>1</v>
      </c>
    </row>
    <row r="1573" spans="1:6" x14ac:dyDescent="0.3">
      <c r="A1573" s="3" t="s">
        <v>13</v>
      </c>
      <c r="B1573" s="3" t="s">
        <v>50</v>
      </c>
      <c r="C1573" s="4" t="s">
        <v>12</v>
      </c>
      <c r="D1573" s="3" t="s">
        <v>6</v>
      </c>
      <c r="E1573" s="3" t="s">
        <v>44</v>
      </c>
      <c r="F1573" s="3">
        <v>346640</v>
      </c>
    </row>
    <row r="1574" spans="1:6" x14ac:dyDescent="0.3">
      <c r="A1574" s="1" t="s">
        <v>13</v>
      </c>
      <c r="B1574" s="1" t="s">
        <v>50</v>
      </c>
      <c r="C1574" s="2" t="s">
        <v>12</v>
      </c>
      <c r="D1574" s="1" t="s">
        <v>6</v>
      </c>
      <c r="E1574" s="1" t="s">
        <v>45</v>
      </c>
      <c r="F1574" s="1">
        <v>346640</v>
      </c>
    </row>
    <row r="1575" spans="1:6" x14ac:dyDescent="0.3">
      <c r="A1575" s="3" t="s">
        <v>13</v>
      </c>
      <c r="B1575" s="3" t="s">
        <v>50</v>
      </c>
      <c r="C1575" s="4" t="s">
        <v>12</v>
      </c>
      <c r="D1575" s="3" t="s">
        <v>6</v>
      </c>
      <c r="E1575" s="3" t="s">
        <v>49</v>
      </c>
      <c r="F1575" s="3">
        <v>1</v>
      </c>
    </row>
    <row r="1576" spans="1:6" x14ac:dyDescent="0.3">
      <c r="A1576" s="1" t="s">
        <v>13</v>
      </c>
      <c r="B1576" s="1" t="s">
        <v>50</v>
      </c>
      <c r="C1576" s="2" t="s">
        <v>12</v>
      </c>
      <c r="D1576" s="1" t="s">
        <v>9</v>
      </c>
      <c r="E1576" s="1" t="s">
        <v>44</v>
      </c>
      <c r="F1576" s="1">
        <v>350360</v>
      </c>
    </row>
    <row r="1577" spans="1:6" x14ac:dyDescent="0.3">
      <c r="A1577" s="3" t="s">
        <v>13</v>
      </c>
      <c r="B1577" s="3" t="s">
        <v>50</v>
      </c>
      <c r="C1577" s="4" t="s">
        <v>12</v>
      </c>
      <c r="D1577" s="3" t="s">
        <v>9</v>
      </c>
      <c r="E1577" s="3" t="s">
        <v>45</v>
      </c>
      <c r="F1577" s="3">
        <v>350360</v>
      </c>
    </row>
    <row r="1578" spans="1:6" x14ac:dyDescent="0.3">
      <c r="A1578" s="1" t="s">
        <v>13</v>
      </c>
      <c r="B1578" s="1" t="s">
        <v>50</v>
      </c>
      <c r="C1578" s="2" t="s">
        <v>12</v>
      </c>
      <c r="D1578" s="1" t="s">
        <v>9</v>
      </c>
      <c r="E1578" s="1" t="s">
        <v>49</v>
      </c>
      <c r="F1578" s="1">
        <v>1</v>
      </c>
    </row>
    <row r="1579" spans="1:6" x14ac:dyDescent="0.3">
      <c r="A1579" s="3" t="s">
        <v>13</v>
      </c>
      <c r="B1579" s="3" t="s">
        <v>50</v>
      </c>
      <c r="C1579" s="4" t="s">
        <v>12</v>
      </c>
      <c r="D1579" s="3" t="s">
        <v>11</v>
      </c>
      <c r="E1579" s="3" t="s">
        <v>44</v>
      </c>
      <c r="F1579" s="3">
        <v>1357080</v>
      </c>
    </row>
    <row r="1580" spans="1:6" x14ac:dyDescent="0.3">
      <c r="A1580" s="1" t="s">
        <v>13</v>
      </c>
      <c r="B1580" s="1" t="s">
        <v>50</v>
      </c>
      <c r="C1580" s="2" t="s">
        <v>12</v>
      </c>
      <c r="D1580" s="1" t="s">
        <v>11</v>
      </c>
      <c r="E1580" s="1" t="s">
        <v>45</v>
      </c>
      <c r="F1580" s="1">
        <v>1357080</v>
      </c>
    </row>
    <row r="1581" spans="1:6" x14ac:dyDescent="0.3">
      <c r="A1581" s="3" t="s">
        <v>13</v>
      </c>
      <c r="B1581" s="3" t="s">
        <v>50</v>
      </c>
      <c r="C1581" s="4" t="s">
        <v>12</v>
      </c>
      <c r="D1581" s="3" t="s">
        <v>11</v>
      </c>
      <c r="E1581" s="3" t="s">
        <v>49</v>
      </c>
      <c r="F1581" s="3">
        <v>1</v>
      </c>
    </row>
    <row r="1582" spans="1:6" x14ac:dyDescent="0.3">
      <c r="A1582" s="1" t="s">
        <v>13</v>
      </c>
      <c r="B1582" s="1" t="s">
        <v>50</v>
      </c>
      <c r="C1582" s="2" t="s">
        <v>12</v>
      </c>
      <c r="D1582" s="1" t="s">
        <v>1</v>
      </c>
      <c r="E1582" s="1" t="s">
        <v>44</v>
      </c>
      <c r="F1582" s="1">
        <v>-6450.3399999999901</v>
      </c>
    </row>
    <row r="1583" spans="1:6" x14ac:dyDescent="0.3">
      <c r="A1583" s="3" t="s">
        <v>13</v>
      </c>
      <c r="B1583" s="3" t="s">
        <v>50</v>
      </c>
      <c r="C1583" s="4" t="s">
        <v>12</v>
      </c>
      <c r="D1583" s="3" t="s">
        <v>1</v>
      </c>
      <c r="E1583" s="3" t="s">
        <v>45</v>
      </c>
      <c r="F1583" s="3">
        <v>42100.08</v>
      </c>
    </row>
    <row r="1584" spans="1:6" x14ac:dyDescent="0.3">
      <c r="A1584" s="1" t="s">
        <v>13</v>
      </c>
      <c r="B1584" s="1" t="s">
        <v>50</v>
      </c>
      <c r="C1584" s="2" t="s">
        <v>12</v>
      </c>
      <c r="D1584" s="1" t="s">
        <v>1</v>
      </c>
      <c r="E1584" s="1" t="s">
        <v>47</v>
      </c>
      <c r="F1584" s="1">
        <v>1300.4199999999901</v>
      </c>
    </row>
    <row r="1585" spans="1:6" x14ac:dyDescent="0.3">
      <c r="A1585" s="3" t="s">
        <v>13</v>
      </c>
      <c r="B1585" s="3" t="s">
        <v>50</v>
      </c>
      <c r="C1585" s="4" t="s">
        <v>12</v>
      </c>
      <c r="D1585" s="3" t="s">
        <v>1</v>
      </c>
      <c r="E1585" s="3" t="s">
        <v>48</v>
      </c>
      <c r="F1585" s="3">
        <v>47250</v>
      </c>
    </row>
    <row r="1586" spans="1:6" x14ac:dyDescent="0.3">
      <c r="A1586" s="1" t="s">
        <v>13</v>
      </c>
      <c r="B1586" s="1" t="s">
        <v>50</v>
      </c>
      <c r="C1586" s="2" t="s">
        <v>12</v>
      </c>
      <c r="D1586" s="1" t="s">
        <v>1</v>
      </c>
      <c r="E1586" s="1" t="s">
        <v>49</v>
      </c>
      <c r="F1586" s="1">
        <v>-0.153214435697034</v>
      </c>
    </row>
    <row r="1587" spans="1:6" x14ac:dyDescent="0.3">
      <c r="A1587" s="3" t="s">
        <v>13</v>
      </c>
      <c r="B1587" s="3" t="s">
        <v>50</v>
      </c>
      <c r="C1587" s="4" t="s">
        <v>12</v>
      </c>
      <c r="D1587" s="3" t="s">
        <v>6</v>
      </c>
      <c r="E1587" s="3" t="s">
        <v>44</v>
      </c>
      <c r="F1587" s="3">
        <v>-6400.3999999999896</v>
      </c>
    </row>
    <row r="1588" spans="1:6" x14ac:dyDescent="0.3">
      <c r="A1588" s="1" t="s">
        <v>13</v>
      </c>
      <c r="B1588" s="1" t="s">
        <v>50</v>
      </c>
      <c r="C1588" s="2" t="s">
        <v>12</v>
      </c>
      <c r="D1588" s="1" t="s">
        <v>6</v>
      </c>
      <c r="E1588" s="1" t="s">
        <v>45</v>
      </c>
      <c r="F1588" s="1">
        <v>42100.08</v>
      </c>
    </row>
    <row r="1589" spans="1:6" x14ac:dyDescent="0.3">
      <c r="A1589" s="3" t="s">
        <v>13</v>
      </c>
      <c r="B1589" s="3" t="s">
        <v>50</v>
      </c>
      <c r="C1589" s="4" t="s">
        <v>12</v>
      </c>
      <c r="D1589" s="3" t="s">
        <v>6</v>
      </c>
      <c r="E1589" s="3" t="s">
        <v>47</v>
      </c>
      <c r="F1589" s="3">
        <v>1250.48</v>
      </c>
    </row>
    <row r="1590" spans="1:6" x14ac:dyDescent="0.3">
      <c r="A1590" s="1" t="s">
        <v>13</v>
      </c>
      <c r="B1590" s="1" t="s">
        <v>50</v>
      </c>
      <c r="C1590" s="2" t="s">
        <v>12</v>
      </c>
      <c r="D1590" s="1" t="s">
        <v>6</v>
      </c>
      <c r="E1590" s="1" t="s">
        <v>48</v>
      </c>
      <c r="F1590" s="1">
        <v>47250</v>
      </c>
    </row>
    <row r="1591" spans="1:6" x14ac:dyDescent="0.3">
      <c r="A1591" s="3" t="s">
        <v>13</v>
      </c>
      <c r="B1591" s="3" t="s">
        <v>50</v>
      </c>
      <c r="C1591" s="4" t="s">
        <v>12</v>
      </c>
      <c r="D1591" s="3" t="s">
        <v>6</v>
      </c>
      <c r="E1591" s="3" t="s">
        <v>49</v>
      </c>
      <c r="F1591" s="3">
        <v>-0.152028214673226</v>
      </c>
    </row>
    <row r="1592" spans="1:6" x14ac:dyDescent="0.3">
      <c r="A1592" s="1" t="s">
        <v>13</v>
      </c>
      <c r="B1592" s="1" t="s">
        <v>50</v>
      </c>
      <c r="C1592" s="2" t="s">
        <v>12</v>
      </c>
      <c r="D1592" s="1" t="s">
        <v>9</v>
      </c>
      <c r="E1592" s="1" t="s">
        <v>44</v>
      </c>
      <c r="F1592" s="1">
        <v>-6500.7199999999903</v>
      </c>
    </row>
    <row r="1593" spans="1:6" x14ac:dyDescent="0.3">
      <c r="A1593" s="3" t="s">
        <v>13</v>
      </c>
      <c r="B1593" s="3" t="s">
        <v>50</v>
      </c>
      <c r="C1593" s="4" t="s">
        <v>12</v>
      </c>
      <c r="D1593" s="3" t="s">
        <v>9</v>
      </c>
      <c r="E1593" s="3" t="s">
        <v>45</v>
      </c>
      <c r="F1593" s="3">
        <v>42100.08</v>
      </c>
    </row>
    <row r="1594" spans="1:6" x14ac:dyDescent="0.3">
      <c r="A1594" s="1" t="s">
        <v>13</v>
      </c>
      <c r="B1594" s="1" t="s">
        <v>50</v>
      </c>
      <c r="C1594" s="2" t="s">
        <v>12</v>
      </c>
      <c r="D1594" s="1" t="s">
        <v>9</v>
      </c>
      <c r="E1594" s="1" t="s">
        <v>47</v>
      </c>
      <c r="F1594" s="1">
        <v>1350.8</v>
      </c>
    </row>
    <row r="1595" spans="1:6" x14ac:dyDescent="0.3">
      <c r="A1595" s="3" t="s">
        <v>13</v>
      </c>
      <c r="B1595" s="3" t="s">
        <v>50</v>
      </c>
      <c r="C1595" s="4" t="s">
        <v>12</v>
      </c>
      <c r="D1595" s="3" t="s">
        <v>9</v>
      </c>
      <c r="E1595" s="3" t="s">
        <v>48</v>
      </c>
      <c r="F1595" s="3">
        <v>47250</v>
      </c>
    </row>
    <row r="1596" spans="1:6" x14ac:dyDescent="0.3">
      <c r="A1596" s="1" t="s">
        <v>13</v>
      </c>
      <c r="B1596" s="1" t="s">
        <v>50</v>
      </c>
      <c r="C1596" s="2" t="s">
        <v>12</v>
      </c>
      <c r="D1596" s="1" t="s">
        <v>9</v>
      </c>
      <c r="E1596" s="1" t="s">
        <v>49</v>
      </c>
      <c r="F1596" s="1">
        <v>-0.15441110800739499</v>
      </c>
    </row>
    <row r="1597" spans="1:6" x14ac:dyDescent="0.3">
      <c r="A1597" s="3" t="s">
        <v>13</v>
      </c>
      <c r="B1597" s="3" t="s">
        <v>50</v>
      </c>
      <c r="C1597" s="4" t="s">
        <v>12</v>
      </c>
      <c r="D1597" s="3" t="s">
        <v>11</v>
      </c>
      <c r="E1597" s="3" t="s">
        <v>44</v>
      </c>
      <c r="F1597" s="3">
        <v>-6850.5199999999904</v>
      </c>
    </row>
    <row r="1598" spans="1:6" x14ac:dyDescent="0.3">
      <c r="A1598" s="1" t="s">
        <v>13</v>
      </c>
      <c r="B1598" s="1" t="s">
        <v>50</v>
      </c>
      <c r="C1598" s="2" t="s">
        <v>12</v>
      </c>
      <c r="D1598" s="1" t="s">
        <v>11</v>
      </c>
      <c r="E1598" s="1" t="s">
        <v>45</v>
      </c>
      <c r="F1598" s="1">
        <v>42100.08</v>
      </c>
    </row>
    <row r="1599" spans="1:6" x14ac:dyDescent="0.3">
      <c r="A1599" s="3" t="s">
        <v>13</v>
      </c>
      <c r="B1599" s="3" t="s">
        <v>50</v>
      </c>
      <c r="C1599" s="4" t="s">
        <v>12</v>
      </c>
      <c r="D1599" s="3" t="s">
        <v>11</v>
      </c>
      <c r="E1599" s="3" t="s">
        <v>47</v>
      </c>
      <c r="F1599" s="3">
        <v>1700.5999999999899</v>
      </c>
    </row>
    <row r="1600" spans="1:6" x14ac:dyDescent="0.3">
      <c r="A1600" s="1" t="s">
        <v>13</v>
      </c>
      <c r="B1600" s="1" t="s">
        <v>50</v>
      </c>
      <c r="C1600" s="2" t="s">
        <v>12</v>
      </c>
      <c r="D1600" s="1" t="s">
        <v>11</v>
      </c>
      <c r="E1600" s="1" t="s">
        <v>48</v>
      </c>
      <c r="F1600" s="1">
        <v>47250</v>
      </c>
    </row>
    <row r="1601" spans="1:6" x14ac:dyDescent="0.3">
      <c r="A1601" s="3" t="s">
        <v>13</v>
      </c>
      <c r="B1601" s="3" t="s">
        <v>50</v>
      </c>
      <c r="C1601" s="4" t="s">
        <v>12</v>
      </c>
      <c r="D1601" s="3" t="s">
        <v>11</v>
      </c>
      <c r="E1601" s="3" t="s">
        <v>49</v>
      </c>
      <c r="F1601" s="3">
        <v>-0.16271988081732799</v>
      </c>
    </row>
    <row r="1602" spans="1:6" x14ac:dyDescent="0.3">
      <c r="A1602" s="1" t="s">
        <v>13</v>
      </c>
      <c r="B1602" s="1" t="s">
        <v>50</v>
      </c>
      <c r="C1602" s="2" t="s">
        <v>12</v>
      </c>
      <c r="D1602" s="1" t="s">
        <v>1</v>
      </c>
      <c r="E1602" s="1" t="s">
        <v>44</v>
      </c>
      <c r="F1602" s="1">
        <v>-333803.61999999901</v>
      </c>
    </row>
    <row r="1603" spans="1:6" x14ac:dyDescent="0.3">
      <c r="A1603" s="3" t="s">
        <v>13</v>
      </c>
      <c r="B1603" s="3" t="s">
        <v>50</v>
      </c>
      <c r="C1603" s="4" t="s">
        <v>12</v>
      </c>
      <c r="D1603" s="3" t="s">
        <v>1</v>
      </c>
      <c r="E1603" s="3" t="s">
        <v>45</v>
      </c>
      <c r="F1603" s="3">
        <v>35785.199999999997</v>
      </c>
    </row>
    <row r="1604" spans="1:6" x14ac:dyDescent="0.3">
      <c r="A1604" s="1" t="s">
        <v>13</v>
      </c>
      <c r="B1604" s="1" t="s">
        <v>50</v>
      </c>
      <c r="C1604" s="2" t="s">
        <v>12</v>
      </c>
      <c r="D1604" s="1" t="s">
        <v>1</v>
      </c>
      <c r="E1604" s="1" t="s">
        <v>47</v>
      </c>
      <c r="F1604" s="1">
        <v>1300.4199999999901</v>
      </c>
    </row>
    <row r="1605" spans="1:6" x14ac:dyDescent="0.3">
      <c r="A1605" s="3" t="s">
        <v>13</v>
      </c>
      <c r="B1605" s="3" t="s">
        <v>50</v>
      </c>
      <c r="C1605" s="4" t="s">
        <v>12</v>
      </c>
      <c r="D1605" s="3" t="s">
        <v>1</v>
      </c>
      <c r="E1605" s="3" t="s">
        <v>48</v>
      </c>
      <c r="F1605" s="3">
        <v>368288.39999999898</v>
      </c>
    </row>
    <row r="1606" spans="1:6" x14ac:dyDescent="0.3">
      <c r="A1606" s="1" t="s">
        <v>13</v>
      </c>
      <c r="B1606" s="1" t="s">
        <v>50</v>
      </c>
      <c r="C1606" s="2" t="s">
        <v>12</v>
      </c>
      <c r="D1606" s="1" t="s">
        <v>1</v>
      </c>
      <c r="E1606" s="1" t="s">
        <v>49</v>
      </c>
      <c r="F1606" s="1">
        <v>-9.3279797234610893</v>
      </c>
    </row>
    <row r="1607" spans="1:6" x14ac:dyDescent="0.3">
      <c r="A1607" s="3" t="s">
        <v>13</v>
      </c>
      <c r="B1607" s="3" t="s">
        <v>50</v>
      </c>
      <c r="C1607" s="4" t="s">
        <v>12</v>
      </c>
      <c r="D1607" s="3" t="s">
        <v>6</v>
      </c>
      <c r="E1607" s="3" t="s">
        <v>44</v>
      </c>
      <c r="F1607" s="3">
        <v>-364716.13999999902</v>
      </c>
    </row>
    <row r="1608" spans="1:6" x14ac:dyDescent="0.3">
      <c r="A1608" s="1" t="s">
        <v>13</v>
      </c>
      <c r="B1608" s="1" t="s">
        <v>50</v>
      </c>
      <c r="C1608" s="2" t="s">
        <v>12</v>
      </c>
      <c r="D1608" s="1" t="s">
        <v>6</v>
      </c>
      <c r="E1608" s="1" t="s">
        <v>45</v>
      </c>
      <c r="F1608" s="1">
        <v>53677.139999999898</v>
      </c>
    </row>
    <row r="1609" spans="1:6" x14ac:dyDescent="0.3">
      <c r="A1609" s="3" t="s">
        <v>13</v>
      </c>
      <c r="B1609" s="3" t="s">
        <v>50</v>
      </c>
      <c r="C1609" s="4" t="s">
        <v>12</v>
      </c>
      <c r="D1609" s="3" t="s">
        <v>6</v>
      </c>
      <c r="E1609" s="3" t="s">
        <v>47</v>
      </c>
      <c r="F1609" s="3">
        <v>1250.48</v>
      </c>
    </row>
    <row r="1610" spans="1:6" x14ac:dyDescent="0.3">
      <c r="A1610" s="1" t="s">
        <v>13</v>
      </c>
      <c r="B1610" s="1" t="s">
        <v>50</v>
      </c>
      <c r="C1610" s="2" t="s">
        <v>12</v>
      </c>
      <c r="D1610" s="1" t="s">
        <v>6</v>
      </c>
      <c r="E1610" s="1" t="s">
        <v>48</v>
      </c>
      <c r="F1610" s="1">
        <v>417142.799999999</v>
      </c>
    </row>
    <row r="1611" spans="1:6" x14ac:dyDescent="0.3">
      <c r="A1611" s="3" t="s">
        <v>13</v>
      </c>
      <c r="B1611" s="3" t="s">
        <v>50</v>
      </c>
      <c r="C1611" s="4" t="s">
        <v>12</v>
      </c>
      <c r="D1611" s="3" t="s">
        <v>6</v>
      </c>
      <c r="E1611" s="3" t="s">
        <v>49</v>
      </c>
      <c r="F1611" s="3">
        <v>-6.7946269119405303</v>
      </c>
    </row>
    <row r="1612" spans="1:6" x14ac:dyDescent="0.3">
      <c r="A1612" s="1" t="s">
        <v>13</v>
      </c>
      <c r="B1612" s="1" t="s">
        <v>50</v>
      </c>
      <c r="C1612" s="2" t="s">
        <v>12</v>
      </c>
      <c r="D1612" s="1" t="s">
        <v>9</v>
      </c>
      <c r="E1612" s="1" t="s">
        <v>44</v>
      </c>
      <c r="F1612" s="1">
        <v>-369472.45999999897</v>
      </c>
    </row>
    <row r="1613" spans="1:6" x14ac:dyDescent="0.3">
      <c r="A1613" s="3" t="s">
        <v>13</v>
      </c>
      <c r="B1613" s="3" t="s">
        <v>50</v>
      </c>
      <c r="C1613" s="4" t="s">
        <v>12</v>
      </c>
      <c r="D1613" s="3" t="s">
        <v>9</v>
      </c>
      <c r="E1613" s="3" t="s">
        <v>45</v>
      </c>
      <c r="F1613" s="3">
        <v>71569.740000000005</v>
      </c>
    </row>
    <row r="1614" spans="1:6" x14ac:dyDescent="0.3">
      <c r="A1614" s="1" t="s">
        <v>13</v>
      </c>
      <c r="B1614" s="1" t="s">
        <v>50</v>
      </c>
      <c r="C1614" s="2" t="s">
        <v>12</v>
      </c>
      <c r="D1614" s="1" t="s">
        <v>9</v>
      </c>
      <c r="E1614" s="1" t="s">
        <v>47</v>
      </c>
      <c r="F1614" s="1">
        <v>1350.8</v>
      </c>
    </row>
    <row r="1615" spans="1:6" x14ac:dyDescent="0.3">
      <c r="A1615" s="3" t="s">
        <v>13</v>
      </c>
      <c r="B1615" s="3" t="s">
        <v>50</v>
      </c>
      <c r="C1615" s="4" t="s">
        <v>12</v>
      </c>
      <c r="D1615" s="3" t="s">
        <v>9</v>
      </c>
      <c r="E1615" s="3" t="s">
        <v>48</v>
      </c>
      <c r="F1615" s="3">
        <v>439691.39999999898</v>
      </c>
    </row>
    <row r="1616" spans="1:6" x14ac:dyDescent="0.3">
      <c r="A1616" s="1" t="s">
        <v>13</v>
      </c>
      <c r="B1616" s="1" t="s">
        <v>50</v>
      </c>
      <c r="C1616" s="2" t="s">
        <v>12</v>
      </c>
      <c r="D1616" s="1" t="s">
        <v>9</v>
      </c>
      <c r="E1616" s="1" t="s">
        <v>49</v>
      </c>
      <c r="F1616" s="1">
        <v>-5.1624116560993398</v>
      </c>
    </row>
    <row r="1617" spans="1:6" x14ac:dyDescent="0.3">
      <c r="A1617" s="3" t="s">
        <v>13</v>
      </c>
      <c r="B1617" s="3" t="s">
        <v>50</v>
      </c>
      <c r="C1617" s="4" t="s">
        <v>12</v>
      </c>
      <c r="D1617" s="3" t="s">
        <v>11</v>
      </c>
      <c r="E1617" s="3" t="s">
        <v>44</v>
      </c>
      <c r="F1617" s="3">
        <v>-400784.05999999901</v>
      </c>
    </row>
    <row r="1618" spans="1:6" x14ac:dyDescent="0.3">
      <c r="A1618" s="1" t="s">
        <v>13</v>
      </c>
      <c r="B1618" s="1" t="s">
        <v>50</v>
      </c>
      <c r="C1618" s="2" t="s">
        <v>12</v>
      </c>
      <c r="D1618" s="1" t="s">
        <v>11</v>
      </c>
      <c r="E1618" s="1" t="s">
        <v>45</v>
      </c>
      <c r="F1618" s="1">
        <v>89462.339999999895</v>
      </c>
    </row>
    <row r="1619" spans="1:6" x14ac:dyDescent="0.3">
      <c r="A1619" s="3" t="s">
        <v>13</v>
      </c>
      <c r="B1619" s="3" t="s">
        <v>50</v>
      </c>
      <c r="C1619" s="4" t="s">
        <v>12</v>
      </c>
      <c r="D1619" s="3" t="s">
        <v>11</v>
      </c>
      <c r="E1619" s="3" t="s">
        <v>47</v>
      </c>
      <c r="F1619" s="3">
        <v>1700.5999999999899</v>
      </c>
    </row>
    <row r="1620" spans="1:6" x14ac:dyDescent="0.3">
      <c r="A1620" s="1" t="s">
        <v>13</v>
      </c>
      <c r="B1620" s="1" t="s">
        <v>50</v>
      </c>
      <c r="C1620" s="2" t="s">
        <v>12</v>
      </c>
      <c r="D1620" s="1" t="s">
        <v>11</v>
      </c>
      <c r="E1620" s="1" t="s">
        <v>48</v>
      </c>
      <c r="F1620" s="1">
        <v>488545.799999999</v>
      </c>
    </row>
    <row r="1621" spans="1:6" x14ac:dyDescent="0.3">
      <c r="A1621" s="3" t="s">
        <v>13</v>
      </c>
      <c r="B1621" s="3" t="s">
        <v>50</v>
      </c>
      <c r="C1621" s="4" t="s">
        <v>12</v>
      </c>
      <c r="D1621" s="3" t="s">
        <v>11</v>
      </c>
      <c r="E1621" s="3" t="s">
        <v>49</v>
      </c>
      <c r="F1621" s="3">
        <v>-4.4799192598807398</v>
      </c>
    </row>
    <row r="1622" spans="1:6" x14ac:dyDescent="0.3">
      <c r="A1622" s="1" t="s">
        <v>13</v>
      </c>
      <c r="B1622" s="1" t="s">
        <v>50</v>
      </c>
      <c r="C1622" s="2" t="s">
        <v>12</v>
      </c>
      <c r="D1622" s="1" t="s">
        <v>1</v>
      </c>
      <c r="E1622" s="1" t="s">
        <v>44</v>
      </c>
      <c r="F1622" s="1">
        <v>-502519.33999999898</v>
      </c>
    </row>
    <row r="1623" spans="1:6" x14ac:dyDescent="0.3">
      <c r="A1623" s="3" t="s">
        <v>13</v>
      </c>
      <c r="B1623" s="3" t="s">
        <v>50</v>
      </c>
      <c r="C1623" s="4" t="s">
        <v>12</v>
      </c>
      <c r="D1623" s="3" t="s">
        <v>1</v>
      </c>
      <c r="E1623" s="3" t="s">
        <v>45</v>
      </c>
      <c r="F1623" s="3">
        <v>16461.060000000001</v>
      </c>
    </row>
    <row r="1624" spans="1:6" x14ac:dyDescent="0.3">
      <c r="A1624" s="1" t="s">
        <v>13</v>
      </c>
      <c r="B1624" s="1" t="s">
        <v>50</v>
      </c>
      <c r="C1624" s="2" t="s">
        <v>12</v>
      </c>
      <c r="D1624" s="1" t="s">
        <v>1</v>
      </c>
      <c r="E1624" s="1" t="s">
        <v>47</v>
      </c>
      <c r="F1624" s="1">
        <v>11644.0999999999</v>
      </c>
    </row>
    <row r="1625" spans="1:6" x14ac:dyDescent="0.3">
      <c r="A1625" s="3" t="s">
        <v>13</v>
      </c>
      <c r="B1625" s="3" t="s">
        <v>50</v>
      </c>
      <c r="C1625" s="4" t="s">
        <v>12</v>
      </c>
      <c r="D1625" s="3" t="s">
        <v>1</v>
      </c>
      <c r="E1625" s="3" t="s">
        <v>48</v>
      </c>
      <c r="F1625" s="3">
        <v>507336.299999999</v>
      </c>
    </row>
    <row r="1626" spans="1:6" x14ac:dyDescent="0.3">
      <c r="A1626" s="1" t="s">
        <v>13</v>
      </c>
      <c r="B1626" s="1" t="s">
        <v>50</v>
      </c>
      <c r="C1626" s="2" t="s">
        <v>12</v>
      </c>
      <c r="D1626" s="1" t="s">
        <v>1</v>
      </c>
      <c r="E1626" s="1" t="s">
        <v>49</v>
      </c>
      <c r="F1626" s="1">
        <v>-30.527763096665701</v>
      </c>
    </row>
    <row r="1627" spans="1:6" x14ac:dyDescent="0.3">
      <c r="A1627" s="3" t="s">
        <v>13</v>
      </c>
      <c r="B1627" s="3" t="s">
        <v>50</v>
      </c>
      <c r="C1627" s="4" t="s">
        <v>12</v>
      </c>
      <c r="D1627" s="3" t="s">
        <v>6</v>
      </c>
      <c r="E1627" s="3" t="s">
        <v>44</v>
      </c>
      <c r="F1627" s="3">
        <v>-502071.489999999</v>
      </c>
    </row>
    <row r="1628" spans="1:6" x14ac:dyDescent="0.3">
      <c r="A1628" s="1" t="s">
        <v>13</v>
      </c>
      <c r="B1628" s="1" t="s">
        <v>50</v>
      </c>
      <c r="C1628" s="2" t="s">
        <v>12</v>
      </c>
      <c r="D1628" s="1" t="s">
        <v>6</v>
      </c>
      <c r="E1628" s="1" t="s">
        <v>45</v>
      </c>
      <c r="F1628" s="1">
        <v>16461.060000000001</v>
      </c>
    </row>
    <row r="1629" spans="1:6" x14ac:dyDescent="0.3">
      <c r="A1629" s="3" t="s">
        <v>13</v>
      </c>
      <c r="B1629" s="3" t="s">
        <v>50</v>
      </c>
      <c r="C1629" s="4" t="s">
        <v>12</v>
      </c>
      <c r="D1629" s="3" t="s">
        <v>6</v>
      </c>
      <c r="E1629" s="3" t="s">
        <v>47</v>
      </c>
      <c r="F1629" s="3">
        <v>11196.2499999999</v>
      </c>
    </row>
    <row r="1630" spans="1:6" x14ac:dyDescent="0.3">
      <c r="A1630" s="1" t="s">
        <v>13</v>
      </c>
      <c r="B1630" s="1" t="s">
        <v>50</v>
      </c>
      <c r="C1630" s="2" t="s">
        <v>12</v>
      </c>
      <c r="D1630" s="1" t="s">
        <v>6</v>
      </c>
      <c r="E1630" s="1" t="s">
        <v>48</v>
      </c>
      <c r="F1630" s="1">
        <v>507336.299999999</v>
      </c>
    </row>
    <row r="1631" spans="1:6" x14ac:dyDescent="0.3">
      <c r="A1631" s="3" t="s">
        <v>13</v>
      </c>
      <c r="B1631" s="3" t="s">
        <v>50</v>
      </c>
      <c r="C1631" s="4" t="s">
        <v>12</v>
      </c>
      <c r="D1631" s="3" t="s">
        <v>6</v>
      </c>
      <c r="E1631" s="3" t="s">
        <v>49</v>
      </c>
      <c r="F1631" s="3">
        <v>-30.500556464772</v>
      </c>
    </row>
    <row r="1632" spans="1:6" x14ac:dyDescent="0.3">
      <c r="A1632" s="1" t="s">
        <v>13</v>
      </c>
      <c r="B1632" s="1" t="s">
        <v>50</v>
      </c>
      <c r="C1632" s="2" t="s">
        <v>12</v>
      </c>
      <c r="D1632" s="1" t="s">
        <v>9</v>
      </c>
      <c r="E1632" s="1" t="s">
        <v>44</v>
      </c>
      <c r="F1632" s="1">
        <v>-491993.14999999898</v>
      </c>
    </row>
    <row r="1633" spans="1:6" x14ac:dyDescent="0.3">
      <c r="A1633" s="3" t="s">
        <v>13</v>
      </c>
      <c r="B1633" s="3" t="s">
        <v>50</v>
      </c>
      <c r="C1633" s="4" t="s">
        <v>12</v>
      </c>
      <c r="D1633" s="3" t="s">
        <v>9</v>
      </c>
      <c r="E1633" s="3" t="s">
        <v>45</v>
      </c>
      <c r="F1633" s="3">
        <v>27435.1</v>
      </c>
    </row>
    <row r="1634" spans="1:6" x14ac:dyDescent="0.3">
      <c r="A1634" s="1" t="s">
        <v>13</v>
      </c>
      <c r="B1634" s="1" t="s">
        <v>50</v>
      </c>
      <c r="C1634" s="2" t="s">
        <v>12</v>
      </c>
      <c r="D1634" s="1" t="s">
        <v>9</v>
      </c>
      <c r="E1634" s="1" t="s">
        <v>47</v>
      </c>
      <c r="F1634" s="1">
        <v>12091.95</v>
      </c>
    </row>
    <row r="1635" spans="1:6" x14ac:dyDescent="0.3">
      <c r="A1635" s="3" t="s">
        <v>13</v>
      </c>
      <c r="B1635" s="3" t="s">
        <v>50</v>
      </c>
      <c r="C1635" s="4" t="s">
        <v>12</v>
      </c>
      <c r="D1635" s="3" t="s">
        <v>9</v>
      </c>
      <c r="E1635" s="3" t="s">
        <v>48</v>
      </c>
      <c r="F1635" s="3">
        <v>507336.299999999</v>
      </c>
    </row>
    <row r="1636" spans="1:6" x14ac:dyDescent="0.3">
      <c r="A1636" s="1" t="s">
        <v>13</v>
      </c>
      <c r="B1636" s="1" t="s">
        <v>50</v>
      </c>
      <c r="C1636" s="2" t="s">
        <v>12</v>
      </c>
      <c r="D1636" s="1" t="s">
        <v>9</v>
      </c>
      <c r="E1636" s="1" t="s">
        <v>49</v>
      </c>
      <c r="F1636" s="1">
        <v>-17.9329818371356</v>
      </c>
    </row>
    <row r="1637" spans="1:6" x14ac:dyDescent="0.3">
      <c r="A1637" s="3" t="s">
        <v>13</v>
      </c>
      <c r="B1637" s="3" t="s">
        <v>50</v>
      </c>
      <c r="C1637" s="4" t="s">
        <v>12</v>
      </c>
      <c r="D1637" s="3" t="s">
        <v>11</v>
      </c>
      <c r="E1637" s="3" t="s">
        <v>44</v>
      </c>
      <c r="F1637" s="3">
        <v>-489641.07999999903</v>
      </c>
    </row>
    <row r="1638" spans="1:6" x14ac:dyDescent="0.3">
      <c r="A1638" s="1" t="s">
        <v>13</v>
      </c>
      <c r="B1638" s="1" t="s">
        <v>50</v>
      </c>
      <c r="C1638" s="2" t="s">
        <v>12</v>
      </c>
      <c r="D1638" s="1" t="s">
        <v>11</v>
      </c>
      <c r="E1638" s="1" t="s">
        <v>45</v>
      </c>
      <c r="F1638" s="1">
        <v>32922.120000000003</v>
      </c>
    </row>
    <row r="1639" spans="1:6" x14ac:dyDescent="0.3">
      <c r="A1639" s="3" t="s">
        <v>13</v>
      </c>
      <c r="B1639" s="3" t="s">
        <v>50</v>
      </c>
      <c r="C1639" s="4" t="s">
        <v>12</v>
      </c>
      <c r="D1639" s="3" t="s">
        <v>11</v>
      </c>
      <c r="E1639" s="3" t="s">
        <v>47</v>
      </c>
      <c r="F1639" s="3">
        <v>15226.9</v>
      </c>
    </row>
    <row r="1640" spans="1:6" x14ac:dyDescent="0.3">
      <c r="A1640" s="1" t="s">
        <v>13</v>
      </c>
      <c r="B1640" s="1" t="s">
        <v>50</v>
      </c>
      <c r="C1640" s="2" t="s">
        <v>12</v>
      </c>
      <c r="D1640" s="1" t="s">
        <v>11</v>
      </c>
      <c r="E1640" s="1" t="s">
        <v>48</v>
      </c>
      <c r="F1640" s="1">
        <v>507336.299999999</v>
      </c>
    </row>
    <row r="1641" spans="1:6" x14ac:dyDescent="0.3">
      <c r="A1641" s="3" t="s">
        <v>13</v>
      </c>
      <c r="B1641" s="3" t="s">
        <v>50</v>
      </c>
      <c r="C1641" s="4" t="s">
        <v>12</v>
      </c>
      <c r="D1641" s="3" t="s">
        <v>11</v>
      </c>
      <c r="E1641" s="3" t="s">
        <v>49</v>
      </c>
      <c r="F1641" s="3">
        <v>-14.8727080759076</v>
      </c>
    </row>
    <row r="1642" spans="1:6" x14ac:dyDescent="0.3">
      <c r="A1642" s="1" t="s">
        <v>13</v>
      </c>
      <c r="B1642" s="1" t="s">
        <v>50</v>
      </c>
      <c r="C1642" s="2" t="s">
        <v>12</v>
      </c>
      <c r="D1642" s="1" t="s">
        <v>1</v>
      </c>
      <c r="E1642" s="1" t="s">
        <v>44</v>
      </c>
      <c r="F1642" s="1">
        <v>17214.12</v>
      </c>
    </row>
    <row r="1643" spans="1:6" x14ac:dyDescent="0.3">
      <c r="A1643" s="3" t="s">
        <v>13</v>
      </c>
      <c r="B1643" s="3" t="s">
        <v>50</v>
      </c>
      <c r="C1643" s="4" t="s">
        <v>12</v>
      </c>
      <c r="D1643" s="3" t="s">
        <v>1</v>
      </c>
      <c r="E1643" s="3" t="s">
        <v>45</v>
      </c>
      <c r="F1643" s="3">
        <v>17214.12</v>
      </c>
    </row>
    <row r="1644" spans="1:6" x14ac:dyDescent="0.3">
      <c r="A1644" s="1" t="s">
        <v>13</v>
      </c>
      <c r="B1644" s="1" t="s">
        <v>50</v>
      </c>
      <c r="C1644" s="2" t="s">
        <v>12</v>
      </c>
      <c r="D1644" s="1" t="s">
        <v>1</v>
      </c>
      <c r="E1644" s="1" t="s">
        <v>49</v>
      </c>
      <c r="F1644" s="1">
        <v>1</v>
      </c>
    </row>
    <row r="1645" spans="1:6" x14ac:dyDescent="0.3">
      <c r="A1645" s="3" t="s">
        <v>13</v>
      </c>
      <c r="B1645" s="3" t="s">
        <v>50</v>
      </c>
      <c r="C1645" s="4" t="s">
        <v>12</v>
      </c>
      <c r="D1645" s="3" t="s">
        <v>6</v>
      </c>
      <c r="E1645" s="3" t="s">
        <v>44</v>
      </c>
      <c r="F1645" s="3">
        <v>17214.12</v>
      </c>
    </row>
    <row r="1646" spans="1:6" x14ac:dyDescent="0.3">
      <c r="A1646" s="1" t="s">
        <v>13</v>
      </c>
      <c r="B1646" s="1" t="s">
        <v>50</v>
      </c>
      <c r="C1646" s="2" t="s">
        <v>12</v>
      </c>
      <c r="D1646" s="1" t="s">
        <v>6</v>
      </c>
      <c r="E1646" s="1" t="s">
        <v>45</v>
      </c>
      <c r="F1646" s="1">
        <v>17214.12</v>
      </c>
    </row>
    <row r="1647" spans="1:6" x14ac:dyDescent="0.3">
      <c r="A1647" s="3" t="s">
        <v>13</v>
      </c>
      <c r="B1647" s="3" t="s">
        <v>50</v>
      </c>
      <c r="C1647" s="4" t="s">
        <v>12</v>
      </c>
      <c r="D1647" s="3" t="s">
        <v>6</v>
      </c>
      <c r="E1647" s="3" t="s">
        <v>49</v>
      </c>
      <c r="F1647" s="3">
        <v>1</v>
      </c>
    </row>
    <row r="1648" spans="1:6" x14ac:dyDescent="0.3">
      <c r="A1648" s="1" t="s">
        <v>13</v>
      </c>
      <c r="B1648" s="1" t="s">
        <v>50</v>
      </c>
      <c r="C1648" s="2" t="s">
        <v>12</v>
      </c>
      <c r="D1648" s="1" t="s">
        <v>9</v>
      </c>
      <c r="E1648" s="1" t="s">
        <v>44</v>
      </c>
      <c r="F1648" s="1">
        <v>28690.2</v>
      </c>
    </row>
    <row r="1649" spans="1:6" x14ac:dyDescent="0.3">
      <c r="A1649" s="3" t="s">
        <v>13</v>
      </c>
      <c r="B1649" s="3" t="s">
        <v>50</v>
      </c>
      <c r="C1649" s="4" t="s">
        <v>12</v>
      </c>
      <c r="D1649" s="3" t="s">
        <v>9</v>
      </c>
      <c r="E1649" s="3" t="s">
        <v>45</v>
      </c>
      <c r="F1649" s="3">
        <v>28690.2</v>
      </c>
    </row>
    <row r="1650" spans="1:6" x14ac:dyDescent="0.3">
      <c r="A1650" s="1" t="s">
        <v>13</v>
      </c>
      <c r="B1650" s="1" t="s">
        <v>50</v>
      </c>
      <c r="C1650" s="2" t="s">
        <v>12</v>
      </c>
      <c r="D1650" s="1" t="s">
        <v>9</v>
      </c>
      <c r="E1650" s="1" t="s">
        <v>49</v>
      </c>
      <c r="F1650" s="1">
        <v>1</v>
      </c>
    </row>
    <row r="1651" spans="1:6" x14ac:dyDescent="0.3">
      <c r="A1651" s="3" t="s">
        <v>13</v>
      </c>
      <c r="B1651" s="3" t="s">
        <v>50</v>
      </c>
      <c r="C1651" s="4" t="s">
        <v>12</v>
      </c>
      <c r="D1651" s="3" t="s">
        <v>11</v>
      </c>
      <c r="E1651" s="3" t="s">
        <v>44</v>
      </c>
      <c r="F1651" s="3">
        <v>34428.239999999998</v>
      </c>
    </row>
    <row r="1652" spans="1:6" x14ac:dyDescent="0.3">
      <c r="A1652" s="1" t="s">
        <v>13</v>
      </c>
      <c r="B1652" s="1" t="s">
        <v>50</v>
      </c>
      <c r="C1652" s="2" t="s">
        <v>12</v>
      </c>
      <c r="D1652" s="1" t="s">
        <v>11</v>
      </c>
      <c r="E1652" s="1" t="s">
        <v>45</v>
      </c>
      <c r="F1652" s="1">
        <v>34428.239999999998</v>
      </c>
    </row>
    <row r="1653" spans="1:6" x14ac:dyDescent="0.3">
      <c r="A1653" s="3" t="s">
        <v>13</v>
      </c>
      <c r="B1653" s="3" t="s">
        <v>50</v>
      </c>
      <c r="C1653" s="4" t="s">
        <v>12</v>
      </c>
      <c r="D1653" s="3" t="s">
        <v>11</v>
      </c>
      <c r="E1653" s="3" t="s">
        <v>49</v>
      </c>
      <c r="F1653" s="3">
        <v>1</v>
      </c>
    </row>
    <row r="1654" spans="1:6" x14ac:dyDescent="0.3">
      <c r="A1654" s="1" t="s">
        <v>13</v>
      </c>
      <c r="B1654" s="1" t="s">
        <v>50</v>
      </c>
      <c r="C1654" s="2" t="s">
        <v>12</v>
      </c>
      <c r="D1654" s="1" t="s">
        <v>1</v>
      </c>
      <c r="E1654" s="1" t="s">
        <v>44</v>
      </c>
      <c r="F1654" s="1">
        <v>-382974.94999999902</v>
      </c>
    </row>
    <row r="1655" spans="1:6" x14ac:dyDescent="0.3">
      <c r="A1655" s="3" t="s">
        <v>13</v>
      </c>
      <c r="B1655" s="3" t="s">
        <v>50</v>
      </c>
      <c r="C1655" s="4" t="s">
        <v>12</v>
      </c>
      <c r="D1655" s="3" t="s">
        <v>1</v>
      </c>
      <c r="E1655" s="3" t="s">
        <v>45</v>
      </c>
      <c r="F1655" s="3">
        <v>37422</v>
      </c>
    </row>
    <row r="1656" spans="1:6" x14ac:dyDescent="0.3">
      <c r="A1656" s="1" t="s">
        <v>13</v>
      </c>
      <c r="B1656" s="1" t="s">
        <v>50</v>
      </c>
      <c r="C1656" s="2" t="s">
        <v>12</v>
      </c>
      <c r="D1656" s="1" t="s">
        <v>1</v>
      </c>
      <c r="E1656" s="1" t="s">
        <v>46</v>
      </c>
      <c r="F1656" s="1">
        <v>21960</v>
      </c>
    </row>
    <row r="1657" spans="1:6" x14ac:dyDescent="0.3">
      <c r="A1657" s="3" t="s">
        <v>13</v>
      </c>
      <c r="B1657" s="3" t="s">
        <v>50</v>
      </c>
      <c r="C1657" s="4" t="s">
        <v>12</v>
      </c>
      <c r="D1657" s="3" t="s">
        <v>1</v>
      </c>
      <c r="E1657" s="3" t="s">
        <v>47</v>
      </c>
      <c r="F1657" s="3">
        <v>3842.15</v>
      </c>
    </row>
    <row r="1658" spans="1:6" x14ac:dyDescent="0.3">
      <c r="A1658" s="1" t="s">
        <v>13</v>
      </c>
      <c r="B1658" s="1" t="s">
        <v>50</v>
      </c>
      <c r="C1658" s="2" t="s">
        <v>12</v>
      </c>
      <c r="D1658" s="1" t="s">
        <v>1</v>
      </c>
      <c r="E1658" s="1" t="s">
        <v>48</v>
      </c>
      <c r="F1658" s="1">
        <v>394594.799999999</v>
      </c>
    </row>
    <row r="1659" spans="1:6" x14ac:dyDescent="0.3">
      <c r="A1659" s="3" t="s">
        <v>13</v>
      </c>
      <c r="B1659" s="3" t="s">
        <v>50</v>
      </c>
      <c r="C1659" s="4" t="s">
        <v>12</v>
      </c>
      <c r="D1659" s="3" t="s">
        <v>1</v>
      </c>
      <c r="E1659" s="3" t="s">
        <v>49</v>
      </c>
      <c r="F1659" s="3">
        <v>-10.2339519533963</v>
      </c>
    </row>
    <row r="1660" spans="1:6" x14ac:dyDescent="0.3">
      <c r="A1660" s="1" t="s">
        <v>13</v>
      </c>
      <c r="B1660" s="1" t="s">
        <v>50</v>
      </c>
      <c r="C1660" s="2" t="s">
        <v>12</v>
      </c>
      <c r="D1660" s="1" t="s">
        <v>6</v>
      </c>
      <c r="E1660" s="1" t="s">
        <v>44</v>
      </c>
      <c r="F1660" s="1">
        <v>-416355.39999999898</v>
      </c>
    </row>
    <row r="1661" spans="1:6" x14ac:dyDescent="0.3">
      <c r="A1661" s="3" t="s">
        <v>13</v>
      </c>
      <c r="B1661" s="3" t="s">
        <v>50</v>
      </c>
      <c r="C1661" s="4" t="s">
        <v>12</v>
      </c>
      <c r="D1661" s="3" t="s">
        <v>6</v>
      </c>
      <c r="E1661" s="3" t="s">
        <v>45</v>
      </c>
      <c r="F1661" s="3">
        <v>37422</v>
      </c>
    </row>
    <row r="1662" spans="1:6" x14ac:dyDescent="0.3">
      <c r="A1662" s="1" t="s">
        <v>13</v>
      </c>
      <c r="B1662" s="1" t="s">
        <v>50</v>
      </c>
      <c r="C1662" s="2" t="s">
        <v>12</v>
      </c>
      <c r="D1662" s="1" t="s">
        <v>6</v>
      </c>
      <c r="E1662" s="1" t="s">
        <v>46</v>
      </c>
      <c r="F1662" s="1">
        <v>32940</v>
      </c>
    </row>
    <row r="1663" spans="1:6" x14ac:dyDescent="0.3">
      <c r="A1663" s="3" t="s">
        <v>13</v>
      </c>
      <c r="B1663" s="3" t="s">
        <v>50</v>
      </c>
      <c r="C1663" s="4" t="s">
        <v>12</v>
      </c>
      <c r="D1663" s="3" t="s">
        <v>6</v>
      </c>
      <c r="E1663" s="3" t="s">
        <v>47</v>
      </c>
      <c r="F1663" s="3">
        <v>3694.5999999999899</v>
      </c>
    </row>
    <row r="1664" spans="1:6" x14ac:dyDescent="0.3">
      <c r="A1664" s="1" t="s">
        <v>13</v>
      </c>
      <c r="B1664" s="1" t="s">
        <v>50</v>
      </c>
      <c r="C1664" s="2" t="s">
        <v>12</v>
      </c>
      <c r="D1664" s="1" t="s">
        <v>6</v>
      </c>
      <c r="E1664" s="1" t="s">
        <v>48</v>
      </c>
      <c r="F1664" s="1">
        <v>417142.799999999</v>
      </c>
    </row>
    <row r="1665" spans="1:6" x14ac:dyDescent="0.3">
      <c r="A1665" s="3" t="s">
        <v>13</v>
      </c>
      <c r="B1665" s="3" t="s">
        <v>50</v>
      </c>
      <c r="C1665" s="4" t="s">
        <v>12</v>
      </c>
      <c r="D1665" s="3" t="s">
        <v>6</v>
      </c>
      <c r="E1665" s="3" t="s">
        <v>49</v>
      </c>
      <c r="F1665" s="3">
        <v>-11.125952648174801</v>
      </c>
    </row>
    <row r="1666" spans="1:6" x14ac:dyDescent="0.3">
      <c r="A1666" s="1" t="s">
        <v>13</v>
      </c>
      <c r="B1666" s="1" t="s">
        <v>50</v>
      </c>
      <c r="C1666" s="2" t="s">
        <v>12</v>
      </c>
      <c r="D1666" s="1" t="s">
        <v>9</v>
      </c>
      <c r="E1666" s="1" t="s">
        <v>44</v>
      </c>
      <c r="F1666" s="1">
        <v>-461454.39999999898</v>
      </c>
    </row>
    <row r="1667" spans="1:6" x14ac:dyDescent="0.3">
      <c r="A1667" s="3" t="s">
        <v>13</v>
      </c>
      <c r="B1667" s="3" t="s">
        <v>50</v>
      </c>
      <c r="C1667" s="4" t="s">
        <v>12</v>
      </c>
      <c r="D1667" s="3" t="s">
        <v>9</v>
      </c>
      <c r="E1667" s="3" t="s">
        <v>45</v>
      </c>
      <c r="F1667" s="3">
        <v>37422</v>
      </c>
    </row>
    <row r="1668" spans="1:6" x14ac:dyDescent="0.3">
      <c r="A1668" s="1" t="s">
        <v>13</v>
      </c>
      <c r="B1668" s="1" t="s">
        <v>50</v>
      </c>
      <c r="C1668" s="2" t="s">
        <v>12</v>
      </c>
      <c r="D1668" s="1" t="s">
        <v>9</v>
      </c>
      <c r="E1668" s="1" t="s">
        <v>46</v>
      </c>
      <c r="F1668" s="1">
        <v>43920</v>
      </c>
    </row>
    <row r="1669" spans="1:6" x14ac:dyDescent="0.3">
      <c r="A1669" s="3" t="s">
        <v>13</v>
      </c>
      <c r="B1669" s="3" t="s">
        <v>50</v>
      </c>
      <c r="C1669" s="4" t="s">
        <v>12</v>
      </c>
      <c r="D1669" s="3" t="s">
        <v>9</v>
      </c>
      <c r="E1669" s="3" t="s">
        <v>47</v>
      </c>
      <c r="F1669" s="3">
        <v>3990.99999999999</v>
      </c>
    </row>
    <row r="1670" spans="1:6" x14ac:dyDescent="0.3">
      <c r="A1670" s="1" t="s">
        <v>13</v>
      </c>
      <c r="B1670" s="1" t="s">
        <v>50</v>
      </c>
      <c r="C1670" s="2" t="s">
        <v>12</v>
      </c>
      <c r="D1670" s="1" t="s">
        <v>9</v>
      </c>
      <c r="E1670" s="1" t="s">
        <v>48</v>
      </c>
      <c r="F1670" s="1">
        <v>450965.39999999898</v>
      </c>
    </row>
    <row r="1671" spans="1:6" x14ac:dyDescent="0.3">
      <c r="A1671" s="3" t="s">
        <v>13</v>
      </c>
      <c r="B1671" s="3" t="s">
        <v>50</v>
      </c>
      <c r="C1671" s="4" t="s">
        <v>12</v>
      </c>
      <c r="D1671" s="3" t="s">
        <v>9</v>
      </c>
      <c r="E1671" s="3" t="s">
        <v>49</v>
      </c>
      <c r="F1671" s="3">
        <v>-12.3310993533215</v>
      </c>
    </row>
    <row r="1672" spans="1:6" x14ac:dyDescent="0.3">
      <c r="A1672" s="1" t="s">
        <v>13</v>
      </c>
      <c r="B1672" s="1" t="s">
        <v>50</v>
      </c>
      <c r="C1672" s="2" t="s">
        <v>12</v>
      </c>
      <c r="D1672" s="1" t="s">
        <v>11</v>
      </c>
      <c r="E1672" s="1" t="s">
        <v>44</v>
      </c>
      <c r="F1672" s="1">
        <v>-492258.09999999899</v>
      </c>
    </row>
    <row r="1673" spans="1:6" x14ac:dyDescent="0.3">
      <c r="A1673" s="3" t="s">
        <v>13</v>
      </c>
      <c r="B1673" s="3" t="s">
        <v>50</v>
      </c>
      <c r="C1673" s="4" t="s">
        <v>12</v>
      </c>
      <c r="D1673" s="3" t="s">
        <v>11</v>
      </c>
      <c r="E1673" s="3" t="s">
        <v>45</v>
      </c>
      <c r="F1673" s="3">
        <v>37422</v>
      </c>
    </row>
    <row r="1674" spans="1:6" x14ac:dyDescent="0.3">
      <c r="A1674" s="1" t="s">
        <v>13</v>
      </c>
      <c r="B1674" s="1" t="s">
        <v>50</v>
      </c>
      <c r="C1674" s="2" t="s">
        <v>12</v>
      </c>
      <c r="D1674" s="1" t="s">
        <v>11</v>
      </c>
      <c r="E1674" s="1" t="s">
        <v>46</v>
      </c>
      <c r="F1674" s="1">
        <v>54900</v>
      </c>
    </row>
    <row r="1675" spans="1:6" x14ac:dyDescent="0.3">
      <c r="A1675" s="3" t="s">
        <v>13</v>
      </c>
      <c r="B1675" s="3" t="s">
        <v>50</v>
      </c>
      <c r="C1675" s="4" t="s">
        <v>12</v>
      </c>
      <c r="D1675" s="3" t="s">
        <v>11</v>
      </c>
      <c r="E1675" s="3" t="s">
        <v>47</v>
      </c>
      <c r="F1675" s="3">
        <v>5024.5</v>
      </c>
    </row>
    <row r="1676" spans="1:6" x14ac:dyDescent="0.3">
      <c r="A1676" s="1" t="s">
        <v>13</v>
      </c>
      <c r="B1676" s="1" t="s">
        <v>50</v>
      </c>
      <c r="C1676" s="2" t="s">
        <v>12</v>
      </c>
      <c r="D1676" s="1" t="s">
        <v>11</v>
      </c>
      <c r="E1676" s="1" t="s">
        <v>48</v>
      </c>
      <c r="F1676" s="1">
        <v>469755.59999999899</v>
      </c>
    </row>
    <row r="1677" spans="1:6" x14ac:dyDescent="0.3">
      <c r="A1677" s="3" t="s">
        <v>13</v>
      </c>
      <c r="B1677" s="3" t="s">
        <v>50</v>
      </c>
      <c r="C1677" s="4" t="s">
        <v>12</v>
      </c>
      <c r="D1677" s="3" t="s">
        <v>11</v>
      </c>
      <c r="E1677" s="3" t="s">
        <v>49</v>
      </c>
      <c r="F1677" s="3">
        <v>-13.1542434931323</v>
      </c>
    </row>
    <row r="1678" spans="1:6" x14ac:dyDescent="0.3">
      <c r="A1678" s="1" t="s">
        <v>13</v>
      </c>
      <c r="B1678" s="1" t="s">
        <v>51</v>
      </c>
      <c r="C1678" s="2" t="s">
        <v>12</v>
      </c>
      <c r="D1678" s="1" t="s">
        <v>1</v>
      </c>
      <c r="E1678" s="1" t="s">
        <v>44</v>
      </c>
      <c r="F1678" s="1">
        <v>-163184.45000000001</v>
      </c>
    </row>
    <row r="1679" spans="1:6" x14ac:dyDescent="0.3">
      <c r="A1679" s="3" t="s">
        <v>13</v>
      </c>
      <c r="B1679" s="3" t="s">
        <v>51</v>
      </c>
      <c r="C1679" s="4" t="s">
        <v>12</v>
      </c>
      <c r="D1679" s="3" t="s">
        <v>1</v>
      </c>
      <c r="E1679" s="3" t="s">
        <v>45</v>
      </c>
      <c r="F1679" s="3">
        <v>14632.199999999901</v>
      </c>
    </row>
    <row r="1680" spans="1:6" x14ac:dyDescent="0.3">
      <c r="A1680" s="1" t="s">
        <v>13</v>
      </c>
      <c r="B1680" s="1" t="s">
        <v>51</v>
      </c>
      <c r="C1680" s="2" t="s">
        <v>12</v>
      </c>
      <c r="D1680" s="1" t="s">
        <v>1</v>
      </c>
      <c r="E1680" s="1" t="s">
        <v>46</v>
      </c>
      <c r="F1680" s="1">
        <v>164974.5</v>
      </c>
    </row>
    <row r="1681" spans="1:6" x14ac:dyDescent="0.3">
      <c r="A1681" s="3" t="s">
        <v>13</v>
      </c>
      <c r="B1681" s="3" t="s">
        <v>51</v>
      </c>
      <c r="C1681" s="4" t="s">
        <v>12</v>
      </c>
      <c r="D1681" s="3" t="s">
        <v>1</v>
      </c>
      <c r="E1681" s="3" t="s">
        <v>47</v>
      </c>
      <c r="F1681" s="3">
        <v>3842.15</v>
      </c>
    </row>
    <row r="1682" spans="1:6" x14ac:dyDescent="0.3">
      <c r="A1682" s="1" t="s">
        <v>13</v>
      </c>
      <c r="B1682" s="1" t="s">
        <v>51</v>
      </c>
      <c r="C1682" s="2" t="s">
        <v>12</v>
      </c>
      <c r="D1682" s="1" t="s">
        <v>1</v>
      </c>
      <c r="E1682" s="1" t="s">
        <v>48</v>
      </c>
      <c r="F1682" s="1">
        <v>8999.9999999999909</v>
      </c>
    </row>
    <row r="1683" spans="1:6" x14ac:dyDescent="0.3">
      <c r="A1683" s="3" t="s">
        <v>13</v>
      </c>
      <c r="B1683" s="3" t="s">
        <v>51</v>
      </c>
      <c r="C1683" s="4" t="s">
        <v>12</v>
      </c>
      <c r="D1683" s="3" t="s">
        <v>1</v>
      </c>
      <c r="E1683" s="3" t="s">
        <v>49</v>
      </c>
      <c r="F1683" s="3">
        <v>-11.1524206886182</v>
      </c>
    </row>
    <row r="1684" spans="1:6" x14ac:dyDescent="0.3">
      <c r="A1684" s="1" t="s">
        <v>13</v>
      </c>
      <c r="B1684" s="1" t="s">
        <v>51</v>
      </c>
      <c r="C1684" s="2" t="s">
        <v>12</v>
      </c>
      <c r="D1684" s="1" t="s">
        <v>6</v>
      </c>
      <c r="E1684" s="1" t="s">
        <v>44</v>
      </c>
      <c r="F1684" s="1">
        <v>-163036.9</v>
      </c>
    </row>
    <row r="1685" spans="1:6" x14ac:dyDescent="0.3">
      <c r="A1685" s="3" t="s">
        <v>13</v>
      </c>
      <c r="B1685" s="3" t="s">
        <v>51</v>
      </c>
      <c r="C1685" s="4" t="s">
        <v>12</v>
      </c>
      <c r="D1685" s="3" t="s">
        <v>6</v>
      </c>
      <c r="E1685" s="3" t="s">
        <v>45</v>
      </c>
      <c r="F1685" s="3">
        <v>14632.199999999901</v>
      </c>
    </row>
    <row r="1686" spans="1:6" x14ac:dyDescent="0.3">
      <c r="A1686" s="1" t="s">
        <v>13</v>
      </c>
      <c r="B1686" s="1" t="s">
        <v>51</v>
      </c>
      <c r="C1686" s="2" t="s">
        <v>12</v>
      </c>
      <c r="D1686" s="1" t="s">
        <v>6</v>
      </c>
      <c r="E1686" s="1" t="s">
        <v>46</v>
      </c>
      <c r="F1686" s="1">
        <v>164974.5</v>
      </c>
    </row>
    <row r="1687" spans="1:6" x14ac:dyDescent="0.3">
      <c r="A1687" s="3" t="s">
        <v>13</v>
      </c>
      <c r="B1687" s="3" t="s">
        <v>51</v>
      </c>
      <c r="C1687" s="4" t="s">
        <v>12</v>
      </c>
      <c r="D1687" s="3" t="s">
        <v>6</v>
      </c>
      <c r="E1687" s="3" t="s">
        <v>47</v>
      </c>
      <c r="F1687" s="3">
        <v>3694.5999999999899</v>
      </c>
    </row>
    <row r="1688" spans="1:6" x14ac:dyDescent="0.3">
      <c r="A1688" s="1" t="s">
        <v>13</v>
      </c>
      <c r="B1688" s="1" t="s">
        <v>51</v>
      </c>
      <c r="C1688" s="2" t="s">
        <v>12</v>
      </c>
      <c r="D1688" s="1" t="s">
        <v>6</v>
      </c>
      <c r="E1688" s="1" t="s">
        <v>48</v>
      </c>
      <c r="F1688" s="1">
        <v>8999.9999999999909</v>
      </c>
    </row>
    <row r="1689" spans="1:6" x14ac:dyDescent="0.3">
      <c r="A1689" s="3" t="s">
        <v>13</v>
      </c>
      <c r="B1689" s="3" t="s">
        <v>51</v>
      </c>
      <c r="C1689" s="4" t="s">
        <v>12</v>
      </c>
      <c r="D1689" s="3" t="s">
        <v>6</v>
      </c>
      <c r="E1689" s="3" t="s">
        <v>49</v>
      </c>
      <c r="F1689" s="3">
        <v>-11.1423367641229</v>
      </c>
    </row>
    <row r="1690" spans="1:6" x14ac:dyDescent="0.3">
      <c r="A1690" s="1" t="s">
        <v>13</v>
      </c>
      <c r="B1690" s="1" t="s">
        <v>51</v>
      </c>
      <c r="C1690" s="2" t="s">
        <v>12</v>
      </c>
      <c r="D1690" s="1" t="s">
        <v>9</v>
      </c>
      <c r="E1690" s="1" t="s">
        <v>44</v>
      </c>
      <c r="F1690" s="1">
        <v>-263561.5</v>
      </c>
    </row>
    <row r="1691" spans="1:6" x14ac:dyDescent="0.3">
      <c r="A1691" s="3" t="s">
        <v>13</v>
      </c>
      <c r="B1691" s="3" t="s">
        <v>51</v>
      </c>
      <c r="C1691" s="4" t="s">
        <v>12</v>
      </c>
      <c r="D1691" s="3" t="s">
        <v>9</v>
      </c>
      <c r="E1691" s="3" t="s">
        <v>45</v>
      </c>
      <c r="F1691" s="3">
        <v>24386.999999999902</v>
      </c>
    </row>
    <row r="1692" spans="1:6" x14ac:dyDescent="0.3">
      <c r="A1692" s="1" t="s">
        <v>13</v>
      </c>
      <c r="B1692" s="1" t="s">
        <v>51</v>
      </c>
      <c r="C1692" s="2" t="s">
        <v>12</v>
      </c>
      <c r="D1692" s="1" t="s">
        <v>9</v>
      </c>
      <c r="E1692" s="1" t="s">
        <v>46</v>
      </c>
      <c r="F1692" s="1">
        <v>274957.5</v>
      </c>
    </row>
    <row r="1693" spans="1:6" x14ac:dyDescent="0.3">
      <c r="A1693" s="3" t="s">
        <v>13</v>
      </c>
      <c r="B1693" s="3" t="s">
        <v>51</v>
      </c>
      <c r="C1693" s="4" t="s">
        <v>12</v>
      </c>
      <c r="D1693" s="3" t="s">
        <v>9</v>
      </c>
      <c r="E1693" s="3" t="s">
        <v>47</v>
      </c>
      <c r="F1693" s="3">
        <v>3990.99999999999</v>
      </c>
    </row>
    <row r="1694" spans="1:6" x14ac:dyDescent="0.3">
      <c r="A1694" s="1" t="s">
        <v>13</v>
      </c>
      <c r="B1694" s="1" t="s">
        <v>51</v>
      </c>
      <c r="C1694" s="2" t="s">
        <v>12</v>
      </c>
      <c r="D1694" s="1" t="s">
        <v>9</v>
      </c>
      <c r="E1694" s="1" t="s">
        <v>48</v>
      </c>
      <c r="F1694" s="1">
        <v>8999.9999999999909</v>
      </c>
    </row>
    <row r="1695" spans="1:6" x14ac:dyDescent="0.3">
      <c r="A1695" s="3" t="s">
        <v>13</v>
      </c>
      <c r="B1695" s="3" t="s">
        <v>51</v>
      </c>
      <c r="C1695" s="4" t="s">
        <v>12</v>
      </c>
      <c r="D1695" s="3" t="s">
        <v>9</v>
      </c>
      <c r="E1695" s="3" t="s">
        <v>49</v>
      </c>
      <c r="F1695" s="3">
        <v>-10.807458892032599</v>
      </c>
    </row>
    <row r="1696" spans="1:6" x14ac:dyDescent="0.3">
      <c r="A1696" s="1" t="s">
        <v>13</v>
      </c>
      <c r="B1696" s="1" t="s">
        <v>51</v>
      </c>
      <c r="C1696" s="2" t="s">
        <v>12</v>
      </c>
      <c r="D1696" s="1" t="s">
        <v>11</v>
      </c>
      <c r="E1696" s="1" t="s">
        <v>44</v>
      </c>
      <c r="F1696" s="1">
        <v>-314709.09999999998</v>
      </c>
    </row>
    <row r="1697" spans="1:6" x14ac:dyDescent="0.3">
      <c r="A1697" s="3" t="s">
        <v>13</v>
      </c>
      <c r="B1697" s="3" t="s">
        <v>51</v>
      </c>
      <c r="C1697" s="4" t="s">
        <v>12</v>
      </c>
      <c r="D1697" s="3" t="s">
        <v>11</v>
      </c>
      <c r="E1697" s="3" t="s">
        <v>45</v>
      </c>
      <c r="F1697" s="3">
        <v>29264.3999999999</v>
      </c>
    </row>
    <row r="1698" spans="1:6" x14ac:dyDescent="0.3">
      <c r="A1698" s="1" t="s">
        <v>13</v>
      </c>
      <c r="B1698" s="1" t="s">
        <v>51</v>
      </c>
      <c r="C1698" s="2" t="s">
        <v>12</v>
      </c>
      <c r="D1698" s="1" t="s">
        <v>11</v>
      </c>
      <c r="E1698" s="1" t="s">
        <v>46</v>
      </c>
      <c r="F1698" s="1">
        <v>329949</v>
      </c>
    </row>
    <row r="1699" spans="1:6" x14ac:dyDescent="0.3">
      <c r="A1699" s="3" t="s">
        <v>13</v>
      </c>
      <c r="B1699" s="3" t="s">
        <v>51</v>
      </c>
      <c r="C1699" s="4" t="s">
        <v>12</v>
      </c>
      <c r="D1699" s="3" t="s">
        <v>11</v>
      </c>
      <c r="E1699" s="3" t="s">
        <v>47</v>
      </c>
      <c r="F1699" s="3">
        <v>5024.5</v>
      </c>
    </row>
    <row r="1700" spans="1:6" x14ac:dyDescent="0.3">
      <c r="A1700" s="1" t="s">
        <v>13</v>
      </c>
      <c r="B1700" s="1" t="s">
        <v>51</v>
      </c>
      <c r="C1700" s="2" t="s">
        <v>12</v>
      </c>
      <c r="D1700" s="1" t="s">
        <v>11</v>
      </c>
      <c r="E1700" s="1" t="s">
        <v>48</v>
      </c>
      <c r="F1700" s="1">
        <v>8999.9999999999909</v>
      </c>
    </row>
    <row r="1701" spans="1:6" x14ac:dyDescent="0.3">
      <c r="A1701" s="3" t="s">
        <v>13</v>
      </c>
      <c r="B1701" s="3" t="s">
        <v>51</v>
      </c>
      <c r="C1701" s="4" t="s">
        <v>12</v>
      </c>
      <c r="D1701" s="3" t="s">
        <v>11</v>
      </c>
      <c r="E1701" s="3" t="s">
        <v>49</v>
      </c>
      <c r="F1701" s="3">
        <v>-10.7539911974959</v>
      </c>
    </row>
    <row r="1702" spans="1:6" x14ac:dyDescent="0.3">
      <c r="A1702" s="1" t="s">
        <v>13</v>
      </c>
      <c r="B1702" s="1" t="s">
        <v>51</v>
      </c>
      <c r="C1702" s="2" t="s">
        <v>12</v>
      </c>
      <c r="D1702" s="1" t="s">
        <v>1</v>
      </c>
      <c r="E1702" s="1" t="s">
        <v>44</v>
      </c>
      <c r="F1702" s="1">
        <v>-535266.80000000005</v>
      </c>
    </row>
    <row r="1703" spans="1:6" x14ac:dyDescent="0.3">
      <c r="A1703" s="3" t="s">
        <v>13</v>
      </c>
      <c r="B1703" s="3" t="s">
        <v>51</v>
      </c>
      <c r="C1703" s="4" t="s">
        <v>12</v>
      </c>
      <c r="D1703" s="3" t="s">
        <v>1</v>
      </c>
      <c r="E1703" s="3" t="s">
        <v>45</v>
      </c>
      <c r="F1703" s="3">
        <v>31808.7</v>
      </c>
    </row>
    <row r="1704" spans="1:6" x14ac:dyDescent="0.3">
      <c r="A1704" s="1" t="s">
        <v>13</v>
      </c>
      <c r="B1704" s="1" t="s">
        <v>51</v>
      </c>
      <c r="C1704" s="2" t="s">
        <v>12</v>
      </c>
      <c r="D1704" s="1" t="s">
        <v>1</v>
      </c>
      <c r="E1704" s="1" t="s">
        <v>46</v>
      </c>
      <c r="F1704" s="1">
        <v>329949</v>
      </c>
    </row>
    <row r="1705" spans="1:6" x14ac:dyDescent="0.3">
      <c r="A1705" s="3" t="s">
        <v>13</v>
      </c>
      <c r="B1705" s="3" t="s">
        <v>51</v>
      </c>
      <c r="C1705" s="4" t="s">
        <v>12</v>
      </c>
      <c r="D1705" s="3" t="s">
        <v>1</v>
      </c>
      <c r="E1705" s="3" t="s">
        <v>47</v>
      </c>
      <c r="F1705" s="3">
        <v>11644.0999999999</v>
      </c>
    </row>
    <row r="1706" spans="1:6" x14ac:dyDescent="0.3">
      <c r="A1706" s="1" t="s">
        <v>13</v>
      </c>
      <c r="B1706" s="1" t="s">
        <v>51</v>
      </c>
      <c r="C1706" s="2" t="s">
        <v>12</v>
      </c>
      <c r="D1706" s="1" t="s">
        <v>1</v>
      </c>
      <c r="E1706" s="1" t="s">
        <v>48</v>
      </c>
      <c r="F1706" s="1">
        <v>225482.399999999</v>
      </c>
    </row>
    <row r="1707" spans="1:6" x14ac:dyDescent="0.3">
      <c r="A1707" s="3" t="s">
        <v>13</v>
      </c>
      <c r="B1707" s="3" t="s">
        <v>51</v>
      </c>
      <c r="C1707" s="4" t="s">
        <v>12</v>
      </c>
      <c r="D1707" s="3" t="s">
        <v>1</v>
      </c>
      <c r="E1707" s="3" t="s">
        <v>49</v>
      </c>
      <c r="F1707" s="3">
        <v>-16.827685507424</v>
      </c>
    </row>
    <row r="1708" spans="1:6" x14ac:dyDescent="0.3">
      <c r="A1708" s="1" t="s">
        <v>13</v>
      </c>
      <c r="B1708" s="1" t="s">
        <v>51</v>
      </c>
      <c r="C1708" s="2" t="s">
        <v>12</v>
      </c>
      <c r="D1708" s="1" t="s">
        <v>6</v>
      </c>
      <c r="E1708" s="1" t="s">
        <v>44</v>
      </c>
      <c r="F1708" s="1">
        <v>-538398.25</v>
      </c>
    </row>
    <row r="1709" spans="1:6" x14ac:dyDescent="0.3">
      <c r="A1709" s="3" t="s">
        <v>13</v>
      </c>
      <c r="B1709" s="3" t="s">
        <v>51</v>
      </c>
      <c r="C1709" s="4" t="s">
        <v>12</v>
      </c>
      <c r="D1709" s="3" t="s">
        <v>6</v>
      </c>
      <c r="E1709" s="3" t="s">
        <v>45</v>
      </c>
      <c r="F1709" s="3">
        <v>31808.7</v>
      </c>
    </row>
    <row r="1710" spans="1:6" x14ac:dyDescent="0.3">
      <c r="A1710" s="1" t="s">
        <v>13</v>
      </c>
      <c r="B1710" s="1" t="s">
        <v>51</v>
      </c>
      <c r="C1710" s="2" t="s">
        <v>12</v>
      </c>
      <c r="D1710" s="1" t="s">
        <v>6</v>
      </c>
      <c r="E1710" s="1" t="s">
        <v>46</v>
      </c>
      <c r="F1710" s="1">
        <v>329949</v>
      </c>
    </row>
    <row r="1711" spans="1:6" x14ac:dyDescent="0.3">
      <c r="A1711" s="3" t="s">
        <v>13</v>
      </c>
      <c r="B1711" s="3" t="s">
        <v>51</v>
      </c>
      <c r="C1711" s="4" t="s">
        <v>12</v>
      </c>
      <c r="D1711" s="3" t="s">
        <v>6</v>
      </c>
      <c r="E1711" s="3" t="s">
        <v>47</v>
      </c>
      <c r="F1711" s="3">
        <v>11196.2499999999</v>
      </c>
    </row>
    <row r="1712" spans="1:6" x14ac:dyDescent="0.3">
      <c r="A1712" s="1" t="s">
        <v>13</v>
      </c>
      <c r="B1712" s="1" t="s">
        <v>51</v>
      </c>
      <c r="C1712" s="2" t="s">
        <v>12</v>
      </c>
      <c r="D1712" s="1" t="s">
        <v>6</v>
      </c>
      <c r="E1712" s="1" t="s">
        <v>48</v>
      </c>
      <c r="F1712" s="1">
        <v>229061.69999999899</v>
      </c>
    </row>
    <row r="1713" spans="1:6" x14ac:dyDescent="0.3">
      <c r="A1713" s="3" t="s">
        <v>13</v>
      </c>
      <c r="B1713" s="3" t="s">
        <v>51</v>
      </c>
      <c r="C1713" s="4" t="s">
        <v>12</v>
      </c>
      <c r="D1713" s="3" t="s">
        <v>6</v>
      </c>
      <c r="E1713" s="3" t="s">
        <v>49</v>
      </c>
      <c r="F1713" s="3">
        <v>-16.926131844432401</v>
      </c>
    </row>
    <row r="1714" spans="1:6" x14ac:dyDescent="0.3">
      <c r="A1714" s="1" t="s">
        <v>13</v>
      </c>
      <c r="B1714" s="1" t="s">
        <v>51</v>
      </c>
      <c r="C1714" s="2" t="s">
        <v>12</v>
      </c>
      <c r="D1714" s="1" t="s">
        <v>9</v>
      </c>
      <c r="E1714" s="1" t="s">
        <v>44</v>
      </c>
      <c r="F1714" s="1">
        <v>-553610.549999999</v>
      </c>
    </row>
    <row r="1715" spans="1:6" x14ac:dyDescent="0.3">
      <c r="A1715" s="3" t="s">
        <v>13</v>
      </c>
      <c r="B1715" s="3" t="s">
        <v>51</v>
      </c>
      <c r="C1715" s="4" t="s">
        <v>12</v>
      </c>
      <c r="D1715" s="3" t="s">
        <v>9</v>
      </c>
      <c r="E1715" s="3" t="s">
        <v>45</v>
      </c>
      <c r="F1715" s="3">
        <v>31808.7</v>
      </c>
    </row>
    <row r="1716" spans="1:6" x14ac:dyDescent="0.3">
      <c r="A1716" s="1" t="s">
        <v>13</v>
      </c>
      <c r="B1716" s="1" t="s">
        <v>51</v>
      </c>
      <c r="C1716" s="2" t="s">
        <v>12</v>
      </c>
      <c r="D1716" s="1" t="s">
        <v>9</v>
      </c>
      <c r="E1716" s="1" t="s">
        <v>46</v>
      </c>
      <c r="F1716" s="1">
        <v>329949</v>
      </c>
    </row>
    <row r="1717" spans="1:6" x14ac:dyDescent="0.3">
      <c r="A1717" s="3" t="s">
        <v>13</v>
      </c>
      <c r="B1717" s="3" t="s">
        <v>51</v>
      </c>
      <c r="C1717" s="4" t="s">
        <v>12</v>
      </c>
      <c r="D1717" s="3" t="s">
        <v>9</v>
      </c>
      <c r="E1717" s="3" t="s">
        <v>47</v>
      </c>
      <c r="F1717" s="3">
        <v>12091.95</v>
      </c>
    </row>
    <row r="1718" spans="1:6" x14ac:dyDescent="0.3">
      <c r="A1718" s="1" t="s">
        <v>13</v>
      </c>
      <c r="B1718" s="1" t="s">
        <v>51</v>
      </c>
      <c r="C1718" s="2" t="s">
        <v>12</v>
      </c>
      <c r="D1718" s="1" t="s">
        <v>9</v>
      </c>
      <c r="E1718" s="1" t="s">
        <v>48</v>
      </c>
      <c r="F1718" s="1">
        <v>243378.299999999</v>
      </c>
    </row>
    <row r="1719" spans="1:6" x14ac:dyDescent="0.3">
      <c r="A1719" s="3" t="s">
        <v>13</v>
      </c>
      <c r="B1719" s="3" t="s">
        <v>51</v>
      </c>
      <c r="C1719" s="4" t="s">
        <v>12</v>
      </c>
      <c r="D1719" s="3" t="s">
        <v>9</v>
      </c>
      <c r="E1719" s="3" t="s">
        <v>49</v>
      </c>
      <c r="F1719" s="3">
        <v>-17.4043752181007</v>
      </c>
    </row>
    <row r="1720" spans="1:6" x14ac:dyDescent="0.3">
      <c r="A1720" s="1" t="s">
        <v>13</v>
      </c>
      <c r="B1720" s="1" t="s">
        <v>51</v>
      </c>
      <c r="C1720" s="2" t="s">
        <v>12</v>
      </c>
      <c r="D1720" s="1" t="s">
        <v>11</v>
      </c>
      <c r="E1720" s="1" t="s">
        <v>44</v>
      </c>
      <c r="F1720" s="1">
        <v>-571061.5</v>
      </c>
    </row>
    <row r="1721" spans="1:6" x14ac:dyDescent="0.3">
      <c r="A1721" s="3" t="s">
        <v>13</v>
      </c>
      <c r="B1721" s="3" t="s">
        <v>51</v>
      </c>
      <c r="C1721" s="4" t="s">
        <v>12</v>
      </c>
      <c r="D1721" s="3" t="s">
        <v>11</v>
      </c>
      <c r="E1721" s="3" t="s">
        <v>45</v>
      </c>
      <c r="F1721" s="3">
        <v>31808.7</v>
      </c>
    </row>
    <row r="1722" spans="1:6" x14ac:dyDescent="0.3">
      <c r="A1722" s="1" t="s">
        <v>13</v>
      </c>
      <c r="B1722" s="1" t="s">
        <v>51</v>
      </c>
      <c r="C1722" s="2" t="s">
        <v>12</v>
      </c>
      <c r="D1722" s="1" t="s">
        <v>11</v>
      </c>
      <c r="E1722" s="1" t="s">
        <v>46</v>
      </c>
      <c r="F1722" s="1">
        <v>329949</v>
      </c>
    </row>
    <row r="1723" spans="1:6" x14ac:dyDescent="0.3">
      <c r="A1723" s="3" t="s">
        <v>13</v>
      </c>
      <c r="B1723" s="3" t="s">
        <v>51</v>
      </c>
      <c r="C1723" s="4" t="s">
        <v>12</v>
      </c>
      <c r="D1723" s="3" t="s">
        <v>11</v>
      </c>
      <c r="E1723" s="3" t="s">
        <v>47</v>
      </c>
      <c r="F1723" s="3">
        <v>15226.9</v>
      </c>
    </row>
    <row r="1724" spans="1:6" x14ac:dyDescent="0.3">
      <c r="A1724" s="1" t="s">
        <v>13</v>
      </c>
      <c r="B1724" s="1" t="s">
        <v>51</v>
      </c>
      <c r="C1724" s="2" t="s">
        <v>12</v>
      </c>
      <c r="D1724" s="1" t="s">
        <v>11</v>
      </c>
      <c r="E1724" s="1" t="s">
        <v>48</v>
      </c>
      <c r="F1724" s="1">
        <v>257694.299999999</v>
      </c>
    </row>
    <row r="1725" spans="1:6" x14ac:dyDescent="0.3">
      <c r="A1725" s="3" t="s">
        <v>13</v>
      </c>
      <c r="B1725" s="3" t="s">
        <v>51</v>
      </c>
      <c r="C1725" s="4" t="s">
        <v>12</v>
      </c>
      <c r="D1725" s="3" t="s">
        <v>11</v>
      </c>
      <c r="E1725" s="3" t="s">
        <v>49</v>
      </c>
      <c r="F1725" s="3">
        <v>-17.952997136003599</v>
      </c>
    </row>
    <row r="1726" spans="1:6" x14ac:dyDescent="0.3">
      <c r="A1726" s="1" t="s">
        <v>13</v>
      </c>
      <c r="B1726" s="1" t="s">
        <v>51</v>
      </c>
      <c r="C1726" s="2" t="s">
        <v>12</v>
      </c>
      <c r="D1726" s="1" t="s">
        <v>1</v>
      </c>
      <c r="E1726" s="1" t="s">
        <v>44</v>
      </c>
      <c r="F1726" s="1">
        <v>-349163.15</v>
      </c>
    </row>
    <row r="1727" spans="1:6" x14ac:dyDescent="0.3">
      <c r="A1727" s="3" t="s">
        <v>13</v>
      </c>
      <c r="B1727" s="3" t="s">
        <v>51</v>
      </c>
      <c r="C1727" s="4" t="s">
        <v>12</v>
      </c>
      <c r="D1727" s="3" t="s">
        <v>1</v>
      </c>
      <c r="E1727" s="3" t="s">
        <v>45</v>
      </c>
      <c r="F1727" s="3">
        <v>16839.8999999999</v>
      </c>
    </row>
    <row r="1728" spans="1:6" x14ac:dyDescent="0.3">
      <c r="A1728" s="1" t="s">
        <v>13</v>
      </c>
      <c r="B1728" s="1" t="s">
        <v>51</v>
      </c>
      <c r="C1728" s="2" t="s">
        <v>12</v>
      </c>
      <c r="D1728" s="1" t="s">
        <v>1</v>
      </c>
      <c r="E1728" s="1" t="s">
        <v>46</v>
      </c>
      <c r="F1728" s="1">
        <v>329949</v>
      </c>
    </row>
    <row r="1729" spans="1:6" x14ac:dyDescent="0.3">
      <c r="A1729" s="3" t="s">
        <v>13</v>
      </c>
      <c r="B1729" s="3" t="s">
        <v>51</v>
      </c>
      <c r="C1729" s="4" t="s">
        <v>12</v>
      </c>
      <c r="D1729" s="3" t="s">
        <v>1</v>
      </c>
      <c r="E1729" s="3" t="s">
        <v>47</v>
      </c>
      <c r="F1729" s="3">
        <v>3842.15</v>
      </c>
    </row>
    <row r="1730" spans="1:6" x14ac:dyDescent="0.3">
      <c r="A1730" s="1" t="s">
        <v>13</v>
      </c>
      <c r="B1730" s="1" t="s">
        <v>51</v>
      </c>
      <c r="C1730" s="2" t="s">
        <v>12</v>
      </c>
      <c r="D1730" s="1" t="s">
        <v>1</v>
      </c>
      <c r="E1730" s="1" t="s">
        <v>48</v>
      </c>
      <c r="F1730" s="1">
        <v>32211.8999999999</v>
      </c>
    </row>
    <row r="1731" spans="1:6" x14ac:dyDescent="0.3">
      <c r="A1731" s="3" t="s">
        <v>13</v>
      </c>
      <c r="B1731" s="3" t="s">
        <v>51</v>
      </c>
      <c r="C1731" s="4" t="s">
        <v>12</v>
      </c>
      <c r="D1731" s="3" t="s">
        <v>1</v>
      </c>
      <c r="E1731" s="3" t="s">
        <v>49</v>
      </c>
      <c r="F1731" s="3">
        <v>-20.734276925634902</v>
      </c>
    </row>
    <row r="1732" spans="1:6" x14ac:dyDescent="0.3">
      <c r="A1732" s="1" t="s">
        <v>13</v>
      </c>
      <c r="B1732" s="1" t="s">
        <v>51</v>
      </c>
      <c r="C1732" s="2" t="s">
        <v>12</v>
      </c>
      <c r="D1732" s="1" t="s">
        <v>6</v>
      </c>
      <c r="E1732" s="1" t="s">
        <v>44</v>
      </c>
      <c r="F1732" s="1">
        <v>-340595.98</v>
      </c>
    </row>
    <row r="1733" spans="1:6" x14ac:dyDescent="0.3">
      <c r="A1733" s="3" t="s">
        <v>13</v>
      </c>
      <c r="B1733" s="3" t="s">
        <v>51</v>
      </c>
      <c r="C1733" s="4" t="s">
        <v>12</v>
      </c>
      <c r="D1733" s="3" t="s">
        <v>6</v>
      </c>
      <c r="E1733" s="3" t="s">
        <v>45</v>
      </c>
      <c r="F1733" s="3">
        <v>25259.52</v>
      </c>
    </row>
    <row r="1734" spans="1:6" x14ac:dyDescent="0.3">
      <c r="A1734" s="1" t="s">
        <v>13</v>
      </c>
      <c r="B1734" s="1" t="s">
        <v>51</v>
      </c>
      <c r="C1734" s="2" t="s">
        <v>12</v>
      </c>
      <c r="D1734" s="1" t="s">
        <v>6</v>
      </c>
      <c r="E1734" s="1" t="s">
        <v>46</v>
      </c>
      <c r="F1734" s="1">
        <v>329949</v>
      </c>
    </row>
    <row r="1735" spans="1:6" x14ac:dyDescent="0.3">
      <c r="A1735" s="3" t="s">
        <v>13</v>
      </c>
      <c r="B1735" s="3" t="s">
        <v>51</v>
      </c>
      <c r="C1735" s="4" t="s">
        <v>12</v>
      </c>
      <c r="D1735" s="3" t="s">
        <v>6</v>
      </c>
      <c r="E1735" s="3" t="s">
        <v>47</v>
      </c>
      <c r="F1735" s="3">
        <v>3694.5999999999899</v>
      </c>
    </row>
    <row r="1736" spans="1:6" x14ac:dyDescent="0.3">
      <c r="A1736" s="1" t="s">
        <v>13</v>
      </c>
      <c r="B1736" s="1" t="s">
        <v>51</v>
      </c>
      <c r="C1736" s="2" t="s">
        <v>12</v>
      </c>
      <c r="D1736" s="1" t="s">
        <v>6</v>
      </c>
      <c r="E1736" s="1" t="s">
        <v>48</v>
      </c>
      <c r="F1736" s="1">
        <v>32211.8999999999</v>
      </c>
    </row>
    <row r="1737" spans="1:6" x14ac:dyDescent="0.3">
      <c r="A1737" s="3" t="s">
        <v>13</v>
      </c>
      <c r="B1737" s="3" t="s">
        <v>51</v>
      </c>
      <c r="C1737" s="4" t="s">
        <v>12</v>
      </c>
      <c r="D1737" s="3" t="s">
        <v>6</v>
      </c>
      <c r="E1737" s="3" t="s">
        <v>49</v>
      </c>
      <c r="F1737" s="3">
        <v>-13.4838658850207</v>
      </c>
    </row>
    <row r="1738" spans="1:6" x14ac:dyDescent="0.3">
      <c r="A1738" s="1" t="s">
        <v>13</v>
      </c>
      <c r="B1738" s="1" t="s">
        <v>51</v>
      </c>
      <c r="C1738" s="2" t="s">
        <v>12</v>
      </c>
      <c r="D1738" s="1" t="s">
        <v>9</v>
      </c>
      <c r="E1738" s="1" t="s">
        <v>44</v>
      </c>
      <c r="F1738" s="1">
        <v>-332472.09999999899</v>
      </c>
    </row>
    <row r="1739" spans="1:6" x14ac:dyDescent="0.3">
      <c r="A1739" s="3" t="s">
        <v>13</v>
      </c>
      <c r="B1739" s="3" t="s">
        <v>51</v>
      </c>
      <c r="C1739" s="4" t="s">
        <v>12</v>
      </c>
      <c r="D1739" s="3" t="s">
        <v>9</v>
      </c>
      <c r="E1739" s="3" t="s">
        <v>45</v>
      </c>
      <c r="F1739" s="3">
        <v>33679.799999999901</v>
      </c>
    </row>
    <row r="1740" spans="1:6" x14ac:dyDescent="0.3">
      <c r="A1740" s="1" t="s">
        <v>13</v>
      </c>
      <c r="B1740" s="1" t="s">
        <v>51</v>
      </c>
      <c r="C1740" s="2" t="s">
        <v>12</v>
      </c>
      <c r="D1740" s="1" t="s">
        <v>9</v>
      </c>
      <c r="E1740" s="1" t="s">
        <v>46</v>
      </c>
      <c r="F1740" s="1">
        <v>329949</v>
      </c>
    </row>
    <row r="1741" spans="1:6" x14ac:dyDescent="0.3">
      <c r="A1741" s="3" t="s">
        <v>13</v>
      </c>
      <c r="B1741" s="3" t="s">
        <v>51</v>
      </c>
      <c r="C1741" s="4" t="s">
        <v>12</v>
      </c>
      <c r="D1741" s="3" t="s">
        <v>9</v>
      </c>
      <c r="E1741" s="3" t="s">
        <v>47</v>
      </c>
      <c r="F1741" s="3">
        <v>3990.99999999999</v>
      </c>
    </row>
    <row r="1742" spans="1:6" x14ac:dyDescent="0.3">
      <c r="A1742" s="1" t="s">
        <v>13</v>
      </c>
      <c r="B1742" s="1" t="s">
        <v>51</v>
      </c>
      <c r="C1742" s="2" t="s">
        <v>12</v>
      </c>
      <c r="D1742" s="1" t="s">
        <v>9</v>
      </c>
      <c r="E1742" s="1" t="s">
        <v>48</v>
      </c>
      <c r="F1742" s="1">
        <v>32211.8999999999</v>
      </c>
    </row>
    <row r="1743" spans="1:6" x14ac:dyDescent="0.3">
      <c r="A1743" s="3" t="s">
        <v>13</v>
      </c>
      <c r="B1743" s="3" t="s">
        <v>51</v>
      </c>
      <c r="C1743" s="4" t="s">
        <v>12</v>
      </c>
      <c r="D1743" s="3" t="s">
        <v>9</v>
      </c>
      <c r="E1743" s="3" t="s">
        <v>49</v>
      </c>
      <c r="F1743" s="3">
        <v>-9.8715580258790094</v>
      </c>
    </row>
    <row r="1744" spans="1:6" x14ac:dyDescent="0.3">
      <c r="A1744" s="1" t="s">
        <v>13</v>
      </c>
      <c r="B1744" s="1" t="s">
        <v>51</v>
      </c>
      <c r="C1744" s="2" t="s">
        <v>12</v>
      </c>
      <c r="D1744" s="1" t="s">
        <v>11</v>
      </c>
      <c r="E1744" s="1" t="s">
        <v>44</v>
      </c>
      <c r="F1744" s="1">
        <v>-325085.32</v>
      </c>
    </row>
    <row r="1745" spans="1:6" x14ac:dyDescent="0.3">
      <c r="A1745" s="3" t="s">
        <v>13</v>
      </c>
      <c r="B1745" s="3" t="s">
        <v>51</v>
      </c>
      <c r="C1745" s="4" t="s">
        <v>12</v>
      </c>
      <c r="D1745" s="3" t="s">
        <v>11</v>
      </c>
      <c r="E1745" s="3" t="s">
        <v>45</v>
      </c>
      <c r="F1745" s="3">
        <v>42100.08</v>
      </c>
    </row>
    <row r="1746" spans="1:6" x14ac:dyDescent="0.3">
      <c r="A1746" s="1" t="s">
        <v>13</v>
      </c>
      <c r="B1746" s="1" t="s">
        <v>51</v>
      </c>
      <c r="C1746" s="2" t="s">
        <v>12</v>
      </c>
      <c r="D1746" s="1" t="s">
        <v>11</v>
      </c>
      <c r="E1746" s="1" t="s">
        <v>46</v>
      </c>
      <c r="F1746" s="1">
        <v>329949</v>
      </c>
    </row>
    <row r="1747" spans="1:6" x14ac:dyDescent="0.3">
      <c r="A1747" s="3" t="s">
        <v>13</v>
      </c>
      <c r="B1747" s="3" t="s">
        <v>51</v>
      </c>
      <c r="C1747" s="4" t="s">
        <v>12</v>
      </c>
      <c r="D1747" s="3" t="s">
        <v>11</v>
      </c>
      <c r="E1747" s="3" t="s">
        <v>47</v>
      </c>
      <c r="F1747" s="3">
        <v>5024.5</v>
      </c>
    </row>
    <row r="1748" spans="1:6" x14ac:dyDescent="0.3">
      <c r="A1748" s="1" t="s">
        <v>13</v>
      </c>
      <c r="B1748" s="1" t="s">
        <v>51</v>
      </c>
      <c r="C1748" s="2" t="s">
        <v>12</v>
      </c>
      <c r="D1748" s="1" t="s">
        <v>11</v>
      </c>
      <c r="E1748" s="1" t="s">
        <v>48</v>
      </c>
      <c r="F1748" s="1">
        <v>32211.8999999999</v>
      </c>
    </row>
    <row r="1749" spans="1:6" x14ac:dyDescent="0.3">
      <c r="A1749" s="3" t="s">
        <v>13</v>
      </c>
      <c r="B1749" s="3" t="s">
        <v>51</v>
      </c>
      <c r="C1749" s="4" t="s">
        <v>12</v>
      </c>
      <c r="D1749" s="3" t="s">
        <v>11</v>
      </c>
      <c r="E1749" s="3" t="s">
        <v>49</v>
      </c>
      <c r="F1749" s="3">
        <v>-7.72172689458072</v>
      </c>
    </row>
    <row r="1750" spans="1:6" x14ac:dyDescent="0.3">
      <c r="A1750" s="1" t="s">
        <v>13</v>
      </c>
      <c r="B1750" s="1" t="s">
        <v>51</v>
      </c>
      <c r="C1750" s="2" t="s">
        <v>12</v>
      </c>
      <c r="D1750" s="1" t="s">
        <v>1</v>
      </c>
      <c r="E1750" s="1" t="s">
        <v>44</v>
      </c>
      <c r="F1750" s="1">
        <v>14314.08</v>
      </c>
    </row>
    <row r="1751" spans="1:6" x14ac:dyDescent="0.3">
      <c r="A1751" s="3" t="s">
        <v>13</v>
      </c>
      <c r="B1751" s="3" t="s">
        <v>51</v>
      </c>
      <c r="C1751" s="4" t="s">
        <v>12</v>
      </c>
      <c r="D1751" s="3" t="s">
        <v>1</v>
      </c>
      <c r="E1751" s="3" t="s">
        <v>45</v>
      </c>
      <c r="F1751" s="3">
        <v>14314.08</v>
      </c>
    </row>
    <row r="1752" spans="1:6" x14ac:dyDescent="0.3">
      <c r="A1752" s="1" t="s">
        <v>13</v>
      </c>
      <c r="B1752" s="1" t="s">
        <v>51</v>
      </c>
      <c r="C1752" s="2" t="s">
        <v>12</v>
      </c>
      <c r="D1752" s="1" t="s">
        <v>1</v>
      </c>
      <c r="E1752" s="1" t="s">
        <v>49</v>
      </c>
      <c r="F1752" s="1">
        <v>1</v>
      </c>
    </row>
    <row r="1753" spans="1:6" x14ac:dyDescent="0.3">
      <c r="A1753" s="3" t="s">
        <v>13</v>
      </c>
      <c r="B1753" s="3" t="s">
        <v>51</v>
      </c>
      <c r="C1753" s="4" t="s">
        <v>12</v>
      </c>
      <c r="D1753" s="3" t="s">
        <v>6</v>
      </c>
      <c r="E1753" s="3" t="s">
        <v>44</v>
      </c>
      <c r="F1753" s="3">
        <v>21471.119999999999</v>
      </c>
    </row>
    <row r="1754" spans="1:6" x14ac:dyDescent="0.3">
      <c r="A1754" s="1" t="s">
        <v>13</v>
      </c>
      <c r="B1754" s="1" t="s">
        <v>51</v>
      </c>
      <c r="C1754" s="2" t="s">
        <v>12</v>
      </c>
      <c r="D1754" s="1" t="s">
        <v>6</v>
      </c>
      <c r="E1754" s="1" t="s">
        <v>45</v>
      </c>
      <c r="F1754" s="1">
        <v>21471.119999999999</v>
      </c>
    </row>
    <row r="1755" spans="1:6" x14ac:dyDescent="0.3">
      <c r="A1755" s="3" t="s">
        <v>13</v>
      </c>
      <c r="B1755" s="3" t="s">
        <v>51</v>
      </c>
      <c r="C1755" s="4" t="s">
        <v>12</v>
      </c>
      <c r="D1755" s="3" t="s">
        <v>6</v>
      </c>
      <c r="E1755" s="3" t="s">
        <v>49</v>
      </c>
      <c r="F1755" s="3">
        <v>1</v>
      </c>
    </row>
    <row r="1756" spans="1:6" x14ac:dyDescent="0.3">
      <c r="A1756" s="1" t="s">
        <v>13</v>
      </c>
      <c r="B1756" s="1" t="s">
        <v>51</v>
      </c>
      <c r="C1756" s="2" t="s">
        <v>12</v>
      </c>
      <c r="D1756" s="1" t="s">
        <v>9</v>
      </c>
      <c r="E1756" s="1" t="s">
        <v>44</v>
      </c>
      <c r="F1756" s="1">
        <v>28628.16</v>
      </c>
    </row>
    <row r="1757" spans="1:6" x14ac:dyDescent="0.3">
      <c r="A1757" s="3" t="s">
        <v>13</v>
      </c>
      <c r="B1757" s="3" t="s">
        <v>51</v>
      </c>
      <c r="C1757" s="4" t="s">
        <v>12</v>
      </c>
      <c r="D1757" s="3" t="s">
        <v>9</v>
      </c>
      <c r="E1757" s="3" t="s">
        <v>45</v>
      </c>
      <c r="F1757" s="3">
        <v>28628.16</v>
      </c>
    </row>
    <row r="1758" spans="1:6" x14ac:dyDescent="0.3">
      <c r="A1758" s="1" t="s">
        <v>13</v>
      </c>
      <c r="B1758" s="1" t="s">
        <v>51</v>
      </c>
      <c r="C1758" s="2" t="s">
        <v>12</v>
      </c>
      <c r="D1758" s="1" t="s">
        <v>9</v>
      </c>
      <c r="E1758" s="1" t="s">
        <v>49</v>
      </c>
      <c r="F1758" s="1">
        <v>1</v>
      </c>
    </row>
    <row r="1759" spans="1:6" x14ac:dyDescent="0.3">
      <c r="A1759" s="3" t="s">
        <v>13</v>
      </c>
      <c r="B1759" s="3" t="s">
        <v>51</v>
      </c>
      <c r="C1759" s="4" t="s">
        <v>12</v>
      </c>
      <c r="D1759" s="3" t="s">
        <v>11</v>
      </c>
      <c r="E1759" s="3" t="s">
        <v>44</v>
      </c>
      <c r="F1759" s="3">
        <v>35785.199999999997</v>
      </c>
    </row>
    <row r="1760" spans="1:6" x14ac:dyDescent="0.3">
      <c r="A1760" s="1" t="s">
        <v>13</v>
      </c>
      <c r="B1760" s="1" t="s">
        <v>51</v>
      </c>
      <c r="C1760" s="2" t="s">
        <v>12</v>
      </c>
      <c r="D1760" s="1" t="s">
        <v>11</v>
      </c>
      <c r="E1760" s="1" t="s">
        <v>45</v>
      </c>
      <c r="F1760" s="1">
        <v>35785.199999999997</v>
      </c>
    </row>
    <row r="1761" spans="1:6" x14ac:dyDescent="0.3">
      <c r="A1761" s="3" t="s">
        <v>13</v>
      </c>
      <c r="B1761" s="3" t="s">
        <v>51</v>
      </c>
      <c r="C1761" s="4" t="s">
        <v>12</v>
      </c>
      <c r="D1761" s="3" t="s">
        <v>11</v>
      </c>
      <c r="E1761" s="3" t="s">
        <v>49</v>
      </c>
      <c r="F1761" s="3">
        <v>1</v>
      </c>
    </row>
    <row r="1762" spans="1:6" x14ac:dyDescent="0.3">
      <c r="A1762" s="1" t="s">
        <v>13</v>
      </c>
      <c r="B1762" s="1" t="s">
        <v>51</v>
      </c>
      <c r="C1762" s="2" t="s">
        <v>12</v>
      </c>
      <c r="D1762" s="1" t="s">
        <v>1</v>
      </c>
      <c r="E1762" s="1" t="s">
        <v>44</v>
      </c>
      <c r="F1762" s="1">
        <v>-252662.09999999899</v>
      </c>
    </row>
    <row r="1763" spans="1:6" x14ac:dyDescent="0.3">
      <c r="A1763" s="3" t="s">
        <v>13</v>
      </c>
      <c r="B1763" s="3" t="s">
        <v>51</v>
      </c>
      <c r="C1763" s="4" t="s">
        <v>12</v>
      </c>
      <c r="D1763" s="3" t="s">
        <v>1</v>
      </c>
      <c r="E1763" s="3" t="s">
        <v>45</v>
      </c>
      <c r="F1763" s="3">
        <v>6584.1599999999899</v>
      </c>
    </row>
    <row r="1764" spans="1:6" x14ac:dyDescent="0.3">
      <c r="A1764" s="1" t="s">
        <v>13</v>
      </c>
      <c r="B1764" s="1" t="s">
        <v>51</v>
      </c>
      <c r="C1764" s="2" t="s">
        <v>12</v>
      </c>
      <c r="D1764" s="1" t="s">
        <v>1</v>
      </c>
      <c r="E1764" s="1" t="s">
        <v>46</v>
      </c>
      <c r="F1764" s="1">
        <v>244608</v>
      </c>
    </row>
    <row r="1765" spans="1:6" x14ac:dyDescent="0.3">
      <c r="A1765" s="3" t="s">
        <v>13</v>
      </c>
      <c r="B1765" s="3" t="s">
        <v>51</v>
      </c>
      <c r="C1765" s="4" t="s">
        <v>12</v>
      </c>
      <c r="D1765" s="3" t="s">
        <v>1</v>
      </c>
      <c r="E1765" s="3" t="s">
        <v>47</v>
      </c>
      <c r="F1765" s="3">
        <v>3901.2599999999902</v>
      </c>
    </row>
    <row r="1766" spans="1:6" x14ac:dyDescent="0.3">
      <c r="A1766" s="1" t="s">
        <v>13</v>
      </c>
      <c r="B1766" s="1" t="s">
        <v>51</v>
      </c>
      <c r="C1766" s="2" t="s">
        <v>12</v>
      </c>
      <c r="D1766" s="1" t="s">
        <v>1</v>
      </c>
      <c r="E1766" s="1" t="s">
        <v>48</v>
      </c>
      <c r="F1766" s="1">
        <v>10737</v>
      </c>
    </row>
    <row r="1767" spans="1:6" x14ac:dyDescent="0.3">
      <c r="A1767" s="3" t="s">
        <v>13</v>
      </c>
      <c r="B1767" s="3" t="s">
        <v>51</v>
      </c>
      <c r="C1767" s="4" t="s">
        <v>12</v>
      </c>
      <c r="D1767" s="3" t="s">
        <v>1</v>
      </c>
      <c r="E1767" s="3" t="s">
        <v>49</v>
      </c>
      <c r="F1767" s="3">
        <v>-38.374234526499897</v>
      </c>
    </row>
    <row r="1768" spans="1:6" x14ac:dyDescent="0.3">
      <c r="A1768" s="1" t="s">
        <v>13</v>
      </c>
      <c r="B1768" s="1" t="s">
        <v>51</v>
      </c>
      <c r="C1768" s="2" t="s">
        <v>12</v>
      </c>
      <c r="D1768" s="1" t="s">
        <v>6</v>
      </c>
      <c r="E1768" s="1" t="s">
        <v>44</v>
      </c>
      <c r="F1768" s="1">
        <v>-243104.27999999901</v>
      </c>
    </row>
    <row r="1769" spans="1:6" x14ac:dyDescent="0.3">
      <c r="A1769" s="3" t="s">
        <v>13</v>
      </c>
      <c r="B1769" s="3" t="s">
        <v>51</v>
      </c>
      <c r="C1769" s="4" t="s">
        <v>12</v>
      </c>
      <c r="D1769" s="3" t="s">
        <v>6</v>
      </c>
      <c r="E1769" s="3" t="s">
        <v>45</v>
      </c>
      <c r="F1769" s="3">
        <v>6584.1599999999899</v>
      </c>
    </row>
    <row r="1770" spans="1:6" x14ac:dyDescent="0.3">
      <c r="A1770" s="1" t="s">
        <v>13</v>
      </c>
      <c r="B1770" s="1" t="s">
        <v>51</v>
      </c>
      <c r="C1770" s="2" t="s">
        <v>12</v>
      </c>
      <c r="D1770" s="1" t="s">
        <v>6</v>
      </c>
      <c r="E1770" s="1" t="s">
        <v>46</v>
      </c>
      <c r="F1770" s="1">
        <v>235200</v>
      </c>
    </row>
    <row r="1771" spans="1:6" x14ac:dyDescent="0.3">
      <c r="A1771" s="3" t="s">
        <v>13</v>
      </c>
      <c r="B1771" s="3" t="s">
        <v>51</v>
      </c>
      <c r="C1771" s="4" t="s">
        <v>12</v>
      </c>
      <c r="D1771" s="3" t="s">
        <v>6</v>
      </c>
      <c r="E1771" s="3" t="s">
        <v>47</v>
      </c>
      <c r="F1771" s="3">
        <v>3751.4399999999901</v>
      </c>
    </row>
    <row r="1772" spans="1:6" x14ac:dyDescent="0.3">
      <c r="A1772" s="1" t="s">
        <v>13</v>
      </c>
      <c r="B1772" s="1" t="s">
        <v>51</v>
      </c>
      <c r="C1772" s="2" t="s">
        <v>12</v>
      </c>
      <c r="D1772" s="1" t="s">
        <v>6</v>
      </c>
      <c r="E1772" s="1" t="s">
        <v>48</v>
      </c>
      <c r="F1772" s="1">
        <v>10737</v>
      </c>
    </row>
    <row r="1773" spans="1:6" x14ac:dyDescent="0.3">
      <c r="A1773" s="3" t="s">
        <v>13</v>
      </c>
      <c r="B1773" s="3" t="s">
        <v>51</v>
      </c>
      <c r="C1773" s="4" t="s">
        <v>12</v>
      </c>
      <c r="D1773" s="3" t="s">
        <v>6</v>
      </c>
      <c r="E1773" s="3" t="s">
        <v>49</v>
      </c>
      <c r="F1773" s="3">
        <v>-36.922596048698701</v>
      </c>
    </row>
    <row r="1774" spans="1:6" x14ac:dyDescent="0.3">
      <c r="A1774" s="1" t="s">
        <v>13</v>
      </c>
      <c r="B1774" s="1" t="s">
        <v>51</v>
      </c>
      <c r="C1774" s="2" t="s">
        <v>12</v>
      </c>
      <c r="D1774" s="1" t="s">
        <v>9</v>
      </c>
      <c r="E1774" s="1" t="s">
        <v>44</v>
      </c>
      <c r="F1774" s="1">
        <v>-257831.359999999</v>
      </c>
    </row>
    <row r="1775" spans="1:6" x14ac:dyDescent="0.3">
      <c r="A1775" s="3" t="s">
        <v>13</v>
      </c>
      <c r="B1775" s="3" t="s">
        <v>51</v>
      </c>
      <c r="C1775" s="4" t="s">
        <v>12</v>
      </c>
      <c r="D1775" s="3" t="s">
        <v>9</v>
      </c>
      <c r="E1775" s="3" t="s">
        <v>45</v>
      </c>
      <c r="F1775" s="3">
        <v>10974.039999999901</v>
      </c>
    </row>
    <row r="1776" spans="1:6" x14ac:dyDescent="0.3">
      <c r="A1776" s="1" t="s">
        <v>13</v>
      </c>
      <c r="B1776" s="1" t="s">
        <v>51</v>
      </c>
      <c r="C1776" s="2" t="s">
        <v>12</v>
      </c>
      <c r="D1776" s="1" t="s">
        <v>9</v>
      </c>
      <c r="E1776" s="1" t="s">
        <v>46</v>
      </c>
      <c r="F1776" s="1">
        <v>254016</v>
      </c>
    </row>
    <row r="1777" spans="1:6" x14ac:dyDescent="0.3">
      <c r="A1777" s="3" t="s">
        <v>13</v>
      </c>
      <c r="B1777" s="3" t="s">
        <v>51</v>
      </c>
      <c r="C1777" s="4" t="s">
        <v>12</v>
      </c>
      <c r="D1777" s="3" t="s">
        <v>9</v>
      </c>
      <c r="E1777" s="3" t="s">
        <v>47</v>
      </c>
      <c r="F1777" s="3">
        <v>4052.3999999999901</v>
      </c>
    </row>
    <row r="1778" spans="1:6" x14ac:dyDescent="0.3">
      <c r="A1778" s="1" t="s">
        <v>13</v>
      </c>
      <c r="B1778" s="1" t="s">
        <v>51</v>
      </c>
      <c r="C1778" s="2" t="s">
        <v>12</v>
      </c>
      <c r="D1778" s="1" t="s">
        <v>9</v>
      </c>
      <c r="E1778" s="1" t="s">
        <v>48</v>
      </c>
      <c r="F1778" s="1">
        <v>10737</v>
      </c>
    </row>
    <row r="1779" spans="1:6" x14ac:dyDescent="0.3">
      <c r="A1779" s="3" t="s">
        <v>13</v>
      </c>
      <c r="B1779" s="3" t="s">
        <v>51</v>
      </c>
      <c r="C1779" s="4" t="s">
        <v>12</v>
      </c>
      <c r="D1779" s="3" t="s">
        <v>9</v>
      </c>
      <c r="E1779" s="3" t="s">
        <v>49</v>
      </c>
      <c r="F1779" s="3">
        <v>-23.494661947651</v>
      </c>
    </row>
    <row r="1780" spans="1:6" x14ac:dyDescent="0.3">
      <c r="A1780" s="1" t="s">
        <v>13</v>
      </c>
      <c r="B1780" s="1" t="s">
        <v>51</v>
      </c>
      <c r="C1780" s="2" t="s">
        <v>12</v>
      </c>
      <c r="D1780" s="1" t="s">
        <v>11</v>
      </c>
      <c r="E1780" s="1" t="s">
        <v>44</v>
      </c>
      <c r="F1780" s="1">
        <v>-322541.82</v>
      </c>
    </row>
    <row r="1781" spans="1:6" x14ac:dyDescent="0.3">
      <c r="A1781" s="3" t="s">
        <v>13</v>
      </c>
      <c r="B1781" s="3" t="s">
        <v>51</v>
      </c>
      <c r="C1781" s="4" t="s">
        <v>12</v>
      </c>
      <c r="D1781" s="3" t="s">
        <v>11</v>
      </c>
      <c r="E1781" s="3" t="s">
        <v>45</v>
      </c>
      <c r="F1781" s="3">
        <v>13168.98</v>
      </c>
    </row>
    <row r="1782" spans="1:6" x14ac:dyDescent="0.3">
      <c r="A1782" s="1" t="s">
        <v>13</v>
      </c>
      <c r="B1782" s="1" t="s">
        <v>51</v>
      </c>
      <c r="C1782" s="2" t="s">
        <v>12</v>
      </c>
      <c r="D1782" s="1" t="s">
        <v>11</v>
      </c>
      <c r="E1782" s="1" t="s">
        <v>46</v>
      </c>
      <c r="F1782" s="1">
        <v>319872</v>
      </c>
    </row>
    <row r="1783" spans="1:6" x14ac:dyDescent="0.3">
      <c r="A1783" s="3" t="s">
        <v>13</v>
      </c>
      <c r="B1783" s="3" t="s">
        <v>51</v>
      </c>
      <c r="C1783" s="4" t="s">
        <v>12</v>
      </c>
      <c r="D1783" s="3" t="s">
        <v>11</v>
      </c>
      <c r="E1783" s="3" t="s">
        <v>47</v>
      </c>
      <c r="F1783" s="3">
        <v>5101.7999999999902</v>
      </c>
    </row>
    <row r="1784" spans="1:6" x14ac:dyDescent="0.3">
      <c r="A1784" s="1" t="s">
        <v>13</v>
      </c>
      <c r="B1784" s="1" t="s">
        <v>51</v>
      </c>
      <c r="C1784" s="2" t="s">
        <v>12</v>
      </c>
      <c r="D1784" s="1" t="s">
        <v>11</v>
      </c>
      <c r="E1784" s="1" t="s">
        <v>48</v>
      </c>
      <c r="F1784" s="1">
        <v>10737</v>
      </c>
    </row>
    <row r="1785" spans="1:6" x14ac:dyDescent="0.3">
      <c r="A1785" s="3" t="s">
        <v>13</v>
      </c>
      <c r="B1785" s="3" t="s">
        <v>51</v>
      </c>
      <c r="C1785" s="4" t="s">
        <v>12</v>
      </c>
      <c r="D1785" s="3" t="s">
        <v>11</v>
      </c>
      <c r="E1785" s="3" t="s">
        <v>49</v>
      </c>
      <c r="F1785" s="3">
        <v>-24.492543841664201</v>
      </c>
    </row>
    <row r="1786" spans="1:6" x14ac:dyDescent="0.3">
      <c r="A1786" s="1" t="s">
        <v>13</v>
      </c>
      <c r="B1786" s="1" t="s">
        <v>52</v>
      </c>
      <c r="C1786" s="2" t="s">
        <v>12</v>
      </c>
      <c r="D1786" s="1" t="s">
        <v>1</v>
      </c>
      <c r="E1786" s="1" t="s">
        <v>44</v>
      </c>
      <c r="F1786" s="1">
        <v>-332051.21999999997</v>
      </c>
    </row>
    <row r="1787" spans="1:6" x14ac:dyDescent="0.3">
      <c r="A1787" s="3" t="s">
        <v>13</v>
      </c>
      <c r="B1787" s="3" t="s">
        <v>52</v>
      </c>
      <c r="C1787" s="4" t="s">
        <v>12</v>
      </c>
      <c r="D1787" s="3" t="s">
        <v>1</v>
      </c>
      <c r="E1787" s="3" t="s">
        <v>45</v>
      </c>
      <c r="F1787" s="3">
        <v>23154.779999999901</v>
      </c>
    </row>
    <row r="1788" spans="1:6" x14ac:dyDescent="0.3">
      <c r="A1788" s="1" t="s">
        <v>13</v>
      </c>
      <c r="B1788" s="1" t="s">
        <v>52</v>
      </c>
      <c r="C1788" s="2" t="s">
        <v>12</v>
      </c>
      <c r="D1788" s="1" t="s">
        <v>1</v>
      </c>
      <c r="E1788" s="1" t="s">
        <v>46</v>
      </c>
      <c r="F1788" s="1">
        <v>348096</v>
      </c>
    </row>
    <row r="1789" spans="1:6" x14ac:dyDescent="0.3">
      <c r="A1789" s="3" t="s">
        <v>13</v>
      </c>
      <c r="B1789" s="3" t="s">
        <v>52</v>
      </c>
      <c r="C1789" s="4" t="s">
        <v>12</v>
      </c>
      <c r="D1789" s="3" t="s">
        <v>1</v>
      </c>
      <c r="E1789" s="3" t="s">
        <v>47</v>
      </c>
      <c r="F1789" s="3">
        <v>3509.99999999999</v>
      </c>
    </row>
    <row r="1790" spans="1:6" x14ac:dyDescent="0.3">
      <c r="A1790" s="1" t="s">
        <v>13</v>
      </c>
      <c r="B1790" s="1" t="s">
        <v>52</v>
      </c>
      <c r="C1790" s="2" t="s">
        <v>12</v>
      </c>
      <c r="D1790" s="1" t="s">
        <v>1</v>
      </c>
      <c r="E1790" s="1" t="s">
        <v>48</v>
      </c>
      <c r="F1790" s="1">
        <v>3599.99999999999</v>
      </c>
    </row>
    <row r="1791" spans="1:6" x14ac:dyDescent="0.3">
      <c r="A1791" s="3" t="s">
        <v>13</v>
      </c>
      <c r="B1791" s="3" t="s">
        <v>52</v>
      </c>
      <c r="C1791" s="4" t="s">
        <v>12</v>
      </c>
      <c r="D1791" s="3" t="s">
        <v>1</v>
      </c>
      <c r="E1791" s="3" t="s">
        <v>49</v>
      </c>
      <c r="F1791" s="3">
        <v>-14.340504206906701</v>
      </c>
    </row>
    <row r="1792" spans="1:6" x14ac:dyDescent="0.3">
      <c r="A1792" s="1" t="s">
        <v>13</v>
      </c>
      <c r="B1792" s="1" t="s">
        <v>52</v>
      </c>
      <c r="C1792" s="2" t="s">
        <v>12</v>
      </c>
      <c r="D1792" s="1" t="s">
        <v>6</v>
      </c>
      <c r="E1792" s="1" t="s">
        <v>44</v>
      </c>
      <c r="F1792" s="1">
        <v>-359860.5</v>
      </c>
    </row>
    <row r="1793" spans="1:6" x14ac:dyDescent="0.3">
      <c r="A1793" s="3" t="s">
        <v>13</v>
      </c>
      <c r="B1793" s="3" t="s">
        <v>52</v>
      </c>
      <c r="C1793" s="4" t="s">
        <v>12</v>
      </c>
      <c r="D1793" s="3" t="s">
        <v>6</v>
      </c>
      <c r="E1793" s="3" t="s">
        <v>45</v>
      </c>
      <c r="F1793" s="3">
        <v>34732.5</v>
      </c>
    </row>
    <row r="1794" spans="1:6" x14ac:dyDescent="0.3">
      <c r="A1794" s="1" t="s">
        <v>13</v>
      </c>
      <c r="B1794" s="1" t="s">
        <v>52</v>
      </c>
      <c r="C1794" s="2" t="s">
        <v>12</v>
      </c>
      <c r="D1794" s="1" t="s">
        <v>6</v>
      </c>
      <c r="E1794" s="1" t="s">
        <v>46</v>
      </c>
      <c r="F1794" s="1">
        <v>385728</v>
      </c>
    </row>
    <row r="1795" spans="1:6" x14ac:dyDescent="0.3">
      <c r="A1795" s="3" t="s">
        <v>13</v>
      </c>
      <c r="B1795" s="3" t="s">
        <v>52</v>
      </c>
      <c r="C1795" s="4" t="s">
        <v>12</v>
      </c>
      <c r="D1795" s="3" t="s">
        <v>6</v>
      </c>
      <c r="E1795" s="3" t="s">
        <v>47</v>
      </c>
      <c r="F1795" s="3">
        <v>5265</v>
      </c>
    </row>
    <row r="1796" spans="1:6" x14ac:dyDescent="0.3">
      <c r="A1796" s="1" t="s">
        <v>13</v>
      </c>
      <c r="B1796" s="1" t="s">
        <v>52</v>
      </c>
      <c r="C1796" s="2" t="s">
        <v>12</v>
      </c>
      <c r="D1796" s="1" t="s">
        <v>6</v>
      </c>
      <c r="E1796" s="1" t="s">
        <v>48</v>
      </c>
      <c r="F1796" s="1">
        <v>3599.99999999999</v>
      </c>
    </row>
    <row r="1797" spans="1:6" x14ac:dyDescent="0.3">
      <c r="A1797" s="3" t="s">
        <v>13</v>
      </c>
      <c r="B1797" s="3" t="s">
        <v>52</v>
      </c>
      <c r="C1797" s="4" t="s">
        <v>12</v>
      </c>
      <c r="D1797" s="3" t="s">
        <v>6</v>
      </c>
      <c r="E1797" s="3" t="s">
        <v>49</v>
      </c>
      <c r="F1797" s="3">
        <v>-10.3609155689915</v>
      </c>
    </row>
    <row r="1798" spans="1:6" x14ac:dyDescent="0.3">
      <c r="A1798" s="1" t="s">
        <v>13</v>
      </c>
      <c r="B1798" s="1" t="s">
        <v>52</v>
      </c>
      <c r="C1798" s="2" t="s">
        <v>12</v>
      </c>
      <c r="D1798" s="1" t="s">
        <v>9</v>
      </c>
      <c r="E1798" s="1" t="s">
        <v>44</v>
      </c>
      <c r="F1798" s="1">
        <v>-387670.44</v>
      </c>
    </row>
    <row r="1799" spans="1:6" x14ac:dyDescent="0.3">
      <c r="A1799" s="3" t="s">
        <v>13</v>
      </c>
      <c r="B1799" s="3" t="s">
        <v>52</v>
      </c>
      <c r="C1799" s="4" t="s">
        <v>12</v>
      </c>
      <c r="D1799" s="3" t="s">
        <v>9</v>
      </c>
      <c r="E1799" s="3" t="s">
        <v>45</v>
      </c>
      <c r="F1799" s="3">
        <v>46309.559999999903</v>
      </c>
    </row>
    <row r="1800" spans="1:6" x14ac:dyDescent="0.3">
      <c r="A1800" s="1" t="s">
        <v>13</v>
      </c>
      <c r="B1800" s="1" t="s">
        <v>52</v>
      </c>
      <c r="C1800" s="2" t="s">
        <v>12</v>
      </c>
      <c r="D1800" s="1" t="s">
        <v>9</v>
      </c>
      <c r="E1800" s="1" t="s">
        <v>46</v>
      </c>
      <c r="F1800" s="1">
        <v>423360</v>
      </c>
    </row>
    <row r="1801" spans="1:6" x14ac:dyDescent="0.3">
      <c r="A1801" s="3" t="s">
        <v>13</v>
      </c>
      <c r="B1801" s="3" t="s">
        <v>52</v>
      </c>
      <c r="C1801" s="4" t="s">
        <v>12</v>
      </c>
      <c r="D1801" s="3" t="s">
        <v>9</v>
      </c>
      <c r="E1801" s="3" t="s">
        <v>47</v>
      </c>
      <c r="F1801" s="3">
        <v>7019.99999999999</v>
      </c>
    </row>
    <row r="1802" spans="1:6" x14ac:dyDescent="0.3">
      <c r="A1802" s="1" t="s">
        <v>13</v>
      </c>
      <c r="B1802" s="1" t="s">
        <v>52</v>
      </c>
      <c r="C1802" s="2" t="s">
        <v>12</v>
      </c>
      <c r="D1802" s="1" t="s">
        <v>9</v>
      </c>
      <c r="E1802" s="1" t="s">
        <v>48</v>
      </c>
      <c r="F1802" s="1">
        <v>3599.99999999999</v>
      </c>
    </row>
    <row r="1803" spans="1:6" x14ac:dyDescent="0.3">
      <c r="A1803" s="3" t="s">
        <v>13</v>
      </c>
      <c r="B1803" s="3" t="s">
        <v>52</v>
      </c>
      <c r="C1803" s="4" t="s">
        <v>12</v>
      </c>
      <c r="D1803" s="3" t="s">
        <v>9</v>
      </c>
      <c r="E1803" s="3" t="s">
        <v>49</v>
      </c>
      <c r="F1803" s="3">
        <v>-8.3712831648584007</v>
      </c>
    </row>
    <row r="1804" spans="1:6" x14ac:dyDescent="0.3">
      <c r="A1804" s="1" t="s">
        <v>13</v>
      </c>
      <c r="B1804" s="1" t="s">
        <v>52</v>
      </c>
      <c r="C1804" s="2" t="s">
        <v>12</v>
      </c>
      <c r="D1804" s="1" t="s">
        <v>11</v>
      </c>
      <c r="E1804" s="1" t="s">
        <v>44</v>
      </c>
      <c r="F1804" s="1">
        <v>-311991.71999999997</v>
      </c>
    </row>
    <row r="1805" spans="1:6" x14ac:dyDescent="0.3">
      <c r="A1805" s="3" t="s">
        <v>13</v>
      </c>
      <c r="B1805" s="3" t="s">
        <v>52</v>
      </c>
      <c r="C1805" s="4" t="s">
        <v>12</v>
      </c>
      <c r="D1805" s="3" t="s">
        <v>11</v>
      </c>
      <c r="E1805" s="3" t="s">
        <v>45</v>
      </c>
      <c r="F1805" s="3">
        <v>57887.279999999897</v>
      </c>
    </row>
    <row r="1806" spans="1:6" x14ac:dyDescent="0.3">
      <c r="A1806" s="1" t="s">
        <v>13</v>
      </c>
      <c r="B1806" s="1" t="s">
        <v>52</v>
      </c>
      <c r="C1806" s="2" t="s">
        <v>12</v>
      </c>
      <c r="D1806" s="1" t="s">
        <v>11</v>
      </c>
      <c r="E1806" s="1" t="s">
        <v>46</v>
      </c>
      <c r="F1806" s="1">
        <v>357504</v>
      </c>
    </row>
    <row r="1807" spans="1:6" x14ac:dyDescent="0.3">
      <c r="A1807" s="3" t="s">
        <v>13</v>
      </c>
      <c r="B1807" s="3" t="s">
        <v>52</v>
      </c>
      <c r="C1807" s="4" t="s">
        <v>12</v>
      </c>
      <c r="D1807" s="3" t="s">
        <v>11</v>
      </c>
      <c r="E1807" s="3" t="s">
        <v>47</v>
      </c>
      <c r="F1807" s="3">
        <v>8774.9999999999909</v>
      </c>
    </row>
    <row r="1808" spans="1:6" x14ac:dyDescent="0.3">
      <c r="A1808" s="1" t="s">
        <v>13</v>
      </c>
      <c r="B1808" s="1" t="s">
        <v>52</v>
      </c>
      <c r="C1808" s="2" t="s">
        <v>12</v>
      </c>
      <c r="D1808" s="1" t="s">
        <v>11</v>
      </c>
      <c r="E1808" s="1" t="s">
        <v>48</v>
      </c>
      <c r="F1808" s="1">
        <v>3599.99999999999</v>
      </c>
    </row>
    <row r="1809" spans="1:6" x14ac:dyDescent="0.3">
      <c r="A1809" s="3" t="s">
        <v>13</v>
      </c>
      <c r="B1809" s="3" t="s">
        <v>52</v>
      </c>
      <c r="C1809" s="4" t="s">
        <v>12</v>
      </c>
      <c r="D1809" s="3" t="s">
        <v>11</v>
      </c>
      <c r="E1809" s="3" t="s">
        <v>49</v>
      </c>
      <c r="F1809" s="3">
        <v>-5.3896420768085802</v>
      </c>
    </row>
    <row r="1810" spans="1:6" x14ac:dyDescent="0.3">
      <c r="A1810" s="1" t="s">
        <v>13</v>
      </c>
      <c r="B1810" s="1" t="s">
        <v>52</v>
      </c>
      <c r="C1810" s="2" t="s">
        <v>12</v>
      </c>
      <c r="D1810" s="1" t="s">
        <v>1</v>
      </c>
      <c r="E1810" s="1" t="s">
        <v>44</v>
      </c>
      <c r="F1810" s="1">
        <v>160611</v>
      </c>
    </row>
    <row r="1811" spans="1:6" x14ac:dyDescent="0.3">
      <c r="A1811" s="3" t="s">
        <v>13</v>
      </c>
      <c r="B1811" s="3" t="s">
        <v>52</v>
      </c>
      <c r="C1811" s="4" t="s">
        <v>12</v>
      </c>
      <c r="D1811" s="3" t="s">
        <v>1</v>
      </c>
      <c r="E1811" s="3" t="s">
        <v>45</v>
      </c>
      <c r="F1811" s="3">
        <v>160611</v>
      </c>
    </row>
    <row r="1812" spans="1:6" x14ac:dyDescent="0.3">
      <c r="A1812" s="1" t="s">
        <v>13</v>
      </c>
      <c r="B1812" s="1" t="s">
        <v>52</v>
      </c>
      <c r="C1812" s="2" t="s">
        <v>12</v>
      </c>
      <c r="D1812" s="1" t="s">
        <v>1</v>
      </c>
      <c r="E1812" s="1" t="s">
        <v>49</v>
      </c>
      <c r="F1812" s="1">
        <v>1</v>
      </c>
    </row>
    <row r="1813" spans="1:6" x14ac:dyDescent="0.3">
      <c r="A1813" s="3" t="s">
        <v>13</v>
      </c>
      <c r="B1813" s="3" t="s">
        <v>52</v>
      </c>
      <c r="C1813" s="4" t="s">
        <v>12</v>
      </c>
      <c r="D1813" s="3" t="s">
        <v>6</v>
      </c>
      <c r="E1813" s="3" t="s">
        <v>44</v>
      </c>
      <c r="F1813" s="3">
        <v>62460</v>
      </c>
    </row>
    <row r="1814" spans="1:6" x14ac:dyDescent="0.3">
      <c r="A1814" s="1" t="s">
        <v>13</v>
      </c>
      <c r="B1814" s="1" t="s">
        <v>52</v>
      </c>
      <c r="C1814" s="2" t="s">
        <v>12</v>
      </c>
      <c r="D1814" s="1" t="s">
        <v>6</v>
      </c>
      <c r="E1814" s="1" t="s">
        <v>45</v>
      </c>
      <c r="F1814" s="1">
        <v>62460</v>
      </c>
    </row>
    <row r="1815" spans="1:6" x14ac:dyDescent="0.3">
      <c r="A1815" s="3" t="s">
        <v>13</v>
      </c>
      <c r="B1815" s="3" t="s">
        <v>52</v>
      </c>
      <c r="C1815" s="4" t="s">
        <v>12</v>
      </c>
      <c r="D1815" s="3" t="s">
        <v>6</v>
      </c>
      <c r="E1815" s="3" t="s">
        <v>49</v>
      </c>
      <c r="F1815" s="3">
        <v>1</v>
      </c>
    </row>
    <row r="1816" spans="1:6" x14ac:dyDescent="0.3">
      <c r="A1816" s="1" t="s">
        <v>13</v>
      </c>
      <c r="B1816" s="1" t="s">
        <v>52</v>
      </c>
      <c r="C1816" s="2" t="s">
        <v>12</v>
      </c>
      <c r="D1816" s="1" t="s">
        <v>9</v>
      </c>
      <c r="E1816" s="1" t="s">
        <v>44</v>
      </c>
      <c r="F1816" s="1">
        <v>160611</v>
      </c>
    </row>
    <row r="1817" spans="1:6" x14ac:dyDescent="0.3">
      <c r="A1817" s="3" t="s">
        <v>13</v>
      </c>
      <c r="B1817" s="3" t="s">
        <v>52</v>
      </c>
      <c r="C1817" s="4" t="s">
        <v>12</v>
      </c>
      <c r="D1817" s="3" t="s">
        <v>9</v>
      </c>
      <c r="E1817" s="3" t="s">
        <v>45</v>
      </c>
      <c r="F1817" s="3">
        <v>160611</v>
      </c>
    </row>
    <row r="1818" spans="1:6" x14ac:dyDescent="0.3">
      <c r="A1818" s="1" t="s">
        <v>13</v>
      </c>
      <c r="B1818" s="1" t="s">
        <v>52</v>
      </c>
      <c r="C1818" s="2" t="s">
        <v>12</v>
      </c>
      <c r="D1818" s="1" t="s">
        <v>9</v>
      </c>
      <c r="E1818" s="1" t="s">
        <v>49</v>
      </c>
      <c r="F1818" s="1">
        <v>1</v>
      </c>
    </row>
    <row r="1819" spans="1:6" x14ac:dyDescent="0.3">
      <c r="A1819" s="3" t="s">
        <v>13</v>
      </c>
      <c r="B1819" s="3" t="s">
        <v>52</v>
      </c>
      <c r="C1819" s="4" t="s">
        <v>12</v>
      </c>
      <c r="D1819" s="3" t="s">
        <v>11</v>
      </c>
      <c r="E1819" s="3" t="s">
        <v>44</v>
      </c>
      <c r="F1819" s="3">
        <v>62460</v>
      </c>
    </row>
    <row r="1820" spans="1:6" x14ac:dyDescent="0.3">
      <c r="A1820" s="1" t="s">
        <v>13</v>
      </c>
      <c r="B1820" s="1" t="s">
        <v>52</v>
      </c>
      <c r="C1820" s="2" t="s">
        <v>12</v>
      </c>
      <c r="D1820" s="1" t="s">
        <v>11</v>
      </c>
      <c r="E1820" s="1" t="s">
        <v>45</v>
      </c>
      <c r="F1820" s="1">
        <v>62460</v>
      </c>
    </row>
    <row r="1821" spans="1:6" x14ac:dyDescent="0.3">
      <c r="A1821" s="3" t="s">
        <v>13</v>
      </c>
      <c r="B1821" s="3" t="s">
        <v>52</v>
      </c>
      <c r="C1821" s="4" t="s">
        <v>12</v>
      </c>
      <c r="D1821" s="3" t="s">
        <v>11</v>
      </c>
      <c r="E1821" s="3" t="s">
        <v>49</v>
      </c>
      <c r="F1821" s="3">
        <v>1</v>
      </c>
    </row>
    <row r="1822" spans="1:6" x14ac:dyDescent="0.3">
      <c r="A1822" s="1" t="s">
        <v>13</v>
      </c>
      <c r="B1822" s="1" t="s">
        <v>52</v>
      </c>
      <c r="C1822" s="2" t="s">
        <v>12</v>
      </c>
      <c r="D1822" s="1" t="s">
        <v>1</v>
      </c>
      <c r="E1822" s="1" t="s">
        <v>44</v>
      </c>
      <c r="F1822" s="1">
        <v>-846819.42</v>
      </c>
    </row>
    <row r="1823" spans="1:6" x14ac:dyDescent="0.3">
      <c r="A1823" s="3" t="s">
        <v>13</v>
      </c>
      <c r="B1823" s="3" t="s">
        <v>52</v>
      </c>
      <c r="C1823" s="4" t="s">
        <v>12</v>
      </c>
      <c r="D1823" s="3" t="s">
        <v>1</v>
      </c>
      <c r="E1823" s="3" t="s">
        <v>45</v>
      </c>
      <c r="F1823" s="3">
        <v>10651.0799999999</v>
      </c>
    </row>
    <row r="1824" spans="1:6" x14ac:dyDescent="0.3">
      <c r="A1824" s="1" t="s">
        <v>13</v>
      </c>
      <c r="B1824" s="1" t="s">
        <v>52</v>
      </c>
      <c r="C1824" s="2" t="s">
        <v>12</v>
      </c>
      <c r="D1824" s="1" t="s">
        <v>1</v>
      </c>
      <c r="E1824" s="1" t="s">
        <v>46</v>
      </c>
      <c r="F1824" s="1">
        <v>846720</v>
      </c>
    </row>
    <row r="1825" spans="1:6" x14ac:dyDescent="0.3">
      <c r="A1825" s="3" t="s">
        <v>13</v>
      </c>
      <c r="B1825" s="3" t="s">
        <v>52</v>
      </c>
      <c r="C1825" s="4" t="s">
        <v>12</v>
      </c>
      <c r="D1825" s="3" t="s">
        <v>1</v>
      </c>
      <c r="E1825" s="3" t="s">
        <v>47</v>
      </c>
      <c r="F1825" s="3">
        <v>13.5</v>
      </c>
    </row>
    <row r="1826" spans="1:6" x14ac:dyDescent="0.3">
      <c r="A1826" s="1" t="s">
        <v>13</v>
      </c>
      <c r="B1826" s="1" t="s">
        <v>52</v>
      </c>
      <c r="C1826" s="2" t="s">
        <v>12</v>
      </c>
      <c r="D1826" s="1" t="s">
        <v>1</v>
      </c>
      <c r="E1826" s="1" t="s">
        <v>48</v>
      </c>
      <c r="F1826" s="1">
        <v>10737</v>
      </c>
    </row>
    <row r="1827" spans="1:6" x14ac:dyDescent="0.3">
      <c r="A1827" s="3" t="s">
        <v>13</v>
      </c>
      <c r="B1827" s="3" t="s">
        <v>52</v>
      </c>
      <c r="C1827" s="4" t="s">
        <v>12</v>
      </c>
      <c r="D1827" s="3" t="s">
        <v>1</v>
      </c>
      <c r="E1827" s="3" t="s">
        <v>49</v>
      </c>
      <c r="F1827" s="3">
        <v>-79.505498034002201</v>
      </c>
    </row>
    <row r="1828" spans="1:6" x14ac:dyDescent="0.3">
      <c r="A1828" s="1" t="s">
        <v>13</v>
      </c>
      <c r="B1828" s="1" t="s">
        <v>52</v>
      </c>
      <c r="C1828" s="2" t="s">
        <v>12</v>
      </c>
      <c r="D1828" s="1" t="s">
        <v>6</v>
      </c>
      <c r="E1828" s="1" t="s">
        <v>44</v>
      </c>
      <c r="F1828" s="1">
        <v>-856227.42</v>
      </c>
    </row>
    <row r="1829" spans="1:6" x14ac:dyDescent="0.3">
      <c r="A1829" s="3" t="s">
        <v>13</v>
      </c>
      <c r="B1829" s="3" t="s">
        <v>52</v>
      </c>
      <c r="C1829" s="4" t="s">
        <v>12</v>
      </c>
      <c r="D1829" s="3" t="s">
        <v>6</v>
      </c>
      <c r="E1829" s="3" t="s">
        <v>45</v>
      </c>
      <c r="F1829" s="3">
        <v>10651.0799999999</v>
      </c>
    </row>
    <row r="1830" spans="1:6" x14ac:dyDescent="0.3">
      <c r="A1830" s="1" t="s">
        <v>13</v>
      </c>
      <c r="B1830" s="1" t="s">
        <v>52</v>
      </c>
      <c r="C1830" s="2" t="s">
        <v>12</v>
      </c>
      <c r="D1830" s="1" t="s">
        <v>6</v>
      </c>
      <c r="E1830" s="1" t="s">
        <v>46</v>
      </c>
      <c r="F1830" s="1">
        <v>856128</v>
      </c>
    </row>
    <row r="1831" spans="1:6" x14ac:dyDescent="0.3">
      <c r="A1831" s="3" t="s">
        <v>13</v>
      </c>
      <c r="B1831" s="3" t="s">
        <v>52</v>
      </c>
      <c r="C1831" s="4" t="s">
        <v>12</v>
      </c>
      <c r="D1831" s="3" t="s">
        <v>6</v>
      </c>
      <c r="E1831" s="3" t="s">
        <v>47</v>
      </c>
      <c r="F1831" s="3">
        <v>13.5</v>
      </c>
    </row>
    <row r="1832" spans="1:6" x14ac:dyDescent="0.3">
      <c r="A1832" s="1" t="s">
        <v>13</v>
      </c>
      <c r="B1832" s="1" t="s">
        <v>52</v>
      </c>
      <c r="C1832" s="2" t="s">
        <v>12</v>
      </c>
      <c r="D1832" s="1" t="s">
        <v>6</v>
      </c>
      <c r="E1832" s="1" t="s">
        <v>48</v>
      </c>
      <c r="F1832" s="1">
        <v>10737</v>
      </c>
    </row>
    <row r="1833" spans="1:6" x14ac:dyDescent="0.3">
      <c r="A1833" s="3" t="s">
        <v>13</v>
      </c>
      <c r="B1833" s="3" t="s">
        <v>52</v>
      </c>
      <c r="C1833" s="4" t="s">
        <v>12</v>
      </c>
      <c r="D1833" s="3" t="s">
        <v>6</v>
      </c>
      <c r="E1833" s="3" t="s">
        <v>49</v>
      </c>
      <c r="F1833" s="3">
        <v>-80.388788742550005</v>
      </c>
    </row>
    <row r="1834" spans="1:6" x14ac:dyDescent="0.3">
      <c r="A1834" s="1" t="s">
        <v>13</v>
      </c>
      <c r="B1834" s="1" t="s">
        <v>52</v>
      </c>
      <c r="C1834" s="2" t="s">
        <v>12</v>
      </c>
      <c r="D1834" s="1" t="s">
        <v>9</v>
      </c>
      <c r="E1834" s="1" t="s">
        <v>44</v>
      </c>
      <c r="F1834" s="1">
        <v>-867942.26</v>
      </c>
    </row>
    <row r="1835" spans="1:6" x14ac:dyDescent="0.3">
      <c r="A1835" s="3" t="s">
        <v>13</v>
      </c>
      <c r="B1835" s="3" t="s">
        <v>52</v>
      </c>
      <c r="C1835" s="4" t="s">
        <v>12</v>
      </c>
      <c r="D1835" s="3" t="s">
        <v>9</v>
      </c>
      <c r="E1835" s="3" t="s">
        <v>45</v>
      </c>
      <c r="F1835" s="3">
        <v>17752.2399999999</v>
      </c>
    </row>
    <row r="1836" spans="1:6" x14ac:dyDescent="0.3">
      <c r="A1836" s="1" t="s">
        <v>13</v>
      </c>
      <c r="B1836" s="1" t="s">
        <v>52</v>
      </c>
      <c r="C1836" s="2" t="s">
        <v>12</v>
      </c>
      <c r="D1836" s="1" t="s">
        <v>9</v>
      </c>
      <c r="E1836" s="1" t="s">
        <v>46</v>
      </c>
      <c r="F1836" s="1">
        <v>874944</v>
      </c>
    </row>
    <row r="1837" spans="1:6" x14ac:dyDescent="0.3">
      <c r="A1837" s="3" t="s">
        <v>13</v>
      </c>
      <c r="B1837" s="3" t="s">
        <v>52</v>
      </c>
      <c r="C1837" s="4" t="s">
        <v>12</v>
      </c>
      <c r="D1837" s="3" t="s">
        <v>9</v>
      </c>
      <c r="E1837" s="3" t="s">
        <v>47</v>
      </c>
      <c r="F1837" s="3">
        <v>13.5</v>
      </c>
    </row>
    <row r="1838" spans="1:6" x14ac:dyDescent="0.3">
      <c r="A1838" s="1" t="s">
        <v>13</v>
      </c>
      <c r="B1838" s="1" t="s">
        <v>52</v>
      </c>
      <c r="C1838" s="2" t="s">
        <v>12</v>
      </c>
      <c r="D1838" s="1" t="s">
        <v>9</v>
      </c>
      <c r="E1838" s="1" t="s">
        <v>48</v>
      </c>
      <c r="F1838" s="1">
        <v>10737</v>
      </c>
    </row>
    <row r="1839" spans="1:6" x14ac:dyDescent="0.3">
      <c r="A1839" s="3" t="s">
        <v>13</v>
      </c>
      <c r="B1839" s="3" t="s">
        <v>52</v>
      </c>
      <c r="C1839" s="4" t="s">
        <v>12</v>
      </c>
      <c r="D1839" s="3" t="s">
        <v>9</v>
      </c>
      <c r="E1839" s="3" t="s">
        <v>49</v>
      </c>
      <c r="F1839" s="3">
        <v>-48.891985462116303</v>
      </c>
    </row>
    <row r="1840" spans="1:6" x14ac:dyDescent="0.3">
      <c r="A1840" s="1" t="s">
        <v>13</v>
      </c>
      <c r="B1840" s="1" t="s">
        <v>52</v>
      </c>
      <c r="C1840" s="2" t="s">
        <v>12</v>
      </c>
      <c r="D1840" s="1" t="s">
        <v>11</v>
      </c>
      <c r="E1840" s="1" t="s">
        <v>44</v>
      </c>
      <c r="F1840" s="1">
        <v>-883207.679999999</v>
      </c>
    </row>
    <row r="1841" spans="1:6" x14ac:dyDescent="0.3">
      <c r="A1841" s="3" t="s">
        <v>13</v>
      </c>
      <c r="B1841" s="3" t="s">
        <v>52</v>
      </c>
      <c r="C1841" s="4" t="s">
        <v>12</v>
      </c>
      <c r="D1841" s="3" t="s">
        <v>11</v>
      </c>
      <c r="E1841" s="3" t="s">
        <v>45</v>
      </c>
      <c r="F1841" s="3">
        <v>21302.819999999901</v>
      </c>
    </row>
    <row r="1842" spans="1:6" x14ac:dyDescent="0.3">
      <c r="A1842" s="1" t="s">
        <v>13</v>
      </c>
      <c r="B1842" s="1" t="s">
        <v>52</v>
      </c>
      <c r="C1842" s="2" t="s">
        <v>12</v>
      </c>
      <c r="D1842" s="1" t="s">
        <v>11</v>
      </c>
      <c r="E1842" s="1" t="s">
        <v>46</v>
      </c>
      <c r="F1842" s="1">
        <v>893760</v>
      </c>
    </row>
    <row r="1843" spans="1:6" x14ac:dyDescent="0.3">
      <c r="A1843" s="3" t="s">
        <v>13</v>
      </c>
      <c r="B1843" s="3" t="s">
        <v>52</v>
      </c>
      <c r="C1843" s="4" t="s">
        <v>12</v>
      </c>
      <c r="D1843" s="3" t="s">
        <v>11</v>
      </c>
      <c r="E1843" s="3" t="s">
        <v>47</v>
      </c>
      <c r="F1843" s="3">
        <v>13.5</v>
      </c>
    </row>
    <row r="1844" spans="1:6" x14ac:dyDescent="0.3">
      <c r="A1844" s="1" t="s">
        <v>13</v>
      </c>
      <c r="B1844" s="1" t="s">
        <v>52</v>
      </c>
      <c r="C1844" s="2" t="s">
        <v>12</v>
      </c>
      <c r="D1844" s="1" t="s">
        <v>11</v>
      </c>
      <c r="E1844" s="1" t="s">
        <v>48</v>
      </c>
      <c r="F1844" s="1">
        <v>10737</v>
      </c>
    </row>
    <row r="1845" spans="1:6" x14ac:dyDescent="0.3">
      <c r="A1845" s="3" t="s">
        <v>13</v>
      </c>
      <c r="B1845" s="3" t="s">
        <v>52</v>
      </c>
      <c r="C1845" s="4" t="s">
        <v>12</v>
      </c>
      <c r="D1845" s="3" t="s">
        <v>11</v>
      </c>
      <c r="E1845" s="3" t="s">
        <v>49</v>
      </c>
      <c r="F1845" s="3">
        <v>-41.459660270330403</v>
      </c>
    </row>
    <row r="1846" spans="1:6" x14ac:dyDescent="0.3">
      <c r="A1846" s="1" t="s">
        <v>13</v>
      </c>
      <c r="B1846" s="1" t="s">
        <v>52</v>
      </c>
      <c r="C1846" s="2" t="s">
        <v>12</v>
      </c>
      <c r="D1846" s="1" t="s">
        <v>1</v>
      </c>
      <c r="E1846" s="1" t="s">
        <v>44</v>
      </c>
      <c r="F1846" s="1">
        <v>160611</v>
      </c>
    </row>
    <row r="1847" spans="1:6" x14ac:dyDescent="0.3">
      <c r="A1847" s="3" t="s">
        <v>13</v>
      </c>
      <c r="B1847" s="3" t="s">
        <v>52</v>
      </c>
      <c r="C1847" s="4" t="s">
        <v>12</v>
      </c>
      <c r="D1847" s="3" t="s">
        <v>1</v>
      </c>
      <c r="E1847" s="3" t="s">
        <v>45</v>
      </c>
      <c r="F1847" s="3">
        <v>160611</v>
      </c>
    </row>
    <row r="1848" spans="1:6" x14ac:dyDescent="0.3">
      <c r="A1848" s="1" t="s">
        <v>13</v>
      </c>
      <c r="B1848" s="1" t="s">
        <v>52</v>
      </c>
      <c r="C1848" s="2" t="s">
        <v>12</v>
      </c>
      <c r="D1848" s="1" t="s">
        <v>1</v>
      </c>
      <c r="E1848" s="1" t="s">
        <v>49</v>
      </c>
      <c r="F1848" s="1">
        <v>1</v>
      </c>
    </row>
    <row r="1849" spans="1:6" x14ac:dyDescent="0.3">
      <c r="A1849" s="3" t="s">
        <v>13</v>
      </c>
      <c r="B1849" s="3" t="s">
        <v>52</v>
      </c>
      <c r="C1849" s="4" t="s">
        <v>12</v>
      </c>
      <c r="D1849" s="3" t="s">
        <v>6</v>
      </c>
      <c r="E1849" s="3" t="s">
        <v>44</v>
      </c>
      <c r="F1849" s="3">
        <v>62460</v>
      </c>
    </row>
    <row r="1850" spans="1:6" x14ac:dyDescent="0.3">
      <c r="A1850" s="1" t="s">
        <v>13</v>
      </c>
      <c r="B1850" s="1" t="s">
        <v>52</v>
      </c>
      <c r="C1850" s="2" t="s">
        <v>12</v>
      </c>
      <c r="D1850" s="1" t="s">
        <v>6</v>
      </c>
      <c r="E1850" s="1" t="s">
        <v>45</v>
      </c>
      <c r="F1850" s="1">
        <v>62460</v>
      </c>
    </row>
    <row r="1851" spans="1:6" x14ac:dyDescent="0.3">
      <c r="A1851" s="3" t="s">
        <v>13</v>
      </c>
      <c r="B1851" s="3" t="s">
        <v>52</v>
      </c>
      <c r="C1851" s="4" t="s">
        <v>12</v>
      </c>
      <c r="D1851" s="3" t="s">
        <v>6</v>
      </c>
      <c r="E1851" s="3" t="s">
        <v>49</v>
      </c>
      <c r="F1851" s="3">
        <v>1</v>
      </c>
    </row>
    <row r="1852" spans="1:6" x14ac:dyDescent="0.3">
      <c r="A1852" s="1" t="s">
        <v>13</v>
      </c>
      <c r="B1852" s="1" t="s">
        <v>52</v>
      </c>
      <c r="C1852" s="2" t="s">
        <v>12</v>
      </c>
      <c r="D1852" s="1" t="s">
        <v>9</v>
      </c>
      <c r="E1852" s="1" t="s">
        <v>44</v>
      </c>
      <c r="F1852" s="1">
        <v>160611</v>
      </c>
    </row>
    <row r="1853" spans="1:6" x14ac:dyDescent="0.3">
      <c r="A1853" s="3" t="s">
        <v>13</v>
      </c>
      <c r="B1853" s="3" t="s">
        <v>52</v>
      </c>
      <c r="C1853" s="4" t="s">
        <v>12</v>
      </c>
      <c r="D1853" s="3" t="s">
        <v>9</v>
      </c>
      <c r="E1853" s="3" t="s">
        <v>45</v>
      </c>
      <c r="F1853" s="3">
        <v>160611</v>
      </c>
    </row>
    <row r="1854" spans="1:6" x14ac:dyDescent="0.3">
      <c r="A1854" s="1" t="s">
        <v>13</v>
      </c>
      <c r="B1854" s="1" t="s">
        <v>52</v>
      </c>
      <c r="C1854" s="2" t="s">
        <v>12</v>
      </c>
      <c r="D1854" s="1" t="s">
        <v>9</v>
      </c>
      <c r="E1854" s="1" t="s">
        <v>49</v>
      </c>
      <c r="F1854" s="1">
        <v>1</v>
      </c>
    </row>
    <row r="1855" spans="1:6" x14ac:dyDescent="0.3">
      <c r="A1855" s="3" t="s">
        <v>13</v>
      </c>
      <c r="B1855" s="3" t="s">
        <v>52</v>
      </c>
      <c r="C1855" s="4" t="s">
        <v>12</v>
      </c>
      <c r="D1855" s="3" t="s">
        <v>11</v>
      </c>
      <c r="E1855" s="3" t="s">
        <v>44</v>
      </c>
      <c r="F1855" s="3">
        <v>62460</v>
      </c>
    </row>
    <row r="1856" spans="1:6" x14ac:dyDescent="0.3">
      <c r="A1856" s="1" t="s">
        <v>13</v>
      </c>
      <c r="B1856" s="1" t="s">
        <v>52</v>
      </c>
      <c r="C1856" s="2" t="s">
        <v>12</v>
      </c>
      <c r="D1856" s="1" t="s">
        <v>11</v>
      </c>
      <c r="E1856" s="1" t="s">
        <v>45</v>
      </c>
      <c r="F1856" s="1">
        <v>62460</v>
      </c>
    </row>
    <row r="1857" spans="1:6" x14ac:dyDescent="0.3">
      <c r="A1857" s="3" t="s">
        <v>13</v>
      </c>
      <c r="B1857" s="3" t="s">
        <v>52</v>
      </c>
      <c r="C1857" s="4" t="s">
        <v>12</v>
      </c>
      <c r="D1857" s="3" t="s">
        <v>11</v>
      </c>
      <c r="E1857" s="3" t="s">
        <v>49</v>
      </c>
      <c r="F1857" s="3">
        <v>1</v>
      </c>
    </row>
    <row r="1858" spans="1:6" x14ac:dyDescent="0.3">
      <c r="A1858" s="1" t="s">
        <v>13</v>
      </c>
      <c r="B1858" s="1" t="s">
        <v>52</v>
      </c>
      <c r="C1858" s="2" t="s">
        <v>12</v>
      </c>
      <c r="D1858" s="1" t="s">
        <v>1</v>
      </c>
      <c r="E1858" s="1" t="s">
        <v>44</v>
      </c>
      <c r="F1858" s="1">
        <v>-54781.62</v>
      </c>
    </row>
    <row r="1859" spans="1:6" x14ac:dyDescent="0.3">
      <c r="A1859" s="3" t="s">
        <v>13</v>
      </c>
      <c r="B1859" s="3" t="s">
        <v>52</v>
      </c>
      <c r="C1859" s="4" t="s">
        <v>12</v>
      </c>
      <c r="D1859" s="3" t="s">
        <v>1</v>
      </c>
      <c r="E1859" s="3" t="s">
        <v>45</v>
      </c>
      <c r="F1859" s="3">
        <v>23154.779999999901</v>
      </c>
    </row>
    <row r="1860" spans="1:6" x14ac:dyDescent="0.3">
      <c r="A1860" s="1" t="s">
        <v>13</v>
      </c>
      <c r="B1860" s="1" t="s">
        <v>52</v>
      </c>
      <c r="C1860" s="2" t="s">
        <v>12</v>
      </c>
      <c r="D1860" s="1" t="s">
        <v>1</v>
      </c>
      <c r="E1860" s="1" t="s">
        <v>46</v>
      </c>
      <c r="F1860" s="1">
        <v>56448</v>
      </c>
    </row>
    <row r="1861" spans="1:6" x14ac:dyDescent="0.3">
      <c r="A1861" s="3" t="s">
        <v>13</v>
      </c>
      <c r="B1861" s="3" t="s">
        <v>52</v>
      </c>
      <c r="C1861" s="4" t="s">
        <v>12</v>
      </c>
      <c r="D1861" s="3" t="s">
        <v>1</v>
      </c>
      <c r="E1861" s="3" t="s">
        <v>47</v>
      </c>
      <c r="F1861" s="3">
        <v>13.5</v>
      </c>
    </row>
    <row r="1862" spans="1:6" x14ac:dyDescent="0.3">
      <c r="A1862" s="1" t="s">
        <v>13</v>
      </c>
      <c r="B1862" s="1" t="s">
        <v>52</v>
      </c>
      <c r="C1862" s="2" t="s">
        <v>12</v>
      </c>
      <c r="D1862" s="1" t="s">
        <v>1</v>
      </c>
      <c r="E1862" s="1" t="s">
        <v>48</v>
      </c>
      <c r="F1862" s="1">
        <v>21474.8999999999</v>
      </c>
    </row>
    <row r="1863" spans="1:6" x14ac:dyDescent="0.3">
      <c r="A1863" s="3" t="s">
        <v>13</v>
      </c>
      <c r="B1863" s="3" t="s">
        <v>52</v>
      </c>
      <c r="C1863" s="4" t="s">
        <v>12</v>
      </c>
      <c r="D1863" s="3" t="s">
        <v>1</v>
      </c>
      <c r="E1863" s="3" t="s">
        <v>49</v>
      </c>
      <c r="F1863" s="3">
        <v>-2.36588816650384</v>
      </c>
    </row>
    <row r="1864" spans="1:6" x14ac:dyDescent="0.3">
      <c r="A1864" s="1" t="s">
        <v>13</v>
      </c>
      <c r="B1864" s="1" t="s">
        <v>52</v>
      </c>
      <c r="C1864" s="2" t="s">
        <v>12</v>
      </c>
      <c r="D1864" s="1" t="s">
        <v>6</v>
      </c>
      <c r="E1864" s="1" t="s">
        <v>44</v>
      </c>
      <c r="F1864" s="1">
        <v>-54781.62</v>
      </c>
    </row>
    <row r="1865" spans="1:6" x14ac:dyDescent="0.3">
      <c r="A1865" s="3" t="s">
        <v>13</v>
      </c>
      <c r="B1865" s="3" t="s">
        <v>52</v>
      </c>
      <c r="C1865" s="4" t="s">
        <v>12</v>
      </c>
      <c r="D1865" s="3" t="s">
        <v>6</v>
      </c>
      <c r="E1865" s="3" t="s">
        <v>45</v>
      </c>
      <c r="F1865" s="3">
        <v>23154.779999999901</v>
      </c>
    </row>
    <row r="1866" spans="1:6" x14ac:dyDescent="0.3">
      <c r="A1866" s="1" t="s">
        <v>13</v>
      </c>
      <c r="B1866" s="1" t="s">
        <v>52</v>
      </c>
      <c r="C1866" s="2" t="s">
        <v>12</v>
      </c>
      <c r="D1866" s="1" t="s">
        <v>6</v>
      </c>
      <c r="E1866" s="1" t="s">
        <v>46</v>
      </c>
      <c r="F1866" s="1">
        <v>56448</v>
      </c>
    </row>
    <row r="1867" spans="1:6" x14ac:dyDescent="0.3">
      <c r="A1867" s="3" t="s">
        <v>13</v>
      </c>
      <c r="B1867" s="3" t="s">
        <v>52</v>
      </c>
      <c r="C1867" s="4" t="s">
        <v>12</v>
      </c>
      <c r="D1867" s="3" t="s">
        <v>6</v>
      </c>
      <c r="E1867" s="3" t="s">
        <v>47</v>
      </c>
      <c r="F1867" s="3">
        <v>13.5</v>
      </c>
    </row>
    <row r="1868" spans="1:6" x14ac:dyDescent="0.3">
      <c r="A1868" s="1" t="s">
        <v>13</v>
      </c>
      <c r="B1868" s="1" t="s">
        <v>52</v>
      </c>
      <c r="C1868" s="2" t="s">
        <v>12</v>
      </c>
      <c r="D1868" s="1" t="s">
        <v>6</v>
      </c>
      <c r="E1868" s="1" t="s">
        <v>48</v>
      </c>
      <c r="F1868" s="1">
        <v>21474.8999999999</v>
      </c>
    </row>
    <row r="1869" spans="1:6" x14ac:dyDescent="0.3">
      <c r="A1869" s="3" t="s">
        <v>13</v>
      </c>
      <c r="B1869" s="3" t="s">
        <v>52</v>
      </c>
      <c r="C1869" s="4" t="s">
        <v>12</v>
      </c>
      <c r="D1869" s="3" t="s">
        <v>6</v>
      </c>
      <c r="E1869" s="3" t="s">
        <v>49</v>
      </c>
      <c r="F1869" s="3">
        <v>-2.36588816650384</v>
      </c>
    </row>
    <row r="1870" spans="1:6" x14ac:dyDescent="0.3">
      <c r="A1870" s="1" t="s">
        <v>13</v>
      </c>
      <c r="B1870" s="1" t="s">
        <v>52</v>
      </c>
      <c r="C1870" s="2" t="s">
        <v>12</v>
      </c>
      <c r="D1870" s="1" t="s">
        <v>9</v>
      </c>
      <c r="E1870" s="1" t="s">
        <v>44</v>
      </c>
      <c r="F1870" s="1">
        <v>-54781.62</v>
      </c>
    </row>
    <row r="1871" spans="1:6" x14ac:dyDescent="0.3">
      <c r="A1871" s="3" t="s">
        <v>13</v>
      </c>
      <c r="B1871" s="3" t="s">
        <v>52</v>
      </c>
      <c r="C1871" s="4" t="s">
        <v>12</v>
      </c>
      <c r="D1871" s="3" t="s">
        <v>9</v>
      </c>
      <c r="E1871" s="3" t="s">
        <v>45</v>
      </c>
      <c r="F1871" s="3">
        <v>23154.779999999901</v>
      </c>
    </row>
    <row r="1872" spans="1:6" x14ac:dyDescent="0.3">
      <c r="A1872" s="1" t="s">
        <v>13</v>
      </c>
      <c r="B1872" s="1" t="s">
        <v>52</v>
      </c>
      <c r="C1872" s="2" t="s">
        <v>12</v>
      </c>
      <c r="D1872" s="1" t="s">
        <v>9</v>
      </c>
      <c r="E1872" s="1" t="s">
        <v>46</v>
      </c>
      <c r="F1872" s="1">
        <v>56448</v>
      </c>
    </row>
    <row r="1873" spans="1:6" x14ac:dyDescent="0.3">
      <c r="A1873" s="3" t="s">
        <v>13</v>
      </c>
      <c r="B1873" s="3" t="s">
        <v>52</v>
      </c>
      <c r="C1873" s="4" t="s">
        <v>12</v>
      </c>
      <c r="D1873" s="3" t="s">
        <v>9</v>
      </c>
      <c r="E1873" s="3" t="s">
        <v>47</v>
      </c>
      <c r="F1873" s="3">
        <v>13.5</v>
      </c>
    </row>
    <row r="1874" spans="1:6" x14ac:dyDescent="0.3">
      <c r="A1874" s="1" t="s">
        <v>13</v>
      </c>
      <c r="B1874" s="1" t="s">
        <v>52</v>
      </c>
      <c r="C1874" s="2" t="s">
        <v>12</v>
      </c>
      <c r="D1874" s="1" t="s">
        <v>9</v>
      </c>
      <c r="E1874" s="1" t="s">
        <v>48</v>
      </c>
      <c r="F1874" s="1">
        <v>21474.8999999999</v>
      </c>
    </row>
    <row r="1875" spans="1:6" x14ac:dyDescent="0.3">
      <c r="A1875" s="3" t="s">
        <v>13</v>
      </c>
      <c r="B1875" s="3" t="s">
        <v>52</v>
      </c>
      <c r="C1875" s="4" t="s">
        <v>12</v>
      </c>
      <c r="D1875" s="3" t="s">
        <v>9</v>
      </c>
      <c r="E1875" s="3" t="s">
        <v>49</v>
      </c>
      <c r="F1875" s="3">
        <v>-2.36588816650384</v>
      </c>
    </row>
    <row r="1876" spans="1:6" x14ac:dyDescent="0.3">
      <c r="A1876" s="1" t="s">
        <v>13</v>
      </c>
      <c r="B1876" s="1" t="s">
        <v>52</v>
      </c>
      <c r="C1876" s="2" t="s">
        <v>12</v>
      </c>
      <c r="D1876" s="1" t="s">
        <v>11</v>
      </c>
      <c r="E1876" s="1" t="s">
        <v>44</v>
      </c>
      <c r="F1876" s="1">
        <v>-54781.62</v>
      </c>
    </row>
    <row r="1877" spans="1:6" x14ac:dyDescent="0.3">
      <c r="A1877" s="3" t="s">
        <v>13</v>
      </c>
      <c r="B1877" s="3" t="s">
        <v>52</v>
      </c>
      <c r="C1877" s="4" t="s">
        <v>12</v>
      </c>
      <c r="D1877" s="3" t="s">
        <v>11</v>
      </c>
      <c r="E1877" s="3" t="s">
        <v>45</v>
      </c>
      <c r="F1877" s="3">
        <v>23154.779999999901</v>
      </c>
    </row>
    <row r="1878" spans="1:6" x14ac:dyDescent="0.3">
      <c r="A1878" s="1" t="s">
        <v>13</v>
      </c>
      <c r="B1878" s="1" t="s">
        <v>52</v>
      </c>
      <c r="C1878" s="2" t="s">
        <v>12</v>
      </c>
      <c r="D1878" s="1" t="s">
        <v>11</v>
      </c>
      <c r="E1878" s="1" t="s">
        <v>46</v>
      </c>
      <c r="F1878" s="1">
        <v>56448</v>
      </c>
    </row>
    <row r="1879" spans="1:6" x14ac:dyDescent="0.3">
      <c r="A1879" s="3" t="s">
        <v>13</v>
      </c>
      <c r="B1879" s="3" t="s">
        <v>52</v>
      </c>
      <c r="C1879" s="4" t="s">
        <v>12</v>
      </c>
      <c r="D1879" s="3" t="s">
        <v>11</v>
      </c>
      <c r="E1879" s="3" t="s">
        <v>47</v>
      </c>
      <c r="F1879" s="3">
        <v>13.5</v>
      </c>
    </row>
    <row r="1880" spans="1:6" x14ac:dyDescent="0.3">
      <c r="A1880" s="1" t="s">
        <v>13</v>
      </c>
      <c r="B1880" s="1" t="s">
        <v>52</v>
      </c>
      <c r="C1880" s="2" t="s">
        <v>12</v>
      </c>
      <c r="D1880" s="1" t="s">
        <v>11</v>
      </c>
      <c r="E1880" s="1" t="s">
        <v>48</v>
      </c>
      <c r="F1880" s="1">
        <v>21474.8999999999</v>
      </c>
    </row>
    <row r="1881" spans="1:6" x14ac:dyDescent="0.3">
      <c r="A1881" s="3" t="s">
        <v>13</v>
      </c>
      <c r="B1881" s="3" t="s">
        <v>52</v>
      </c>
      <c r="C1881" s="4" t="s">
        <v>12</v>
      </c>
      <c r="D1881" s="3" t="s">
        <v>11</v>
      </c>
      <c r="E1881" s="3" t="s">
        <v>49</v>
      </c>
      <c r="F1881" s="3">
        <v>-2.36588816650384</v>
      </c>
    </row>
    <row r="1882" spans="1:6" x14ac:dyDescent="0.3">
      <c r="A1882" s="1" t="s">
        <v>13</v>
      </c>
      <c r="B1882" s="1" t="s">
        <v>52</v>
      </c>
      <c r="C1882" s="2" t="s">
        <v>12</v>
      </c>
      <c r="D1882" s="1" t="s">
        <v>1</v>
      </c>
      <c r="E1882" s="1" t="s">
        <v>44</v>
      </c>
      <c r="F1882" s="1">
        <v>98500</v>
      </c>
    </row>
    <row r="1883" spans="1:6" x14ac:dyDescent="0.3">
      <c r="A1883" s="3" t="s">
        <v>13</v>
      </c>
      <c r="B1883" s="3" t="s">
        <v>52</v>
      </c>
      <c r="C1883" s="4" t="s">
        <v>12</v>
      </c>
      <c r="D1883" s="3" t="s">
        <v>1</v>
      </c>
      <c r="E1883" s="3" t="s">
        <v>45</v>
      </c>
      <c r="F1883" s="3">
        <v>98500</v>
      </c>
    </row>
    <row r="1884" spans="1:6" x14ac:dyDescent="0.3">
      <c r="A1884" s="1" t="s">
        <v>13</v>
      </c>
      <c r="B1884" s="1" t="s">
        <v>52</v>
      </c>
      <c r="C1884" s="2" t="s">
        <v>12</v>
      </c>
      <c r="D1884" s="1" t="s">
        <v>1</v>
      </c>
      <c r="E1884" s="1" t="s">
        <v>49</v>
      </c>
      <c r="F1884" s="1">
        <v>1</v>
      </c>
    </row>
    <row r="1885" spans="1:6" x14ac:dyDescent="0.3">
      <c r="A1885" s="3" t="s">
        <v>13</v>
      </c>
      <c r="B1885" s="3" t="s">
        <v>52</v>
      </c>
      <c r="C1885" s="4" t="s">
        <v>12</v>
      </c>
      <c r="D1885" s="3" t="s">
        <v>6</v>
      </c>
      <c r="E1885" s="3" t="s">
        <v>44</v>
      </c>
      <c r="F1885" s="3">
        <v>84500</v>
      </c>
    </row>
    <row r="1886" spans="1:6" x14ac:dyDescent="0.3">
      <c r="A1886" s="1" t="s">
        <v>13</v>
      </c>
      <c r="B1886" s="1" t="s">
        <v>52</v>
      </c>
      <c r="C1886" s="2" t="s">
        <v>12</v>
      </c>
      <c r="D1886" s="1" t="s">
        <v>6</v>
      </c>
      <c r="E1886" s="1" t="s">
        <v>45</v>
      </c>
      <c r="F1886" s="1">
        <v>84500</v>
      </c>
    </row>
    <row r="1887" spans="1:6" x14ac:dyDescent="0.3">
      <c r="A1887" s="3" t="s">
        <v>13</v>
      </c>
      <c r="B1887" s="3" t="s">
        <v>52</v>
      </c>
      <c r="C1887" s="4" t="s">
        <v>12</v>
      </c>
      <c r="D1887" s="3" t="s">
        <v>6</v>
      </c>
      <c r="E1887" s="3" t="s">
        <v>49</v>
      </c>
      <c r="F1887" s="3">
        <v>1</v>
      </c>
    </row>
    <row r="1888" spans="1:6" x14ac:dyDescent="0.3">
      <c r="A1888" s="1" t="s">
        <v>13</v>
      </c>
      <c r="B1888" s="1" t="s">
        <v>52</v>
      </c>
      <c r="C1888" s="2" t="s">
        <v>12</v>
      </c>
      <c r="D1888" s="1" t="s">
        <v>9</v>
      </c>
      <c r="E1888" s="1" t="s">
        <v>44</v>
      </c>
      <c r="F1888" s="1">
        <v>98500</v>
      </c>
    </row>
    <row r="1889" spans="1:6" x14ac:dyDescent="0.3">
      <c r="A1889" s="3" t="s">
        <v>13</v>
      </c>
      <c r="B1889" s="3" t="s">
        <v>52</v>
      </c>
      <c r="C1889" s="4" t="s">
        <v>12</v>
      </c>
      <c r="D1889" s="3" t="s">
        <v>9</v>
      </c>
      <c r="E1889" s="3" t="s">
        <v>45</v>
      </c>
      <c r="F1889" s="3">
        <v>98500</v>
      </c>
    </row>
    <row r="1890" spans="1:6" x14ac:dyDescent="0.3">
      <c r="A1890" s="1" t="s">
        <v>13</v>
      </c>
      <c r="B1890" s="1" t="s">
        <v>52</v>
      </c>
      <c r="C1890" s="2" t="s">
        <v>12</v>
      </c>
      <c r="D1890" s="1" t="s">
        <v>9</v>
      </c>
      <c r="E1890" s="1" t="s">
        <v>49</v>
      </c>
      <c r="F1890" s="1">
        <v>1</v>
      </c>
    </row>
    <row r="1891" spans="1:6" x14ac:dyDescent="0.3">
      <c r="A1891" s="3" t="s">
        <v>13</v>
      </c>
      <c r="B1891" s="3" t="s">
        <v>52</v>
      </c>
      <c r="C1891" s="4" t="s">
        <v>12</v>
      </c>
      <c r="D1891" s="3" t="s">
        <v>11</v>
      </c>
      <c r="E1891" s="3" t="s">
        <v>44</v>
      </c>
      <c r="F1891" s="3">
        <v>84500</v>
      </c>
    </row>
    <row r="1892" spans="1:6" x14ac:dyDescent="0.3">
      <c r="A1892" s="1" t="s">
        <v>13</v>
      </c>
      <c r="B1892" s="1" t="s">
        <v>52</v>
      </c>
      <c r="C1892" s="2" t="s">
        <v>12</v>
      </c>
      <c r="D1892" s="1" t="s">
        <v>11</v>
      </c>
      <c r="E1892" s="1" t="s">
        <v>45</v>
      </c>
      <c r="F1892" s="1">
        <v>84500</v>
      </c>
    </row>
    <row r="1893" spans="1:6" x14ac:dyDescent="0.3">
      <c r="A1893" s="3" t="s">
        <v>13</v>
      </c>
      <c r="B1893" s="3" t="s">
        <v>52</v>
      </c>
      <c r="C1893" s="4" t="s">
        <v>12</v>
      </c>
      <c r="D1893" s="3" t="s">
        <v>11</v>
      </c>
      <c r="E1893" s="3" t="s">
        <v>49</v>
      </c>
      <c r="F1893" s="3">
        <v>1</v>
      </c>
    </row>
    <row r="1894" spans="1:6" x14ac:dyDescent="0.3">
      <c r="A1894" s="1" t="s">
        <v>13</v>
      </c>
      <c r="B1894" s="1" t="s">
        <v>52</v>
      </c>
      <c r="C1894" s="2" t="s">
        <v>12</v>
      </c>
      <c r="D1894" s="1" t="s">
        <v>1</v>
      </c>
      <c r="E1894" s="1" t="s">
        <v>44</v>
      </c>
      <c r="F1894" s="1">
        <v>10735.56</v>
      </c>
    </row>
    <row r="1895" spans="1:6" x14ac:dyDescent="0.3">
      <c r="A1895" s="3" t="s">
        <v>13</v>
      </c>
      <c r="B1895" s="3" t="s">
        <v>52</v>
      </c>
      <c r="C1895" s="4" t="s">
        <v>12</v>
      </c>
      <c r="D1895" s="3" t="s">
        <v>1</v>
      </c>
      <c r="E1895" s="3" t="s">
        <v>45</v>
      </c>
      <c r="F1895" s="3">
        <v>10735.56</v>
      </c>
    </row>
    <row r="1896" spans="1:6" x14ac:dyDescent="0.3">
      <c r="A1896" s="1" t="s">
        <v>13</v>
      </c>
      <c r="B1896" s="1" t="s">
        <v>52</v>
      </c>
      <c r="C1896" s="2" t="s">
        <v>12</v>
      </c>
      <c r="D1896" s="1" t="s">
        <v>1</v>
      </c>
      <c r="E1896" s="1" t="s">
        <v>49</v>
      </c>
      <c r="F1896" s="1">
        <v>1</v>
      </c>
    </row>
    <row r="1897" spans="1:6" x14ac:dyDescent="0.3">
      <c r="A1897" s="3" t="s">
        <v>13</v>
      </c>
      <c r="B1897" s="3" t="s">
        <v>52</v>
      </c>
      <c r="C1897" s="4" t="s">
        <v>12</v>
      </c>
      <c r="D1897" s="3" t="s">
        <v>6</v>
      </c>
      <c r="E1897" s="3" t="s">
        <v>44</v>
      </c>
      <c r="F1897" s="3">
        <v>10735.56</v>
      </c>
    </row>
    <row r="1898" spans="1:6" x14ac:dyDescent="0.3">
      <c r="A1898" s="1" t="s">
        <v>13</v>
      </c>
      <c r="B1898" s="1" t="s">
        <v>52</v>
      </c>
      <c r="C1898" s="2" t="s">
        <v>12</v>
      </c>
      <c r="D1898" s="1" t="s">
        <v>6</v>
      </c>
      <c r="E1898" s="1" t="s">
        <v>45</v>
      </c>
      <c r="F1898" s="1">
        <v>10735.56</v>
      </c>
    </row>
    <row r="1899" spans="1:6" x14ac:dyDescent="0.3">
      <c r="A1899" s="3" t="s">
        <v>13</v>
      </c>
      <c r="B1899" s="3" t="s">
        <v>52</v>
      </c>
      <c r="C1899" s="4" t="s">
        <v>12</v>
      </c>
      <c r="D1899" s="3" t="s">
        <v>6</v>
      </c>
      <c r="E1899" s="3" t="s">
        <v>49</v>
      </c>
      <c r="F1899" s="3">
        <v>1</v>
      </c>
    </row>
    <row r="1900" spans="1:6" x14ac:dyDescent="0.3">
      <c r="A1900" s="1" t="s">
        <v>13</v>
      </c>
      <c r="B1900" s="1" t="s">
        <v>52</v>
      </c>
      <c r="C1900" s="2" t="s">
        <v>12</v>
      </c>
      <c r="D1900" s="1" t="s">
        <v>9</v>
      </c>
      <c r="E1900" s="1" t="s">
        <v>44</v>
      </c>
      <c r="F1900" s="1">
        <v>10735.56</v>
      </c>
    </row>
    <row r="1901" spans="1:6" x14ac:dyDescent="0.3">
      <c r="A1901" s="3" t="s">
        <v>13</v>
      </c>
      <c r="B1901" s="3" t="s">
        <v>52</v>
      </c>
      <c r="C1901" s="4" t="s">
        <v>12</v>
      </c>
      <c r="D1901" s="3" t="s">
        <v>9</v>
      </c>
      <c r="E1901" s="3" t="s">
        <v>45</v>
      </c>
      <c r="F1901" s="3">
        <v>10735.56</v>
      </c>
    </row>
    <row r="1902" spans="1:6" x14ac:dyDescent="0.3">
      <c r="A1902" s="1" t="s">
        <v>13</v>
      </c>
      <c r="B1902" s="1" t="s">
        <v>52</v>
      </c>
      <c r="C1902" s="2" t="s">
        <v>12</v>
      </c>
      <c r="D1902" s="1" t="s">
        <v>9</v>
      </c>
      <c r="E1902" s="1" t="s">
        <v>49</v>
      </c>
      <c r="F1902" s="1">
        <v>1</v>
      </c>
    </row>
    <row r="1903" spans="1:6" x14ac:dyDescent="0.3">
      <c r="A1903" s="3" t="s">
        <v>13</v>
      </c>
      <c r="B1903" s="3" t="s">
        <v>52</v>
      </c>
      <c r="C1903" s="4" t="s">
        <v>12</v>
      </c>
      <c r="D1903" s="3" t="s">
        <v>11</v>
      </c>
      <c r="E1903" s="3" t="s">
        <v>44</v>
      </c>
      <c r="F1903" s="3">
        <v>10735.56</v>
      </c>
    </row>
    <row r="1904" spans="1:6" x14ac:dyDescent="0.3">
      <c r="A1904" s="1" t="s">
        <v>13</v>
      </c>
      <c r="B1904" s="1" t="s">
        <v>52</v>
      </c>
      <c r="C1904" s="2" t="s">
        <v>12</v>
      </c>
      <c r="D1904" s="1" t="s">
        <v>11</v>
      </c>
      <c r="E1904" s="1" t="s">
        <v>45</v>
      </c>
      <c r="F1904" s="1">
        <v>10735.56</v>
      </c>
    </row>
    <row r="1905" spans="1:6" x14ac:dyDescent="0.3">
      <c r="A1905" s="3" t="s">
        <v>13</v>
      </c>
      <c r="B1905" s="3" t="s">
        <v>52</v>
      </c>
      <c r="C1905" s="4" t="s">
        <v>12</v>
      </c>
      <c r="D1905" s="3" t="s">
        <v>11</v>
      </c>
      <c r="E1905" s="3" t="s">
        <v>49</v>
      </c>
      <c r="F1905" s="3">
        <v>1</v>
      </c>
    </row>
    <row r="1906" spans="1:6" x14ac:dyDescent="0.3">
      <c r="A1906" s="1" t="s">
        <v>13</v>
      </c>
      <c r="B1906" s="1" t="s">
        <v>52</v>
      </c>
      <c r="C1906" s="2" t="s">
        <v>12</v>
      </c>
      <c r="D1906" s="1" t="s">
        <v>1</v>
      </c>
      <c r="E1906" s="1" t="s">
        <v>44</v>
      </c>
      <c r="F1906" s="1">
        <v>98500</v>
      </c>
    </row>
    <row r="1907" spans="1:6" x14ac:dyDescent="0.3">
      <c r="A1907" s="3" t="s">
        <v>13</v>
      </c>
      <c r="B1907" s="3" t="s">
        <v>52</v>
      </c>
      <c r="C1907" s="4" t="s">
        <v>12</v>
      </c>
      <c r="D1907" s="3" t="s">
        <v>1</v>
      </c>
      <c r="E1907" s="3" t="s">
        <v>45</v>
      </c>
      <c r="F1907" s="3">
        <v>98500</v>
      </c>
    </row>
    <row r="1908" spans="1:6" x14ac:dyDescent="0.3">
      <c r="A1908" s="1" t="s">
        <v>13</v>
      </c>
      <c r="B1908" s="1" t="s">
        <v>52</v>
      </c>
      <c r="C1908" s="2" t="s">
        <v>12</v>
      </c>
      <c r="D1908" s="1" t="s">
        <v>1</v>
      </c>
      <c r="E1908" s="1" t="s">
        <v>49</v>
      </c>
      <c r="F1908" s="1">
        <v>1</v>
      </c>
    </row>
    <row r="1909" spans="1:6" x14ac:dyDescent="0.3">
      <c r="A1909" s="3" t="s">
        <v>13</v>
      </c>
      <c r="B1909" s="3" t="s">
        <v>52</v>
      </c>
      <c r="C1909" s="4" t="s">
        <v>12</v>
      </c>
      <c r="D1909" s="3" t="s">
        <v>6</v>
      </c>
      <c r="E1909" s="3" t="s">
        <v>44</v>
      </c>
      <c r="F1909" s="3">
        <v>84500</v>
      </c>
    </row>
    <row r="1910" spans="1:6" x14ac:dyDescent="0.3">
      <c r="A1910" s="1" t="s">
        <v>13</v>
      </c>
      <c r="B1910" s="1" t="s">
        <v>52</v>
      </c>
      <c r="C1910" s="2" t="s">
        <v>12</v>
      </c>
      <c r="D1910" s="1" t="s">
        <v>6</v>
      </c>
      <c r="E1910" s="1" t="s">
        <v>45</v>
      </c>
      <c r="F1910" s="1">
        <v>84500</v>
      </c>
    </row>
    <row r="1911" spans="1:6" x14ac:dyDescent="0.3">
      <c r="A1911" s="3" t="s">
        <v>13</v>
      </c>
      <c r="B1911" s="3" t="s">
        <v>52</v>
      </c>
      <c r="C1911" s="4" t="s">
        <v>12</v>
      </c>
      <c r="D1911" s="3" t="s">
        <v>6</v>
      </c>
      <c r="E1911" s="3" t="s">
        <v>49</v>
      </c>
      <c r="F1911" s="3">
        <v>1</v>
      </c>
    </row>
    <row r="1912" spans="1:6" x14ac:dyDescent="0.3">
      <c r="A1912" s="1" t="s">
        <v>13</v>
      </c>
      <c r="B1912" s="1" t="s">
        <v>52</v>
      </c>
      <c r="C1912" s="2" t="s">
        <v>12</v>
      </c>
      <c r="D1912" s="1" t="s">
        <v>9</v>
      </c>
      <c r="E1912" s="1" t="s">
        <v>44</v>
      </c>
      <c r="F1912" s="1">
        <v>98500</v>
      </c>
    </row>
    <row r="1913" spans="1:6" x14ac:dyDescent="0.3">
      <c r="A1913" s="3" t="s">
        <v>13</v>
      </c>
      <c r="B1913" s="3" t="s">
        <v>52</v>
      </c>
      <c r="C1913" s="4" t="s">
        <v>12</v>
      </c>
      <c r="D1913" s="3" t="s">
        <v>9</v>
      </c>
      <c r="E1913" s="3" t="s">
        <v>45</v>
      </c>
      <c r="F1913" s="3">
        <v>98500</v>
      </c>
    </row>
    <row r="1914" spans="1:6" x14ac:dyDescent="0.3">
      <c r="A1914" s="1" t="s">
        <v>13</v>
      </c>
      <c r="B1914" s="1" t="s">
        <v>52</v>
      </c>
      <c r="C1914" s="2" t="s">
        <v>12</v>
      </c>
      <c r="D1914" s="1" t="s">
        <v>9</v>
      </c>
      <c r="E1914" s="1" t="s">
        <v>49</v>
      </c>
      <c r="F1914" s="1">
        <v>1</v>
      </c>
    </row>
    <row r="1915" spans="1:6" x14ac:dyDescent="0.3">
      <c r="A1915" s="3" t="s">
        <v>13</v>
      </c>
      <c r="B1915" s="3" t="s">
        <v>52</v>
      </c>
      <c r="C1915" s="4" t="s">
        <v>12</v>
      </c>
      <c r="D1915" s="3" t="s">
        <v>11</v>
      </c>
      <c r="E1915" s="3" t="s">
        <v>44</v>
      </c>
      <c r="F1915" s="3">
        <v>84500</v>
      </c>
    </row>
    <row r="1916" spans="1:6" x14ac:dyDescent="0.3">
      <c r="A1916" s="1" t="s">
        <v>13</v>
      </c>
      <c r="B1916" s="1" t="s">
        <v>52</v>
      </c>
      <c r="C1916" s="2" t="s">
        <v>12</v>
      </c>
      <c r="D1916" s="1" t="s">
        <v>11</v>
      </c>
      <c r="E1916" s="1" t="s">
        <v>45</v>
      </c>
      <c r="F1916" s="1">
        <v>84500</v>
      </c>
    </row>
    <row r="1917" spans="1:6" x14ac:dyDescent="0.3">
      <c r="A1917" s="3" t="s">
        <v>13</v>
      </c>
      <c r="B1917" s="3" t="s">
        <v>52</v>
      </c>
      <c r="C1917" s="4" t="s">
        <v>12</v>
      </c>
      <c r="D1917" s="3" t="s">
        <v>11</v>
      </c>
      <c r="E1917" s="3" t="s">
        <v>49</v>
      </c>
      <c r="F1917" s="3">
        <v>1</v>
      </c>
    </row>
    <row r="1918" spans="1:6" x14ac:dyDescent="0.3">
      <c r="A1918" s="1" t="s">
        <v>13</v>
      </c>
      <c r="B1918" s="1" t="s">
        <v>52</v>
      </c>
      <c r="C1918" s="2" t="s">
        <v>12</v>
      </c>
      <c r="D1918" s="1" t="s">
        <v>1</v>
      </c>
      <c r="E1918" s="1" t="s">
        <v>44</v>
      </c>
      <c r="F1918" s="1">
        <v>-3074.4</v>
      </c>
    </row>
    <row r="1919" spans="1:6" x14ac:dyDescent="0.3">
      <c r="A1919" s="3" t="s">
        <v>13</v>
      </c>
      <c r="B1919" s="3" t="s">
        <v>52</v>
      </c>
      <c r="C1919" s="4" t="s">
        <v>12</v>
      </c>
      <c r="D1919" s="3" t="s">
        <v>1</v>
      </c>
      <c r="E1919" s="3" t="s">
        <v>45</v>
      </c>
      <c r="F1919" s="3">
        <v>11226.5999999999</v>
      </c>
    </row>
    <row r="1920" spans="1:6" x14ac:dyDescent="0.3">
      <c r="A1920" s="1" t="s">
        <v>13</v>
      </c>
      <c r="B1920" s="1" t="s">
        <v>52</v>
      </c>
      <c r="C1920" s="2" t="s">
        <v>12</v>
      </c>
      <c r="D1920" s="1" t="s">
        <v>1</v>
      </c>
      <c r="E1920" s="1" t="s">
        <v>47</v>
      </c>
      <c r="F1920" s="1">
        <v>3563.99999999999</v>
      </c>
    </row>
    <row r="1921" spans="1:6" x14ac:dyDescent="0.3">
      <c r="A1921" s="3" t="s">
        <v>13</v>
      </c>
      <c r="B1921" s="3" t="s">
        <v>52</v>
      </c>
      <c r="C1921" s="4" t="s">
        <v>12</v>
      </c>
      <c r="D1921" s="3" t="s">
        <v>1</v>
      </c>
      <c r="E1921" s="3" t="s">
        <v>48</v>
      </c>
      <c r="F1921" s="3">
        <v>10737</v>
      </c>
    </row>
    <row r="1922" spans="1:6" x14ac:dyDescent="0.3">
      <c r="A1922" s="1" t="s">
        <v>13</v>
      </c>
      <c r="B1922" s="1" t="s">
        <v>52</v>
      </c>
      <c r="C1922" s="2" t="s">
        <v>12</v>
      </c>
      <c r="D1922" s="1" t="s">
        <v>1</v>
      </c>
      <c r="E1922" s="1" t="s">
        <v>49</v>
      </c>
      <c r="F1922" s="1">
        <v>-0.27384960718293999</v>
      </c>
    </row>
    <row r="1923" spans="1:6" x14ac:dyDescent="0.3">
      <c r="A1923" s="3" t="s">
        <v>13</v>
      </c>
      <c r="B1923" s="3" t="s">
        <v>52</v>
      </c>
      <c r="C1923" s="4" t="s">
        <v>12</v>
      </c>
      <c r="D1923" s="3" t="s">
        <v>6</v>
      </c>
      <c r="E1923" s="3" t="s">
        <v>44</v>
      </c>
      <c r="F1923" s="3">
        <v>756.89999999999702</v>
      </c>
    </row>
    <row r="1924" spans="1:6" x14ac:dyDescent="0.3">
      <c r="A1924" s="1" t="s">
        <v>13</v>
      </c>
      <c r="B1924" s="1" t="s">
        <v>52</v>
      </c>
      <c r="C1924" s="2" t="s">
        <v>12</v>
      </c>
      <c r="D1924" s="1" t="s">
        <v>6</v>
      </c>
      <c r="E1924" s="1" t="s">
        <v>45</v>
      </c>
      <c r="F1924" s="1">
        <v>16839.8999999999</v>
      </c>
    </row>
    <row r="1925" spans="1:6" x14ac:dyDescent="0.3">
      <c r="A1925" s="3" t="s">
        <v>13</v>
      </c>
      <c r="B1925" s="3" t="s">
        <v>52</v>
      </c>
      <c r="C1925" s="4" t="s">
        <v>12</v>
      </c>
      <c r="D1925" s="3" t="s">
        <v>6</v>
      </c>
      <c r="E1925" s="3" t="s">
        <v>47</v>
      </c>
      <c r="F1925" s="3">
        <v>5346</v>
      </c>
    </row>
    <row r="1926" spans="1:6" x14ac:dyDescent="0.3">
      <c r="A1926" s="1" t="s">
        <v>13</v>
      </c>
      <c r="B1926" s="1" t="s">
        <v>52</v>
      </c>
      <c r="C1926" s="2" t="s">
        <v>12</v>
      </c>
      <c r="D1926" s="1" t="s">
        <v>6</v>
      </c>
      <c r="E1926" s="1" t="s">
        <v>48</v>
      </c>
      <c r="F1926" s="1">
        <v>10737</v>
      </c>
    </row>
    <row r="1927" spans="1:6" x14ac:dyDescent="0.3">
      <c r="A1927" s="3" t="s">
        <v>13</v>
      </c>
      <c r="B1927" s="3" t="s">
        <v>52</v>
      </c>
      <c r="C1927" s="4" t="s">
        <v>12</v>
      </c>
      <c r="D1927" s="3" t="s">
        <v>6</v>
      </c>
      <c r="E1927" s="3" t="s">
        <v>49</v>
      </c>
      <c r="F1927" s="3">
        <v>4.4946822724600398E-2</v>
      </c>
    </row>
    <row r="1928" spans="1:6" x14ac:dyDescent="0.3">
      <c r="A1928" s="1" t="s">
        <v>13</v>
      </c>
      <c r="B1928" s="1" t="s">
        <v>52</v>
      </c>
      <c r="C1928" s="2" t="s">
        <v>12</v>
      </c>
      <c r="D1928" s="1" t="s">
        <v>9</v>
      </c>
      <c r="E1928" s="1" t="s">
        <v>44</v>
      </c>
      <c r="F1928" s="1">
        <v>-2570.4</v>
      </c>
    </row>
    <row r="1929" spans="1:6" x14ac:dyDescent="0.3">
      <c r="A1929" s="3" t="s">
        <v>13</v>
      </c>
      <c r="B1929" s="3" t="s">
        <v>52</v>
      </c>
      <c r="C1929" s="4" t="s">
        <v>12</v>
      </c>
      <c r="D1929" s="3" t="s">
        <v>9</v>
      </c>
      <c r="E1929" s="3" t="s">
        <v>45</v>
      </c>
      <c r="F1929" s="3">
        <v>22453.199999999899</v>
      </c>
    </row>
    <row r="1930" spans="1:6" x14ac:dyDescent="0.3">
      <c r="A1930" s="1" t="s">
        <v>13</v>
      </c>
      <c r="B1930" s="1" t="s">
        <v>52</v>
      </c>
      <c r="C1930" s="2" t="s">
        <v>12</v>
      </c>
      <c r="D1930" s="1" t="s">
        <v>9</v>
      </c>
      <c r="E1930" s="1" t="s">
        <v>47</v>
      </c>
      <c r="F1930" s="1">
        <v>7127.99999999999</v>
      </c>
    </row>
    <row r="1931" spans="1:6" x14ac:dyDescent="0.3">
      <c r="A1931" s="3" t="s">
        <v>13</v>
      </c>
      <c r="B1931" s="3" t="s">
        <v>52</v>
      </c>
      <c r="C1931" s="4" t="s">
        <v>12</v>
      </c>
      <c r="D1931" s="3" t="s">
        <v>9</v>
      </c>
      <c r="E1931" s="3" t="s">
        <v>48</v>
      </c>
      <c r="F1931" s="3">
        <v>17895.5999999999</v>
      </c>
    </row>
    <row r="1932" spans="1:6" x14ac:dyDescent="0.3">
      <c r="A1932" s="1" t="s">
        <v>13</v>
      </c>
      <c r="B1932" s="1" t="s">
        <v>52</v>
      </c>
      <c r="C1932" s="2" t="s">
        <v>12</v>
      </c>
      <c r="D1932" s="1" t="s">
        <v>9</v>
      </c>
      <c r="E1932" s="1" t="s">
        <v>49</v>
      </c>
      <c r="F1932" s="1">
        <v>-0.114478114478114</v>
      </c>
    </row>
    <row r="1933" spans="1:6" x14ac:dyDescent="0.3">
      <c r="A1933" s="3" t="s">
        <v>13</v>
      </c>
      <c r="B1933" s="3" t="s">
        <v>52</v>
      </c>
      <c r="C1933" s="4" t="s">
        <v>12</v>
      </c>
      <c r="D1933" s="3" t="s">
        <v>11</v>
      </c>
      <c r="E1933" s="3" t="s">
        <v>44</v>
      </c>
      <c r="F1933" s="3">
        <v>-2318.3999999999901</v>
      </c>
    </row>
    <row r="1934" spans="1:6" x14ac:dyDescent="0.3">
      <c r="A1934" s="1" t="s">
        <v>13</v>
      </c>
      <c r="B1934" s="1" t="s">
        <v>52</v>
      </c>
      <c r="C1934" s="2" t="s">
        <v>12</v>
      </c>
      <c r="D1934" s="1" t="s">
        <v>11</v>
      </c>
      <c r="E1934" s="1" t="s">
        <v>45</v>
      </c>
      <c r="F1934" s="1">
        <v>28066.5</v>
      </c>
    </row>
    <row r="1935" spans="1:6" x14ac:dyDescent="0.3">
      <c r="A1935" s="3" t="s">
        <v>13</v>
      </c>
      <c r="B1935" s="3" t="s">
        <v>52</v>
      </c>
      <c r="C1935" s="4" t="s">
        <v>12</v>
      </c>
      <c r="D1935" s="3" t="s">
        <v>11</v>
      </c>
      <c r="E1935" s="3" t="s">
        <v>47</v>
      </c>
      <c r="F1935" s="3">
        <v>8909.9999999999909</v>
      </c>
    </row>
    <row r="1936" spans="1:6" x14ac:dyDescent="0.3">
      <c r="A1936" s="1" t="s">
        <v>13</v>
      </c>
      <c r="B1936" s="1" t="s">
        <v>52</v>
      </c>
      <c r="C1936" s="2" t="s">
        <v>12</v>
      </c>
      <c r="D1936" s="1" t="s">
        <v>11</v>
      </c>
      <c r="E1936" s="1" t="s">
        <v>48</v>
      </c>
      <c r="F1936" s="1">
        <v>21474.8999999999</v>
      </c>
    </row>
    <row r="1937" spans="1:6" x14ac:dyDescent="0.3">
      <c r="A1937" s="3" t="s">
        <v>13</v>
      </c>
      <c r="B1937" s="3" t="s">
        <v>52</v>
      </c>
      <c r="C1937" s="4" t="s">
        <v>12</v>
      </c>
      <c r="D1937" s="3" t="s">
        <v>11</v>
      </c>
      <c r="E1937" s="3" t="s">
        <v>49</v>
      </c>
      <c r="F1937" s="3">
        <v>-8.2603815937149203E-2</v>
      </c>
    </row>
    <row r="1938" spans="1:6" x14ac:dyDescent="0.3">
      <c r="A1938" s="1" t="s">
        <v>13</v>
      </c>
      <c r="B1938" s="1" t="s">
        <v>43</v>
      </c>
      <c r="C1938" s="2" t="s">
        <v>12</v>
      </c>
      <c r="D1938" s="1" t="s">
        <v>1</v>
      </c>
      <c r="E1938" s="1" t="s">
        <v>44</v>
      </c>
      <c r="F1938" s="1">
        <v>300836.9436</v>
      </c>
    </row>
    <row r="1939" spans="1:6" x14ac:dyDescent="0.3">
      <c r="A1939" s="3" t="s">
        <v>13</v>
      </c>
      <c r="B1939" s="3" t="s">
        <v>43</v>
      </c>
      <c r="C1939" s="4" t="s">
        <v>12</v>
      </c>
      <c r="D1939" s="3" t="s">
        <v>1</v>
      </c>
      <c r="E1939" s="3" t="s">
        <v>45</v>
      </c>
      <c r="F1939" s="3">
        <v>318937.5</v>
      </c>
    </row>
    <row r="1940" spans="1:6" x14ac:dyDescent="0.3">
      <c r="A1940" s="1" t="s">
        <v>13</v>
      </c>
      <c r="B1940" s="1" t="s">
        <v>43</v>
      </c>
      <c r="C1940" s="2" t="s">
        <v>12</v>
      </c>
      <c r="D1940" s="1" t="s">
        <v>1</v>
      </c>
      <c r="E1940" s="1" t="s">
        <v>47</v>
      </c>
      <c r="F1940" s="1">
        <v>1300.5563999999899</v>
      </c>
    </row>
    <row r="1941" spans="1:6" x14ac:dyDescent="0.3">
      <c r="A1941" s="3" t="s">
        <v>13</v>
      </c>
      <c r="B1941" s="3" t="s">
        <v>43</v>
      </c>
      <c r="C1941" s="4" t="s">
        <v>12</v>
      </c>
      <c r="D1941" s="3" t="s">
        <v>1</v>
      </c>
      <c r="E1941" s="3" t="s">
        <v>48</v>
      </c>
      <c r="F1941" s="3">
        <v>16800</v>
      </c>
    </row>
    <row r="1942" spans="1:6" x14ac:dyDescent="0.3">
      <c r="A1942" s="1" t="s">
        <v>13</v>
      </c>
      <c r="B1942" s="1" t="s">
        <v>43</v>
      </c>
      <c r="C1942" s="2" t="s">
        <v>12</v>
      </c>
      <c r="D1942" s="1" t="s">
        <v>1</v>
      </c>
      <c r="E1942" s="1" t="s">
        <v>49</v>
      </c>
      <c r="F1942" s="1">
        <v>0.943247324632569</v>
      </c>
    </row>
    <row r="1943" spans="1:6" x14ac:dyDescent="0.3">
      <c r="A1943" s="3" t="s">
        <v>13</v>
      </c>
      <c r="B1943" s="3" t="s">
        <v>43</v>
      </c>
      <c r="C1943" s="4" t="s">
        <v>12</v>
      </c>
      <c r="D1943" s="3" t="s">
        <v>6</v>
      </c>
      <c r="E1943" s="3" t="s">
        <v>44</v>
      </c>
      <c r="F1943" s="3">
        <v>451955.71500000003</v>
      </c>
    </row>
    <row r="1944" spans="1:6" x14ac:dyDescent="0.3">
      <c r="A1944" s="1" t="s">
        <v>13</v>
      </c>
      <c r="B1944" s="1" t="s">
        <v>43</v>
      </c>
      <c r="C1944" s="2" t="s">
        <v>12</v>
      </c>
      <c r="D1944" s="1" t="s">
        <v>6</v>
      </c>
      <c r="E1944" s="1" t="s">
        <v>45</v>
      </c>
      <c r="F1944" s="1">
        <v>478406.25</v>
      </c>
    </row>
    <row r="1945" spans="1:6" x14ac:dyDescent="0.3">
      <c r="A1945" s="3" t="s">
        <v>13</v>
      </c>
      <c r="B1945" s="3" t="s">
        <v>43</v>
      </c>
      <c r="C1945" s="4" t="s">
        <v>12</v>
      </c>
      <c r="D1945" s="3" t="s">
        <v>6</v>
      </c>
      <c r="E1945" s="3" t="s">
        <v>47</v>
      </c>
      <c r="F1945" s="3">
        <v>1250.5349999999901</v>
      </c>
    </row>
    <row r="1946" spans="1:6" x14ac:dyDescent="0.3">
      <c r="A1946" s="1" t="s">
        <v>13</v>
      </c>
      <c r="B1946" s="1" t="s">
        <v>43</v>
      </c>
      <c r="C1946" s="2" t="s">
        <v>12</v>
      </c>
      <c r="D1946" s="1" t="s">
        <v>6</v>
      </c>
      <c r="E1946" s="1" t="s">
        <v>48</v>
      </c>
      <c r="F1946" s="1">
        <v>25200</v>
      </c>
    </row>
    <row r="1947" spans="1:6" x14ac:dyDescent="0.3">
      <c r="A1947" s="3" t="s">
        <v>13</v>
      </c>
      <c r="B1947" s="3" t="s">
        <v>43</v>
      </c>
      <c r="C1947" s="4" t="s">
        <v>12</v>
      </c>
      <c r="D1947" s="3" t="s">
        <v>6</v>
      </c>
      <c r="E1947" s="3" t="s">
        <v>49</v>
      </c>
      <c r="F1947" s="3">
        <v>0.94471114246521604</v>
      </c>
    </row>
    <row r="1948" spans="1:6" x14ac:dyDescent="0.3">
      <c r="A1948" s="1" t="s">
        <v>13</v>
      </c>
      <c r="B1948" s="1" t="s">
        <v>43</v>
      </c>
      <c r="C1948" s="2" t="s">
        <v>12</v>
      </c>
      <c r="D1948" s="1" t="s">
        <v>9</v>
      </c>
      <c r="E1948" s="1" t="s">
        <v>44</v>
      </c>
      <c r="F1948" s="1">
        <v>602924.42219999898</v>
      </c>
    </row>
    <row r="1949" spans="1:6" x14ac:dyDescent="0.3">
      <c r="A1949" s="3" t="s">
        <v>13</v>
      </c>
      <c r="B1949" s="3" t="s">
        <v>43</v>
      </c>
      <c r="C1949" s="4" t="s">
        <v>12</v>
      </c>
      <c r="D1949" s="3" t="s">
        <v>9</v>
      </c>
      <c r="E1949" s="3" t="s">
        <v>45</v>
      </c>
      <c r="F1949" s="3">
        <v>637875</v>
      </c>
    </row>
    <row r="1950" spans="1:6" x14ac:dyDescent="0.3">
      <c r="A1950" s="1" t="s">
        <v>13</v>
      </c>
      <c r="B1950" s="1" t="s">
        <v>43</v>
      </c>
      <c r="C1950" s="2" t="s">
        <v>12</v>
      </c>
      <c r="D1950" s="1" t="s">
        <v>9</v>
      </c>
      <c r="E1950" s="1" t="s">
        <v>47</v>
      </c>
      <c r="F1950" s="1">
        <v>1350.57779999999</v>
      </c>
    </row>
    <row r="1951" spans="1:6" x14ac:dyDescent="0.3">
      <c r="A1951" s="3" t="s">
        <v>13</v>
      </c>
      <c r="B1951" s="3" t="s">
        <v>43</v>
      </c>
      <c r="C1951" s="4" t="s">
        <v>12</v>
      </c>
      <c r="D1951" s="3" t="s">
        <v>9</v>
      </c>
      <c r="E1951" s="3" t="s">
        <v>48</v>
      </c>
      <c r="F1951" s="3">
        <v>33600</v>
      </c>
    </row>
    <row r="1952" spans="1:6" x14ac:dyDescent="0.3">
      <c r="A1952" s="1" t="s">
        <v>13</v>
      </c>
      <c r="B1952" s="1" t="s">
        <v>43</v>
      </c>
      <c r="C1952" s="2" t="s">
        <v>12</v>
      </c>
      <c r="D1952" s="1" t="s">
        <v>9</v>
      </c>
      <c r="E1952" s="1" t="s">
        <v>49</v>
      </c>
      <c r="F1952" s="1">
        <v>0.94520779494414997</v>
      </c>
    </row>
    <row r="1953" spans="1:6" x14ac:dyDescent="0.3">
      <c r="A1953" s="3" t="s">
        <v>13</v>
      </c>
      <c r="B1953" s="3" t="s">
        <v>43</v>
      </c>
      <c r="C1953" s="4" t="s">
        <v>12</v>
      </c>
      <c r="D1953" s="3" t="s">
        <v>11</v>
      </c>
      <c r="E1953" s="3" t="s">
        <v>44</v>
      </c>
      <c r="F1953" s="3">
        <v>753643.02240000002</v>
      </c>
    </row>
    <row r="1954" spans="1:6" x14ac:dyDescent="0.3">
      <c r="A1954" s="1" t="s">
        <v>13</v>
      </c>
      <c r="B1954" s="1" t="s">
        <v>43</v>
      </c>
      <c r="C1954" s="2" t="s">
        <v>12</v>
      </c>
      <c r="D1954" s="1" t="s">
        <v>11</v>
      </c>
      <c r="E1954" s="1" t="s">
        <v>45</v>
      </c>
      <c r="F1954" s="1">
        <v>797343.75</v>
      </c>
    </row>
    <row r="1955" spans="1:6" x14ac:dyDescent="0.3">
      <c r="A1955" s="3" t="s">
        <v>13</v>
      </c>
      <c r="B1955" s="3" t="s">
        <v>43</v>
      </c>
      <c r="C1955" s="4" t="s">
        <v>12</v>
      </c>
      <c r="D1955" s="3" t="s">
        <v>11</v>
      </c>
      <c r="E1955" s="3" t="s">
        <v>47</v>
      </c>
      <c r="F1955" s="3">
        <v>1700.7275999999899</v>
      </c>
    </row>
    <row r="1956" spans="1:6" x14ac:dyDescent="0.3">
      <c r="A1956" s="1" t="s">
        <v>13</v>
      </c>
      <c r="B1956" s="1" t="s">
        <v>43</v>
      </c>
      <c r="C1956" s="2" t="s">
        <v>12</v>
      </c>
      <c r="D1956" s="1" t="s">
        <v>11</v>
      </c>
      <c r="E1956" s="1" t="s">
        <v>48</v>
      </c>
      <c r="F1956" s="1">
        <v>42000</v>
      </c>
    </row>
    <row r="1957" spans="1:6" x14ac:dyDescent="0.3">
      <c r="A1957" s="3" t="s">
        <v>13</v>
      </c>
      <c r="B1957" s="3" t="s">
        <v>43</v>
      </c>
      <c r="C1957" s="4" t="s">
        <v>12</v>
      </c>
      <c r="D1957" s="3" t="s">
        <v>11</v>
      </c>
      <c r="E1957" s="3" t="s">
        <v>49</v>
      </c>
      <c r="F1957" s="3">
        <v>0.94519211118165702</v>
      </c>
    </row>
    <row r="1958" spans="1:6" x14ac:dyDescent="0.3">
      <c r="A1958" s="1" t="s">
        <v>13</v>
      </c>
      <c r="B1958" s="1" t="s">
        <v>43</v>
      </c>
      <c r="C1958" s="2" t="s">
        <v>12</v>
      </c>
      <c r="D1958" s="1" t="s">
        <v>1</v>
      </c>
      <c r="E1958" s="1" t="s">
        <v>44</v>
      </c>
      <c r="F1958" s="1">
        <v>93965.25</v>
      </c>
    </row>
    <row r="1959" spans="1:6" x14ac:dyDescent="0.3">
      <c r="A1959" s="3" t="s">
        <v>13</v>
      </c>
      <c r="B1959" s="3" t="s">
        <v>43</v>
      </c>
      <c r="C1959" s="4" t="s">
        <v>12</v>
      </c>
      <c r="D1959" s="3" t="s">
        <v>1</v>
      </c>
      <c r="E1959" s="3" t="s">
        <v>45</v>
      </c>
      <c r="F1959" s="3">
        <v>146711.25</v>
      </c>
    </row>
    <row r="1960" spans="1:6" x14ac:dyDescent="0.3">
      <c r="A1960" s="1" t="s">
        <v>13</v>
      </c>
      <c r="B1960" s="1" t="s">
        <v>43</v>
      </c>
      <c r="C1960" s="2" t="s">
        <v>12</v>
      </c>
      <c r="D1960" s="1" t="s">
        <v>1</v>
      </c>
      <c r="E1960" s="1" t="s">
        <v>47</v>
      </c>
      <c r="F1960" s="1">
        <v>2640</v>
      </c>
    </row>
    <row r="1961" spans="1:6" x14ac:dyDescent="0.3">
      <c r="A1961" s="3" t="s">
        <v>13</v>
      </c>
      <c r="B1961" s="3" t="s">
        <v>43</v>
      </c>
      <c r="C1961" s="4" t="s">
        <v>12</v>
      </c>
      <c r="D1961" s="3" t="s">
        <v>1</v>
      </c>
      <c r="E1961" s="3" t="s">
        <v>48</v>
      </c>
      <c r="F1961" s="3">
        <v>50106</v>
      </c>
    </row>
    <row r="1962" spans="1:6" x14ac:dyDescent="0.3">
      <c r="A1962" s="1" t="s">
        <v>13</v>
      </c>
      <c r="B1962" s="1" t="s">
        <v>43</v>
      </c>
      <c r="C1962" s="2" t="s">
        <v>12</v>
      </c>
      <c r="D1962" s="1" t="s">
        <v>1</v>
      </c>
      <c r="E1962" s="1" t="s">
        <v>49</v>
      </c>
      <c r="F1962" s="1">
        <v>0.64047746849679199</v>
      </c>
    </row>
    <row r="1963" spans="1:6" x14ac:dyDescent="0.3">
      <c r="A1963" s="3" t="s">
        <v>13</v>
      </c>
      <c r="B1963" s="3" t="s">
        <v>43</v>
      </c>
      <c r="C1963" s="4" t="s">
        <v>12</v>
      </c>
      <c r="D1963" s="3" t="s">
        <v>6</v>
      </c>
      <c r="E1963" s="3" t="s">
        <v>44</v>
      </c>
      <c r="F1963" s="3">
        <v>92645.25</v>
      </c>
    </row>
    <row r="1964" spans="1:6" x14ac:dyDescent="0.3">
      <c r="A1964" s="1" t="s">
        <v>13</v>
      </c>
      <c r="B1964" s="1" t="s">
        <v>43</v>
      </c>
      <c r="C1964" s="2" t="s">
        <v>12</v>
      </c>
      <c r="D1964" s="1" t="s">
        <v>6</v>
      </c>
      <c r="E1964" s="1" t="s">
        <v>45</v>
      </c>
      <c r="F1964" s="1">
        <v>146711.25</v>
      </c>
    </row>
    <row r="1965" spans="1:6" x14ac:dyDescent="0.3">
      <c r="A1965" s="3" t="s">
        <v>13</v>
      </c>
      <c r="B1965" s="3" t="s">
        <v>43</v>
      </c>
      <c r="C1965" s="4" t="s">
        <v>12</v>
      </c>
      <c r="D1965" s="3" t="s">
        <v>6</v>
      </c>
      <c r="E1965" s="3" t="s">
        <v>47</v>
      </c>
      <c r="F1965" s="3">
        <v>3960</v>
      </c>
    </row>
    <row r="1966" spans="1:6" x14ac:dyDescent="0.3">
      <c r="A1966" s="1" t="s">
        <v>13</v>
      </c>
      <c r="B1966" s="1" t="s">
        <v>43</v>
      </c>
      <c r="C1966" s="2" t="s">
        <v>12</v>
      </c>
      <c r="D1966" s="1" t="s">
        <v>6</v>
      </c>
      <c r="E1966" s="1" t="s">
        <v>48</v>
      </c>
      <c r="F1966" s="1">
        <v>50106</v>
      </c>
    </row>
    <row r="1967" spans="1:6" x14ac:dyDescent="0.3">
      <c r="A1967" s="3" t="s">
        <v>13</v>
      </c>
      <c r="B1967" s="3" t="s">
        <v>43</v>
      </c>
      <c r="C1967" s="4" t="s">
        <v>12</v>
      </c>
      <c r="D1967" s="3" t="s">
        <v>6</v>
      </c>
      <c r="E1967" s="3" t="s">
        <v>49</v>
      </c>
      <c r="F1967" s="3">
        <v>0.63148020346087896</v>
      </c>
    </row>
    <row r="1968" spans="1:6" x14ac:dyDescent="0.3">
      <c r="A1968" s="1" t="s">
        <v>13</v>
      </c>
      <c r="B1968" s="1" t="s">
        <v>43</v>
      </c>
      <c r="C1968" s="2" t="s">
        <v>12</v>
      </c>
      <c r="D1968" s="1" t="s">
        <v>9</v>
      </c>
      <c r="E1968" s="1" t="s">
        <v>44</v>
      </c>
      <c r="F1968" s="1">
        <v>155725.95000000001</v>
      </c>
    </row>
    <row r="1969" spans="1:6" x14ac:dyDescent="0.3">
      <c r="A1969" s="3" t="s">
        <v>13</v>
      </c>
      <c r="B1969" s="3" t="s">
        <v>43</v>
      </c>
      <c r="C1969" s="4" t="s">
        <v>12</v>
      </c>
      <c r="D1969" s="3" t="s">
        <v>9</v>
      </c>
      <c r="E1969" s="3" t="s">
        <v>45</v>
      </c>
      <c r="F1969" s="3">
        <v>244518.75</v>
      </c>
    </row>
    <row r="1970" spans="1:6" x14ac:dyDescent="0.3">
      <c r="A1970" s="1" t="s">
        <v>13</v>
      </c>
      <c r="B1970" s="1" t="s">
        <v>43</v>
      </c>
      <c r="C1970" s="2" t="s">
        <v>12</v>
      </c>
      <c r="D1970" s="1" t="s">
        <v>9</v>
      </c>
      <c r="E1970" s="1" t="s">
        <v>47</v>
      </c>
      <c r="F1970" s="1">
        <v>5280</v>
      </c>
    </row>
    <row r="1971" spans="1:6" x14ac:dyDescent="0.3">
      <c r="A1971" s="3" t="s">
        <v>13</v>
      </c>
      <c r="B1971" s="3" t="s">
        <v>43</v>
      </c>
      <c r="C1971" s="4" t="s">
        <v>12</v>
      </c>
      <c r="D1971" s="3" t="s">
        <v>9</v>
      </c>
      <c r="E1971" s="3" t="s">
        <v>48</v>
      </c>
      <c r="F1971" s="3">
        <v>83512.799999999901</v>
      </c>
    </row>
    <row r="1972" spans="1:6" x14ac:dyDescent="0.3">
      <c r="A1972" s="1" t="s">
        <v>13</v>
      </c>
      <c r="B1972" s="1" t="s">
        <v>43</v>
      </c>
      <c r="C1972" s="2" t="s">
        <v>12</v>
      </c>
      <c r="D1972" s="1" t="s">
        <v>9</v>
      </c>
      <c r="E1972" s="1" t="s">
        <v>49</v>
      </c>
      <c r="F1972" s="1">
        <v>0.63686711141783603</v>
      </c>
    </row>
    <row r="1973" spans="1:6" x14ac:dyDescent="0.3">
      <c r="A1973" s="3" t="s">
        <v>13</v>
      </c>
      <c r="B1973" s="3" t="s">
        <v>43</v>
      </c>
      <c r="C1973" s="4" t="s">
        <v>12</v>
      </c>
      <c r="D1973" s="3" t="s">
        <v>11</v>
      </c>
      <c r="E1973" s="3" t="s">
        <v>44</v>
      </c>
      <c r="F1973" s="3">
        <v>186606.299999999</v>
      </c>
    </row>
    <row r="1974" spans="1:6" x14ac:dyDescent="0.3">
      <c r="A1974" s="1" t="s">
        <v>13</v>
      </c>
      <c r="B1974" s="1" t="s">
        <v>43</v>
      </c>
      <c r="C1974" s="2" t="s">
        <v>12</v>
      </c>
      <c r="D1974" s="1" t="s">
        <v>11</v>
      </c>
      <c r="E1974" s="1" t="s">
        <v>45</v>
      </c>
      <c r="F1974" s="1">
        <v>293422.5</v>
      </c>
    </row>
    <row r="1975" spans="1:6" x14ac:dyDescent="0.3">
      <c r="A1975" s="3" t="s">
        <v>13</v>
      </c>
      <c r="B1975" s="3" t="s">
        <v>43</v>
      </c>
      <c r="C1975" s="4" t="s">
        <v>12</v>
      </c>
      <c r="D1975" s="3" t="s">
        <v>11</v>
      </c>
      <c r="E1975" s="3" t="s">
        <v>47</v>
      </c>
      <c r="F1975" s="3">
        <v>6600</v>
      </c>
    </row>
    <row r="1976" spans="1:6" x14ac:dyDescent="0.3">
      <c r="A1976" s="1" t="s">
        <v>13</v>
      </c>
      <c r="B1976" s="1" t="s">
        <v>43</v>
      </c>
      <c r="C1976" s="2" t="s">
        <v>12</v>
      </c>
      <c r="D1976" s="1" t="s">
        <v>11</v>
      </c>
      <c r="E1976" s="1" t="s">
        <v>48</v>
      </c>
      <c r="F1976" s="1">
        <v>100216.19999999899</v>
      </c>
    </row>
    <row r="1977" spans="1:6" x14ac:dyDescent="0.3">
      <c r="A1977" s="3" t="s">
        <v>13</v>
      </c>
      <c r="B1977" s="3" t="s">
        <v>43</v>
      </c>
      <c r="C1977" s="4" t="s">
        <v>12</v>
      </c>
      <c r="D1977" s="3" t="s">
        <v>11</v>
      </c>
      <c r="E1977" s="3" t="s">
        <v>49</v>
      </c>
      <c r="F1977" s="3">
        <v>0.63596452214809696</v>
      </c>
    </row>
    <row r="1978" spans="1:6" x14ac:dyDescent="0.3">
      <c r="A1978" s="1" t="s">
        <v>13</v>
      </c>
      <c r="B1978" s="1" t="s">
        <v>43</v>
      </c>
      <c r="C1978" s="2" t="s">
        <v>12</v>
      </c>
      <c r="D1978" s="1" t="s">
        <v>1</v>
      </c>
      <c r="E1978" s="1" t="s">
        <v>44</v>
      </c>
      <c r="F1978" s="1">
        <v>218710.739999999</v>
      </c>
    </row>
    <row r="1979" spans="1:6" x14ac:dyDescent="0.3">
      <c r="A1979" s="3" t="s">
        <v>13</v>
      </c>
      <c r="B1979" s="3" t="s">
        <v>43</v>
      </c>
      <c r="C1979" s="4" t="s">
        <v>12</v>
      </c>
      <c r="D1979" s="3" t="s">
        <v>1</v>
      </c>
      <c r="E1979" s="3" t="s">
        <v>45</v>
      </c>
      <c r="F1979" s="3">
        <v>318937.5</v>
      </c>
    </row>
    <row r="1980" spans="1:6" x14ac:dyDescent="0.3">
      <c r="A1980" s="1" t="s">
        <v>13</v>
      </c>
      <c r="B1980" s="1" t="s">
        <v>43</v>
      </c>
      <c r="C1980" s="2" t="s">
        <v>12</v>
      </c>
      <c r="D1980" s="1" t="s">
        <v>1</v>
      </c>
      <c r="E1980" s="1" t="s">
        <v>47</v>
      </c>
      <c r="F1980" s="1">
        <v>10.559999999999899</v>
      </c>
    </row>
    <row r="1981" spans="1:6" x14ac:dyDescent="0.3">
      <c r="A1981" s="3" t="s">
        <v>13</v>
      </c>
      <c r="B1981" s="3" t="s">
        <v>43</v>
      </c>
      <c r="C1981" s="4" t="s">
        <v>12</v>
      </c>
      <c r="D1981" s="3" t="s">
        <v>1</v>
      </c>
      <c r="E1981" s="3" t="s">
        <v>48</v>
      </c>
      <c r="F1981" s="3">
        <v>100216.19999999899</v>
      </c>
    </row>
    <row r="1982" spans="1:6" x14ac:dyDescent="0.3">
      <c r="A1982" s="1" t="s">
        <v>13</v>
      </c>
      <c r="B1982" s="1" t="s">
        <v>43</v>
      </c>
      <c r="C1982" s="2" t="s">
        <v>12</v>
      </c>
      <c r="D1982" s="1" t="s">
        <v>1</v>
      </c>
      <c r="E1982" s="1" t="s">
        <v>49</v>
      </c>
      <c r="F1982" s="1">
        <v>0.68574796002351501</v>
      </c>
    </row>
    <row r="1983" spans="1:6" x14ac:dyDescent="0.3">
      <c r="A1983" s="3" t="s">
        <v>13</v>
      </c>
      <c r="B1983" s="3" t="s">
        <v>43</v>
      </c>
      <c r="C1983" s="4" t="s">
        <v>12</v>
      </c>
      <c r="D1983" s="3" t="s">
        <v>6</v>
      </c>
      <c r="E1983" s="3" t="s">
        <v>44</v>
      </c>
      <c r="F1983" s="3">
        <v>218710.739999999</v>
      </c>
    </row>
    <row r="1984" spans="1:6" x14ac:dyDescent="0.3">
      <c r="A1984" s="1" t="s">
        <v>13</v>
      </c>
      <c r="B1984" s="1" t="s">
        <v>43</v>
      </c>
      <c r="C1984" s="2" t="s">
        <v>12</v>
      </c>
      <c r="D1984" s="1" t="s">
        <v>6</v>
      </c>
      <c r="E1984" s="1" t="s">
        <v>45</v>
      </c>
      <c r="F1984" s="1">
        <v>318937.5</v>
      </c>
    </row>
    <row r="1985" spans="1:6" x14ac:dyDescent="0.3">
      <c r="A1985" s="3" t="s">
        <v>13</v>
      </c>
      <c r="B1985" s="3" t="s">
        <v>43</v>
      </c>
      <c r="C1985" s="4" t="s">
        <v>12</v>
      </c>
      <c r="D1985" s="3" t="s">
        <v>6</v>
      </c>
      <c r="E1985" s="3" t="s">
        <v>47</v>
      </c>
      <c r="F1985" s="3">
        <v>10.559999999999899</v>
      </c>
    </row>
    <row r="1986" spans="1:6" x14ac:dyDescent="0.3">
      <c r="A1986" s="1" t="s">
        <v>13</v>
      </c>
      <c r="B1986" s="1" t="s">
        <v>43</v>
      </c>
      <c r="C1986" s="2" t="s">
        <v>12</v>
      </c>
      <c r="D1986" s="1" t="s">
        <v>6</v>
      </c>
      <c r="E1986" s="1" t="s">
        <v>48</v>
      </c>
      <c r="F1986" s="1">
        <v>100216.19999999899</v>
      </c>
    </row>
    <row r="1987" spans="1:6" x14ac:dyDescent="0.3">
      <c r="A1987" s="3" t="s">
        <v>13</v>
      </c>
      <c r="B1987" s="3" t="s">
        <v>43</v>
      </c>
      <c r="C1987" s="4" t="s">
        <v>12</v>
      </c>
      <c r="D1987" s="3" t="s">
        <v>6</v>
      </c>
      <c r="E1987" s="3" t="s">
        <v>49</v>
      </c>
      <c r="F1987" s="3">
        <v>0.68574796002351501</v>
      </c>
    </row>
    <row r="1988" spans="1:6" x14ac:dyDescent="0.3">
      <c r="A1988" s="1" t="s">
        <v>13</v>
      </c>
      <c r="B1988" s="1" t="s">
        <v>43</v>
      </c>
      <c r="C1988" s="2" t="s">
        <v>12</v>
      </c>
      <c r="D1988" s="1" t="s">
        <v>9</v>
      </c>
      <c r="E1988" s="1" t="s">
        <v>44</v>
      </c>
      <c r="F1988" s="1">
        <v>218710.739999999</v>
      </c>
    </row>
    <row r="1989" spans="1:6" x14ac:dyDescent="0.3">
      <c r="A1989" s="3" t="s">
        <v>13</v>
      </c>
      <c r="B1989" s="3" t="s">
        <v>43</v>
      </c>
      <c r="C1989" s="4" t="s">
        <v>12</v>
      </c>
      <c r="D1989" s="3" t="s">
        <v>9</v>
      </c>
      <c r="E1989" s="3" t="s">
        <v>45</v>
      </c>
      <c r="F1989" s="3">
        <v>318937.5</v>
      </c>
    </row>
    <row r="1990" spans="1:6" x14ac:dyDescent="0.3">
      <c r="A1990" s="1" t="s">
        <v>13</v>
      </c>
      <c r="B1990" s="1" t="s">
        <v>43</v>
      </c>
      <c r="C1990" s="2" t="s">
        <v>12</v>
      </c>
      <c r="D1990" s="1" t="s">
        <v>9</v>
      </c>
      <c r="E1990" s="1" t="s">
        <v>47</v>
      </c>
      <c r="F1990" s="1">
        <v>10.559999999999899</v>
      </c>
    </row>
    <row r="1991" spans="1:6" x14ac:dyDescent="0.3">
      <c r="A1991" s="3" t="s">
        <v>13</v>
      </c>
      <c r="B1991" s="3" t="s">
        <v>43</v>
      </c>
      <c r="C1991" s="4" t="s">
        <v>12</v>
      </c>
      <c r="D1991" s="3" t="s">
        <v>9</v>
      </c>
      <c r="E1991" s="3" t="s">
        <v>48</v>
      </c>
      <c r="F1991" s="3">
        <v>100216.19999999899</v>
      </c>
    </row>
    <row r="1992" spans="1:6" x14ac:dyDescent="0.3">
      <c r="A1992" s="1" t="s">
        <v>13</v>
      </c>
      <c r="B1992" s="1" t="s">
        <v>43</v>
      </c>
      <c r="C1992" s="2" t="s">
        <v>12</v>
      </c>
      <c r="D1992" s="1" t="s">
        <v>9</v>
      </c>
      <c r="E1992" s="1" t="s">
        <v>49</v>
      </c>
      <c r="F1992" s="1">
        <v>0.68574796002351501</v>
      </c>
    </row>
    <row r="1993" spans="1:6" x14ac:dyDescent="0.3">
      <c r="A1993" s="3" t="s">
        <v>13</v>
      </c>
      <c r="B1993" s="3" t="s">
        <v>43</v>
      </c>
      <c r="C1993" s="4" t="s">
        <v>12</v>
      </c>
      <c r="D1993" s="3" t="s">
        <v>11</v>
      </c>
      <c r="E1993" s="3" t="s">
        <v>44</v>
      </c>
      <c r="F1993" s="3">
        <v>218710.739999999</v>
      </c>
    </row>
    <row r="1994" spans="1:6" x14ac:dyDescent="0.3">
      <c r="A1994" s="1" t="s">
        <v>13</v>
      </c>
      <c r="B1994" s="1" t="s">
        <v>43</v>
      </c>
      <c r="C1994" s="2" t="s">
        <v>12</v>
      </c>
      <c r="D1994" s="1" t="s">
        <v>11</v>
      </c>
      <c r="E1994" s="1" t="s">
        <v>45</v>
      </c>
      <c r="F1994" s="1">
        <v>318937.5</v>
      </c>
    </row>
    <row r="1995" spans="1:6" x14ac:dyDescent="0.3">
      <c r="A1995" s="3" t="s">
        <v>13</v>
      </c>
      <c r="B1995" s="3" t="s">
        <v>43</v>
      </c>
      <c r="C1995" s="4" t="s">
        <v>12</v>
      </c>
      <c r="D1995" s="3" t="s">
        <v>11</v>
      </c>
      <c r="E1995" s="3" t="s">
        <v>47</v>
      </c>
      <c r="F1995" s="3">
        <v>10.559999999999899</v>
      </c>
    </row>
    <row r="1996" spans="1:6" x14ac:dyDescent="0.3">
      <c r="A1996" s="1" t="s">
        <v>13</v>
      </c>
      <c r="B1996" s="1" t="s">
        <v>43</v>
      </c>
      <c r="C1996" s="2" t="s">
        <v>12</v>
      </c>
      <c r="D1996" s="1" t="s">
        <v>11</v>
      </c>
      <c r="E1996" s="1" t="s">
        <v>48</v>
      </c>
      <c r="F1996" s="1">
        <v>100216.19999999899</v>
      </c>
    </row>
    <row r="1997" spans="1:6" x14ac:dyDescent="0.3">
      <c r="A1997" s="3" t="s">
        <v>13</v>
      </c>
      <c r="B1997" s="3" t="s">
        <v>43</v>
      </c>
      <c r="C1997" s="4" t="s">
        <v>12</v>
      </c>
      <c r="D1997" s="3" t="s">
        <v>11</v>
      </c>
      <c r="E1997" s="3" t="s">
        <v>49</v>
      </c>
      <c r="F1997" s="3">
        <v>0.68574796002351501</v>
      </c>
    </row>
    <row r="1998" spans="1:6" x14ac:dyDescent="0.3">
      <c r="A1998" s="1" t="s">
        <v>13</v>
      </c>
      <c r="B1998" s="1" t="s">
        <v>43</v>
      </c>
      <c r="C1998" s="2" t="s">
        <v>12</v>
      </c>
      <c r="D1998" s="1" t="s">
        <v>1</v>
      </c>
      <c r="E1998" s="1" t="s">
        <v>44</v>
      </c>
      <c r="F1998" s="1">
        <v>271097.99999999901</v>
      </c>
    </row>
    <row r="1999" spans="1:6" x14ac:dyDescent="0.3">
      <c r="A1999" s="3" t="s">
        <v>13</v>
      </c>
      <c r="B1999" s="3" t="s">
        <v>43</v>
      </c>
      <c r="C1999" s="4" t="s">
        <v>12</v>
      </c>
      <c r="D1999" s="3" t="s">
        <v>1</v>
      </c>
      <c r="E1999" s="3" t="s">
        <v>45</v>
      </c>
      <c r="F1999" s="3">
        <v>271097.99999999901</v>
      </c>
    </row>
    <row r="2000" spans="1:6" x14ac:dyDescent="0.3">
      <c r="A2000" s="1" t="s">
        <v>13</v>
      </c>
      <c r="B2000" s="1" t="s">
        <v>43</v>
      </c>
      <c r="C2000" s="2" t="s">
        <v>12</v>
      </c>
      <c r="D2000" s="1" t="s">
        <v>1</v>
      </c>
      <c r="E2000" s="1" t="s">
        <v>49</v>
      </c>
      <c r="F2000" s="1">
        <v>1</v>
      </c>
    </row>
    <row r="2001" spans="1:6" x14ac:dyDescent="0.3">
      <c r="A2001" s="3" t="s">
        <v>13</v>
      </c>
      <c r="B2001" s="3" t="s">
        <v>43</v>
      </c>
      <c r="C2001" s="4" t="s">
        <v>12</v>
      </c>
      <c r="D2001" s="3" t="s">
        <v>6</v>
      </c>
      <c r="E2001" s="3" t="s">
        <v>44</v>
      </c>
      <c r="F2001" s="3">
        <v>271097.99999999901</v>
      </c>
    </row>
    <row r="2002" spans="1:6" x14ac:dyDescent="0.3">
      <c r="A2002" s="1" t="s">
        <v>13</v>
      </c>
      <c r="B2002" s="1" t="s">
        <v>43</v>
      </c>
      <c r="C2002" s="2" t="s">
        <v>12</v>
      </c>
      <c r="D2002" s="1" t="s">
        <v>6</v>
      </c>
      <c r="E2002" s="1" t="s">
        <v>45</v>
      </c>
      <c r="F2002" s="1">
        <v>271097.99999999901</v>
      </c>
    </row>
    <row r="2003" spans="1:6" x14ac:dyDescent="0.3">
      <c r="A2003" s="3" t="s">
        <v>13</v>
      </c>
      <c r="B2003" s="3" t="s">
        <v>43</v>
      </c>
      <c r="C2003" s="4" t="s">
        <v>12</v>
      </c>
      <c r="D2003" s="3" t="s">
        <v>6</v>
      </c>
      <c r="E2003" s="3" t="s">
        <v>49</v>
      </c>
      <c r="F2003" s="3">
        <v>1</v>
      </c>
    </row>
    <row r="2004" spans="1:6" x14ac:dyDescent="0.3">
      <c r="A2004" s="1" t="s">
        <v>13</v>
      </c>
      <c r="B2004" s="1" t="s">
        <v>43</v>
      </c>
      <c r="C2004" s="2" t="s">
        <v>12</v>
      </c>
      <c r="D2004" s="1" t="s">
        <v>9</v>
      </c>
      <c r="E2004" s="1" t="s">
        <v>44</v>
      </c>
      <c r="F2004" s="1">
        <v>271097.99999999901</v>
      </c>
    </row>
    <row r="2005" spans="1:6" x14ac:dyDescent="0.3">
      <c r="A2005" s="3" t="s">
        <v>13</v>
      </c>
      <c r="B2005" s="3" t="s">
        <v>43</v>
      </c>
      <c r="C2005" s="4" t="s">
        <v>12</v>
      </c>
      <c r="D2005" s="3" t="s">
        <v>9</v>
      </c>
      <c r="E2005" s="3" t="s">
        <v>45</v>
      </c>
      <c r="F2005" s="3">
        <v>271097.99999999901</v>
      </c>
    </row>
    <row r="2006" spans="1:6" x14ac:dyDescent="0.3">
      <c r="A2006" s="1" t="s">
        <v>13</v>
      </c>
      <c r="B2006" s="1" t="s">
        <v>43</v>
      </c>
      <c r="C2006" s="2" t="s">
        <v>12</v>
      </c>
      <c r="D2006" s="1" t="s">
        <v>9</v>
      </c>
      <c r="E2006" s="1" t="s">
        <v>49</v>
      </c>
      <c r="F2006" s="1">
        <v>1</v>
      </c>
    </row>
    <row r="2007" spans="1:6" x14ac:dyDescent="0.3">
      <c r="A2007" s="3" t="s">
        <v>13</v>
      </c>
      <c r="B2007" s="3" t="s">
        <v>43</v>
      </c>
      <c r="C2007" s="4" t="s">
        <v>12</v>
      </c>
      <c r="D2007" s="3" t="s">
        <v>11</v>
      </c>
      <c r="E2007" s="3" t="s">
        <v>44</v>
      </c>
      <c r="F2007" s="3">
        <v>271097.99999999901</v>
      </c>
    </row>
    <row r="2008" spans="1:6" x14ac:dyDescent="0.3">
      <c r="A2008" s="1" t="s">
        <v>13</v>
      </c>
      <c r="B2008" s="1" t="s">
        <v>43</v>
      </c>
      <c r="C2008" s="2" t="s">
        <v>12</v>
      </c>
      <c r="D2008" s="1" t="s">
        <v>11</v>
      </c>
      <c r="E2008" s="1" t="s">
        <v>45</v>
      </c>
      <c r="F2008" s="1">
        <v>271097.99999999901</v>
      </c>
    </row>
    <row r="2009" spans="1:6" x14ac:dyDescent="0.3">
      <c r="A2009" s="3" t="s">
        <v>13</v>
      </c>
      <c r="B2009" s="3" t="s">
        <v>43</v>
      </c>
      <c r="C2009" s="4" t="s">
        <v>12</v>
      </c>
      <c r="D2009" s="3" t="s">
        <v>11</v>
      </c>
      <c r="E2009" s="3" t="s">
        <v>49</v>
      </c>
      <c r="F2009" s="3">
        <v>1</v>
      </c>
    </row>
    <row r="2010" spans="1:6" x14ac:dyDescent="0.3">
      <c r="A2010" s="1" t="s">
        <v>13</v>
      </c>
      <c r="B2010" s="1" t="s">
        <v>43</v>
      </c>
      <c r="C2010" s="2" t="s">
        <v>12</v>
      </c>
      <c r="D2010" s="1" t="s">
        <v>1</v>
      </c>
      <c r="E2010" s="1" t="s">
        <v>44</v>
      </c>
      <c r="F2010" s="1">
        <v>36096.239999999903</v>
      </c>
    </row>
    <row r="2011" spans="1:6" x14ac:dyDescent="0.3">
      <c r="A2011" s="3" t="s">
        <v>13</v>
      </c>
      <c r="B2011" s="3" t="s">
        <v>43</v>
      </c>
      <c r="C2011" s="4" t="s">
        <v>12</v>
      </c>
      <c r="D2011" s="3" t="s">
        <v>1</v>
      </c>
      <c r="E2011" s="3" t="s">
        <v>45</v>
      </c>
      <c r="F2011" s="3">
        <v>143522.99999999901</v>
      </c>
    </row>
    <row r="2012" spans="1:6" x14ac:dyDescent="0.3">
      <c r="A2012" s="1" t="s">
        <v>13</v>
      </c>
      <c r="B2012" s="1" t="s">
        <v>43</v>
      </c>
      <c r="C2012" s="2" t="s">
        <v>12</v>
      </c>
      <c r="D2012" s="1" t="s">
        <v>1</v>
      </c>
      <c r="E2012" s="1" t="s">
        <v>46</v>
      </c>
      <c r="F2012" s="1">
        <v>7200</v>
      </c>
    </row>
    <row r="2013" spans="1:6" x14ac:dyDescent="0.3">
      <c r="A2013" s="3" t="s">
        <v>13</v>
      </c>
      <c r="B2013" s="3" t="s">
        <v>43</v>
      </c>
      <c r="C2013" s="4" t="s">
        <v>12</v>
      </c>
      <c r="D2013" s="3" t="s">
        <v>1</v>
      </c>
      <c r="E2013" s="3" t="s">
        <v>47</v>
      </c>
      <c r="F2013" s="3">
        <v>10.559999999999899</v>
      </c>
    </row>
    <row r="2014" spans="1:6" x14ac:dyDescent="0.3">
      <c r="A2014" s="1" t="s">
        <v>13</v>
      </c>
      <c r="B2014" s="1" t="s">
        <v>43</v>
      </c>
      <c r="C2014" s="2" t="s">
        <v>12</v>
      </c>
      <c r="D2014" s="1" t="s">
        <v>1</v>
      </c>
      <c r="E2014" s="1" t="s">
        <v>48</v>
      </c>
      <c r="F2014" s="1">
        <v>100216.19999999899</v>
      </c>
    </row>
    <row r="2015" spans="1:6" x14ac:dyDescent="0.3">
      <c r="A2015" s="3" t="s">
        <v>13</v>
      </c>
      <c r="B2015" s="3" t="s">
        <v>43</v>
      </c>
      <c r="C2015" s="4" t="s">
        <v>12</v>
      </c>
      <c r="D2015" s="3" t="s">
        <v>1</v>
      </c>
      <c r="E2015" s="3" t="s">
        <v>49</v>
      </c>
      <c r="F2015" s="3">
        <v>0.251501431826257</v>
      </c>
    </row>
    <row r="2016" spans="1:6" x14ac:dyDescent="0.3">
      <c r="A2016" s="1" t="s">
        <v>13</v>
      </c>
      <c r="B2016" s="1" t="s">
        <v>43</v>
      </c>
      <c r="C2016" s="2" t="s">
        <v>12</v>
      </c>
      <c r="D2016" s="1" t="s">
        <v>6</v>
      </c>
      <c r="E2016" s="1" t="s">
        <v>44</v>
      </c>
      <c r="F2016" s="1">
        <v>104255.489999999</v>
      </c>
    </row>
    <row r="2017" spans="1:6" x14ac:dyDescent="0.3">
      <c r="A2017" s="3" t="s">
        <v>13</v>
      </c>
      <c r="B2017" s="3" t="s">
        <v>43</v>
      </c>
      <c r="C2017" s="4" t="s">
        <v>12</v>
      </c>
      <c r="D2017" s="3" t="s">
        <v>6</v>
      </c>
      <c r="E2017" s="3" t="s">
        <v>45</v>
      </c>
      <c r="F2017" s="3">
        <v>215282.25</v>
      </c>
    </row>
    <row r="2018" spans="1:6" x14ac:dyDescent="0.3">
      <c r="A2018" s="1" t="s">
        <v>13</v>
      </c>
      <c r="B2018" s="1" t="s">
        <v>43</v>
      </c>
      <c r="C2018" s="2" t="s">
        <v>12</v>
      </c>
      <c r="D2018" s="1" t="s">
        <v>6</v>
      </c>
      <c r="E2018" s="1" t="s">
        <v>46</v>
      </c>
      <c r="F2018" s="1">
        <v>10800</v>
      </c>
    </row>
    <row r="2019" spans="1:6" x14ac:dyDescent="0.3">
      <c r="A2019" s="3" t="s">
        <v>13</v>
      </c>
      <c r="B2019" s="3" t="s">
        <v>43</v>
      </c>
      <c r="C2019" s="4" t="s">
        <v>12</v>
      </c>
      <c r="D2019" s="3" t="s">
        <v>6</v>
      </c>
      <c r="E2019" s="3" t="s">
        <v>47</v>
      </c>
      <c r="F2019" s="3">
        <v>10.559999999999899</v>
      </c>
    </row>
    <row r="2020" spans="1:6" x14ac:dyDescent="0.3">
      <c r="A2020" s="1" t="s">
        <v>13</v>
      </c>
      <c r="B2020" s="1" t="s">
        <v>43</v>
      </c>
      <c r="C2020" s="2" t="s">
        <v>12</v>
      </c>
      <c r="D2020" s="1" t="s">
        <v>6</v>
      </c>
      <c r="E2020" s="1" t="s">
        <v>48</v>
      </c>
      <c r="F2020" s="1">
        <v>100216.19999999899</v>
      </c>
    </row>
    <row r="2021" spans="1:6" x14ac:dyDescent="0.3">
      <c r="A2021" s="3" t="s">
        <v>13</v>
      </c>
      <c r="B2021" s="3" t="s">
        <v>43</v>
      </c>
      <c r="C2021" s="4" t="s">
        <v>12</v>
      </c>
      <c r="D2021" s="3" t="s">
        <v>6</v>
      </c>
      <c r="E2021" s="3" t="s">
        <v>49</v>
      </c>
      <c r="F2021" s="3">
        <v>0.48427350606006703</v>
      </c>
    </row>
    <row r="2022" spans="1:6" x14ac:dyDescent="0.3">
      <c r="A2022" s="1" t="s">
        <v>13</v>
      </c>
      <c r="B2022" s="1" t="s">
        <v>43</v>
      </c>
      <c r="C2022" s="2" t="s">
        <v>12</v>
      </c>
      <c r="D2022" s="1" t="s">
        <v>9</v>
      </c>
      <c r="E2022" s="1" t="s">
        <v>44</v>
      </c>
      <c r="F2022" s="1">
        <v>172416.99</v>
      </c>
    </row>
    <row r="2023" spans="1:6" x14ac:dyDescent="0.3">
      <c r="A2023" s="3" t="s">
        <v>13</v>
      </c>
      <c r="B2023" s="3" t="s">
        <v>43</v>
      </c>
      <c r="C2023" s="4" t="s">
        <v>12</v>
      </c>
      <c r="D2023" s="3" t="s">
        <v>9</v>
      </c>
      <c r="E2023" s="3" t="s">
        <v>45</v>
      </c>
      <c r="F2023" s="3">
        <v>287043.75</v>
      </c>
    </row>
    <row r="2024" spans="1:6" x14ac:dyDescent="0.3">
      <c r="A2024" s="1" t="s">
        <v>13</v>
      </c>
      <c r="B2024" s="1" t="s">
        <v>43</v>
      </c>
      <c r="C2024" s="2" t="s">
        <v>12</v>
      </c>
      <c r="D2024" s="1" t="s">
        <v>9</v>
      </c>
      <c r="E2024" s="1" t="s">
        <v>46</v>
      </c>
      <c r="F2024" s="1">
        <v>14400</v>
      </c>
    </row>
    <row r="2025" spans="1:6" x14ac:dyDescent="0.3">
      <c r="A2025" s="3" t="s">
        <v>13</v>
      </c>
      <c r="B2025" s="3" t="s">
        <v>43</v>
      </c>
      <c r="C2025" s="4" t="s">
        <v>12</v>
      </c>
      <c r="D2025" s="3" t="s">
        <v>9</v>
      </c>
      <c r="E2025" s="3" t="s">
        <v>47</v>
      </c>
      <c r="F2025" s="3">
        <v>10.559999999999899</v>
      </c>
    </row>
    <row r="2026" spans="1:6" x14ac:dyDescent="0.3">
      <c r="A2026" s="1" t="s">
        <v>13</v>
      </c>
      <c r="B2026" s="1" t="s">
        <v>43</v>
      </c>
      <c r="C2026" s="2" t="s">
        <v>12</v>
      </c>
      <c r="D2026" s="1" t="s">
        <v>9</v>
      </c>
      <c r="E2026" s="1" t="s">
        <v>48</v>
      </c>
      <c r="F2026" s="1">
        <v>100216.19999999899</v>
      </c>
    </row>
    <row r="2027" spans="1:6" x14ac:dyDescent="0.3">
      <c r="A2027" s="3" t="s">
        <v>13</v>
      </c>
      <c r="B2027" s="3" t="s">
        <v>43</v>
      </c>
      <c r="C2027" s="4" t="s">
        <v>12</v>
      </c>
      <c r="D2027" s="3" t="s">
        <v>9</v>
      </c>
      <c r="E2027" s="3" t="s">
        <v>49</v>
      </c>
      <c r="F2027" s="3">
        <v>0.60066449800770805</v>
      </c>
    </row>
    <row r="2028" spans="1:6" x14ac:dyDescent="0.3">
      <c r="A2028" s="1" t="s">
        <v>13</v>
      </c>
      <c r="B2028" s="1" t="s">
        <v>43</v>
      </c>
      <c r="C2028" s="2" t="s">
        <v>12</v>
      </c>
      <c r="D2028" s="1" t="s">
        <v>11</v>
      </c>
      <c r="E2028" s="1" t="s">
        <v>44</v>
      </c>
      <c r="F2028" s="1">
        <v>240578.489999999</v>
      </c>
    </row>
    <row r="2029" spans="1:6" x14ac:dyDescent="0.3">
      <c r="A2029" s="3" t="s">
        <v>13</v>
      </c>
      <c r="B2029" s="3" t="s">
        <v>43</v>
      </c>
      <c r="C2029" s="4" t="s">
        <v>12</v>
      </c>
      <c r="D2029" s="3" t="s">
        <v>11</v>
      </c>
      <c r="E2029" s="3" t="s">
        <v>45</v>
      </c>
      <c r="F2029" s="3">
        <v>358805.24999999901</v>
      </c>
    </row>
    <row r="2030" spans="1:6" x14ac:dyDescent="0.3">
      <c r="A2030" s="1" t="s">
        <v>13</v>
      </c>
      <c r="B2030" s="1" t="s">
        <v>43</v>
      </c>
      <c r="C2030" s="2" t="s">
        <v>12</v>
      </c>
      <c r="D2030" s="1" t="s">
        <v>11</v>
      </c>
      <c r="E2030" s="1" t="s">
        <v>46</v>
      </c>
      <c r="F2030" s="1">
        <v>18000</v>
      </c>
    </row>
    <row r="2031" spans="1:6" x14ac:dyDescent="0.3">
      <c r="A2031" s="3" t="s">
        <v>13</v>
      </c>
      <c r="B2031" s="3" t="s">
        <v>43</v>
      </c>
      <c r="C2031" s="4" t="s">
        <v>12</v>
      </c>
      <c r="D2031" s="3" t="s">
        <v>11</v>
      </c>
      <c r="E2031" s="3" t="s">
        <v>47</v>
      </c>
      <c r="F2031" s="3">
        <v>10.559999999999899</v>
      </c>
    </row>
    <row r="2032" spans="1:6" x14ac:dyDescent="0.3">
      <c r="A2032" s="1" t="s">
        <v>13</v>
      </c>
      <c r="B2032" s="1" t="s">
        <v>43</v>
      </c>
      <c r="C2032" s="2" t="s">
        <v>12</v>
      </c>
      <c r="D2032" s="1" t="s">
        <v>11</v>
      </c>
      <c r="E2032" s="1" t="s">
        <v>48</v>
      </c>
      <c r="F2032" s="1">
        <v>100216.19999999899</v>
      </c>
    </row>
    <row r="2033" spans="1:6" x14ac:dyDescent="0.3">
      <c r="A2033" s="3" t="s">
        <v>13</v>
      </c>
      <c r="B2033" s="3" t="s">
        <v>43</v>
      </c>
      <c r="C2033" s="4" t="s">
        <v>12</v>
      </c>
      <c r="D2033" s="3" t="s">
        <v>11</v>
      </c>
      <c r="E2033" s="3" t="s">
        <v>49</v>
      </c>
      <c r="F2033" s="3">
        <v>0.67049880122991501</v>
      </c>
    </row>
    <row r="2034" spans="1:6" x14ac:dyDescent="0.3">
      <c r="A2034" s="1" t="s">
        <v>13</v>
      </c>
      <c r="B2034" s="1" t="s">
        <v>50</v>
      </c>
      <c r="C2034" s="2" t="s">
        <v>12</v>
      </c>
      <c r="D2034" s="1" t="s">
        <v>1</v>
      </c>
      <c r="E2034" s="1" t="s">
        <v>44</v>
      </c>
      <c r="F2034" s="1">
        <v>36067000</v>
      </c>
    </row>
    <row r="2035" spans="1:6" x14ac:dyDescent="0.3">
      <c r="A2035" s="3" t="s">
        <v>13</v>
      </c>
      <c r="B2035" s="3" t="s">
        <v>50</v>
      </c>
      <c r="C2035" s="4" t="s">
        <v>12</v>
      </c>
      <c r="D2035" s="3" t="s">
        <v>1</v>
      </c>
      <c r="E2035" s="3" t="s">
        <v>45</v>
      </c>
      <c r="F2035" s="3">
        <v>36067000</v>
      </c>
    </row>
    <row r="2036" spans="1:6" x14ac:dyDescent="0.3">
      <c r="A2036" s="1" t="s">
        <v>13</v>
      </c>
      <c r="B2036" s="1" t="s">
        <v>50</v>
      </c>
      <c r="C2036" s="2" t="s">
        <v>12</v>
      </c>
      <c r="D2036" s="1" t="s">
        <v>1</v>
      </c>
      <c r="E2036" s="1" t="s">
        <v>49</v>
      </c>
      <c r="F2036" s="1">
        <v>1</v>
      </c>
    </row>
    <row r="2037" spans="1:6" x14ac:dyDescent="0.3">
      <c r="A2037" s="3" t="s">
        <v>13</v>
      </c>
      <c r="B2037" s="3" t="s">
        <v>50</v>
      </c>
      <c r="C2037" s="4" t="s">
        <v>12</v>
      </c>
      <c r="D2037" s="3" t="s">
        <v>6</v>
      </c>
      <c r="E2037" s="3" t="s">
        <v>44</v>
      </c>
      <c r="F2037" s="3">
        <v>12875000</v>
      </c>
    </row>
    <row r="2038" spans="1:6" x14ac:dyDescent="0.3">
      <c r="A2038" s="1" t="s">
        <v>13</v>
      </c>
      <c r="B2038" s="1" t="s">
        <v>50</v>
      </c>
      <c r="C2038" s="2" t="s">
        <v>12</v>
      </c>
      <c r="D2038" s="1" t="s">
        <v>6</v>
      </c>
      <c r="E2038" s="1" t="s">
        <v>45</v>
      </c>
      <c r="F2038" s="1">
        <v>12875000</v>
      </c>
    </row>
    <row r="2039" spans="1:6" x14ac:dyDescent="0.3">
      <c r="A2039" s="3" t="s">
        <v>13</v>
      </c>
      <c r="B2039" s="3" t="s">
        <v>50</v>
      </c>
      <c r="C2039" s="4" t="s">
        <v>12</v>
      </c>
      <c r="D2039" s="3" t="s">
        <v>6</v>
      </c>
      <c r="E2039" s="3" t="s">
        <v>49</v>
      </c>
      <c r="F2039" s="3">
        <v>1</v>
      </c>
    </row>
    <row r="2040" spans="1:6" x14ac:dyDescent="0.3">
      <c r="A2040" s="1" t="s">
        <v>13</v>
      </c>
      <c r="B2040" s="1" t="s">
        <v>50</v>
      </c>
      <c r="C2040" s="2" t="s">
        <v>12</v>
      </c>
      <c r="D2040" s="1" t="s">
        <v>9</v>
      </c>
      <c r="E2040" s="1" t="s">
        <v>44</v>
      </c>
      <c r="F2040" s="1">
        <v>13275000</v>
      </c>
    </row>
    <row r="2041" spans="1:6" x14ac:dyDescent="0.3">
      <c r="A2041" s="3" t="s">
        <v>13</v>
      </c>
      <c r="B2041" s="3" t="s">
        <v>50</v>
      </c>
      <c r="C2041" s="4" t="s">
        <v>12</v>
      </c>
      <c r="D2041" s="3" t="s">
        <v>9</v>
      </c>
      <c r="E2041" s="3" t="s">
        <v>45</v>
      </c>
      <c r="F2041" s="3">
        <v>13275000</v>
      </c>
    </row>
    <row r="2042" spans="1:6" x14ac:dyDescent="0.3">
      <c r="A2042" s="1" t="s">
        <v>13</v>
      </c>
      <c r="B2042" s="1" t="s">
        <v>50</v>
      </c>
      <c r="C2042" s="2" t="s">
        <v>12</v>
      </c>
      <c r="D2042" s="1" t="s">
        <v>9</v>
      </c>
      <c r="E2042" s="1" t="s">
        <v>49</v>
      </c>
      <c r="F2042" s="1">
        <v>1</v>
      </c>
    </row>
    <row r="2043" spans="1:6" x14ac:dyDescent="0.3">
      <c r="A2043" s="3" t="s">
        <v>13</v>
      </c>
      <c r="B2043" s="3" t="s">
        <v>50</v>
      </c>
      <c r="C2043" s="4" t="s">
        <v>12</v>
      </c>
      <c r="D2043" s="3" t="s">
        <v>11</v>
      </c>
      <c r="E2043" s="3" t="s">
        <v>44</v>
      </c>
      <c r="F2043" s="3">
        <v>13475000</v>
      </c>
    </row>
    <row r="2044" spans="1:6" x14ac:dyDescent="0.3">
      <c r="A2044" s="1" t="s">
        <v>13</v>
      </c>
      <c r="B2044" s="1" t="s">
        <v>50</v>
      </c>
      <c r="C2044" s="2" t="s">
        <v>12</v>
      </c>
      <c r="D2044" s="1" t="s">
        <v>11</v>
      </c>
      <c r="E2044" s="1" t="s">
        <v>45</v>
      </c>
      <c r="F2044" s="1">
        <v>13475000</v>
      </c>
    </row>
    <row r="2045" spans="1:6" x14ac:dyDescent="0.3">
      <c r="A2045" s="3" t="s">
        <v>13</v>
      </c>
      <c r="B2045" s="3" t="s">
        <v>50</v>
      </c>
      <c r="C2045" s="4" t="s">
        <v>12</v>
      </c>
      <c r="D2045" s="3" t="s">
        <v>11</v>
      </c>
      <c r="E2045" s="3" t="s">
        <v>49</v>
      </c>
      <c r="F2045" s="3">
        <v>1</v>
      </c>
    </row>
    <row r="2046" spans="1:6" x14ac:dyDescent="0.3">
      <c r="A2046" s="1" t="s">
        <v>13</v>
      </c>
      <c r="B2046" s="1" t="s">
        <v>50</v>
      </c>
      <c r="C2046" s="2" t="s">
        <v>12</v>
      </c>
      <c r="D2046" s="1" t="s">
        <v>1</v>
      </c>
      <c r="E2046" s="1" t="s">
        <v>44</v>
      </c>
      <c r="F2046" s="1">
        <v>-133707</v>
      </c>
    </row>
    <row r="2047" spans="1:6" x14ac:dyDescent="0.3">
      <c r="A2047" s="3" t="s">
        <v>13</v>
      </c>
      <c r="B2047" s="3" t="s">
        <v>50</v>
      </c>
      <c r="C2047" s="4" t="s">
        <v>12</v>
      </c>
      <c r="D2047" s="3" t="s">
        <v>1</v>
      </c>
      <c r="E2047" s="3" t="s">
        <v>45</v>
      </c>
      <c r="F2047" s="3">
        <v>143522.99999999901</v>
      </c>
    </row>
    <row r="2048" spans="1:6" x14ac:dyDescent="0.3">
      <c r="A2048" s="1" t="s">
        <v>13</v>
      </c>
      <c r="B2048" s="1" t="s">
        <v>50</v>
      </c>
      <c r="C2048" s="2" t="s">
        <v>12</v>
      </c>
      <c r="D2048" s="1" t="s">
        <v>1</v>
      </c>
      <c r="E2048" s="1" t="s">
        <v>46</v>
      </c>
      <c r="F2048" s="1">
        <v>54090</v>
      </c>
    </row>
    <row r="2049" spans="1:6" x14ac:dyDescent="0.3">
      <c r="A2049" s="3" t="s">
        <v>13</v>
      </c>
      <c r="B2049" s="3" t="s">
        <v>50</v>
      </c>
      <c r="C2049" s="4" t="s">
        <v>12</v>
      </c>
      <c r="D2049" s="3" t="s">
        <v>1</v>
      </c>
      <c r="E2049" s="3" t="s">
        <v>47</v>
      </c>
      <c r="F2049" s="3">
        <v>2640</v>
      </c>
    </row>
    <row r="2050" spans="1:6" x14ac:dyDescent="0.3">
      <c r="A2050" s="1" t="s">
        <v>13</v>
      </c>
      <c r="B2050" s="1" t="s">
        <v>50</v>
      </c>
      <c r="C2050" s="2" t="s">
        <v>12</v>
      </c>
      <c r="D2050" s="1" t="s">
        <v>1</v>
      </c>
      <c r="E2050" s="1" t="s">
        <v>48</v>
      </c>
      <c r="F2050" s="1">
        <v>220500</v>
      </c>
    </row>
    <row r="2051" spans="1:6" x14ac:dyDescent="0.3">
      <c r="A2051" s="3" t="s">
        <v>13</v>
      </c>
      <c r="B2051" s="3" t="s">
        <v>50</v>
      </c>
      <c r="C2051" s="4" t="s">
        <v>12</v>
      </c>
      <c r="D2051" s="3" t="s">
        <v>1</v>
      </c>
      <c r="E2051" s="3" t="s">
        <v>49</v>
      </c>
      <c r="F2051" s="3">
        <v>-0.93160678079471604</v>
      </c>
    </row>
    <row r="2052" spans="1:6" x14ac:dyDescent="0.3">
      <c r="A2052" s="1" t="s">
        <v>13</v>
      </c>
      <c r="B2052" s="1" t="s">
        <v>50</v>
      </c>
      <c r="C2052" s="2" t="s">
        <v>12</v>
      </c>
      <c r="D2052" s="1" t="s">
        <v>6</v>
      </c>
      <c r="E2052" s="1" t="s">
        <v>44</v>
      </c>
      <c r="F2052" s="1">
        <v>-135027</v>
      </c>
    </row>
    <row r="2053" spans="1:6" x14ac:dyDescent="0.3">
      <c r="A2053" s="3" t="s">
        <v>13</v>
      </c>
      <c r="B2053" s="3" t="s">
        <v>50</v>
      </c>
      <c r="C2053" s="4" t="s">
        <v>12</v>
      </c>
      <c r="D2053" s="3" t="s">
        <v>6</v>
      </c>
      <c r="E2053" s="3" t="s">
        <v>45</v>
      </c>
      <c r="F2053" s="3">
        <v>143522.99999999901</v>
      </c>
    </row>
    <row r="2054" spans="1:6" x14ac:dyDescent="0.3">
      <c r="A2054" s="1" t="s">
        <v>13</v>
      </c>
      <c r="B2054" s="1" t="s">
        <v>50</v>
      </c>
      <c r="C2054" s="2" t="s">
        <v>12</v>
      </c>
      <c r="D2054" s="1" t="s">
        <v>6</v>
      </c>
      <c r="E2054" s="1" t="s">
        <v>46</v>
      </c>
      <c r="F2054" s="1">
        <v>54090</v>
      </c>
    </row>
    <row r="2055" spans="1:6" x14ac:dyDescent="0.3">
      <c r="A2055" s="3" t="s">
        <v>13</v>
      </c>
      <c r="B2055" s="3" t="s">
        <v>50</v>
      </c>
      <c r="C2055" s="4" t="s">
        <v>12</v>
      </c>
      <c r="D2055" s="3" t="s">
        <v>6</v>
      </c>
      <c r="E2055" s="3" t="s">
        <v>47</v>
      </c>
      <c r="F2055" s="3">
        <v>3960</v>
      </c>
    </row>
    <row r="2056" spans="1:6" x14ac:dyDescent="0.3">
      <c r="A2056" s="1" t="s">
        <v>13</v>
      </c>
      <c r="B2056" s="1" t="s">
        <v>50</v>
      </c>
      <c r="C2056" s="2" t="s">
        <v>12</v>
      </c>
      <c r="D2056" s="1" t="s">
        <v>6</v>
      </c>
      <c r="E2056" s="1" t="s">
        <v>48</v>
      </c>
      <c r="F2056" s="1">
        <v>220500</v>
      </c>
    </row>
    <row r="2057" spans="1:6" x14ac:dyDescent="0.3">
      <c r="A2057" s="3" t="s">
        <v>13</v>
      </c>
      <c r="B2057" s="3" t="s">
        <v>50</v>
      </c>
      <c r="C2057" s="4" t="s">
        <v>12</v>
      </c>
      <c r="D2057" s="3" t="s">
        <v>6</v>
      </c>
      <c r="E2057" s="3" t="s">
        <v>49</v>
      </c>
      <c r="F2057" s="3">
        <v>-0.94080391296168597</v>
      </c>
    </row>
    <row r="2058" spans="1:6" x14ac:dyDescent="0.3">
      <c r="A2058" s="1" t="s">
        <v>13</v>
      </c>
      <c r="B2058" s="1" t="s">
        <v>50</v>
      </c>
      <c r="C2058" s="2" t="s">
        <v>12</v>
      </c>
      <c r="D2058" s="1" t="s">
        <v>9</v>
      </c>
      <c r="E2058" s="1" t="s">
        <v>44</v>
      </c>
      <c r="F2058" s="1">
        <v>-172407</v>
      </c>
    </row>
    <row r="2059" spans="1:6" x14ac:dyDescent="0.3">
      <c r="A2059" s="3" t="s">
        <v>13</v>
      </c>
      <c r="B2059" s="3" t="s">
        <v>50</v>
      </c>
      <c r="C2059" s="4" t="s">
        <v>12</v>
      </c>
      <c r="D2059" s="3" t="s">
        <v>9</v>
      </c>
      <c r="E2059" s="3" t="s">
        <v>45</v>
      </c>
      <c r="F2059" s="3">
        <v>143522.99999999901</v>
      </c>
    </row>
    <row r="2060" spans="1:6" x14ac:dyDescent="0.3">
      <c r="A2060" s="1" t="s">
        <v>13</v>
      </c>
      <c r="B2060" s="1" t="s">
        <v>50</v>
      </c>
      <c r="C2060" s="2" t="s">
        <v>12</v>
      </c>
      <c r="D2060" s="1" t="s">
        <v>9</v>
      </c>
      <c r="E2060" s="1" t="s">
        <v>46</v>
      </c>
      <c r="F2060" s="1">
        <v>90150</v>
      </c>
    </row>
    <row r="2061" spans="1:6" x14ac:dyDescent="0.3">
      <c r="A2061" s="3" t="s">
        <v>13</v>
      </c>
      <c r="B2061" s="3" t="s">
        <v>50</v>
      </c>
      <c r="C2061" s="4" t="s">
        <v>12</v>
      </c>
      <c r="D2061" s="3" t="s">
        <v>9</v>
      </c>
      <c r="E2061" s="3" t="s">
        <v>47</v>
      </c>
      <c r="F2061" s="3">
        <v>5280</v>
      </c>
    </row>
    <row r="2062" spans="1:6" x14ac:dyDescent="0.3">
      <c r="A2062" s="1" t="s">
        <v>13</v>
      </c>
      <c r="B2062" s="1" t="s">
        <v>50</v>
      </c>
      <c r="C2062" s="2" t="s">
        <v>12</v>
      </c>
      <c r="D2062" s="1" t="s">
        <v>9</v>
      </c>
      <c r="E2062" s="1" t="s">
        <v>48</v>
      </c>
      <c r="F2062" s="1">
        <v>220500</v>
      </c>
    </row>
    <row r="2063" spans="1:6" x14ac:dyDescent="0.3">
      <c r="A2063" s="3" t="s">
        <v>13</v>
      </c>
      <c r="B2063" s="3" t="s">
        <v>50</v>
      </c>
      <c r="C2063" s="4" t="s">
        <v>12</v>
      </c>
      <c r="D2063" s="3" t="s">
        <v>9</v>
      </c>
      <c r="E2063" s="3" t="s">
        <v>49</v>
      </c>
      <c r="F2063" s="3">
        <v>-1.2012499738717799</v>
      </c>
    </row>
    <row r="2064" spans="1:6" x14ac:dyDescent="0.3">
      <c r="A2064" s="1" t="s">
        <v>13</v>
      </c>
      <c r="B2064" s="1" t="s">
        <v>50</v>
      </c>
      <c r="C2064" s="2" t="s">
        <v>12</v>
      </c>
      <c r="D2064" s="1" t="s">
        <v>11</v>
      </c>
      <c r="E2064" s="1" t="s">
        <v>44</v>
      </c>
      <c r="F2064" s="1">
        <v>-191757</v>
      </c>
    </row>
    <row r="2065" spans="1:6" x14ac:dyDescent="0.3">
      <c r="A2065" s="3" t="s">
        <v>13</v>
      </c>
      <c r="B2065" s="3" t="s">
        <v>50</v>
      </c>
      <c r="C2065" s="4" t="s">
        <v>12</v>
      </c>
      <c r="D2065" s="3" t="s">
        <v>11</v>
      </c>
      <c r="E2065" s="3" t="s">
        <v>45</v>
      </c>
      <c r="F2065" s="3">
        <v>143522.99999999901</v>
      </c>
    </row>
    <row r="2066" spans="1:6" x14ac:dyDescent="0.3">
      <c r="A2066" s="1" t="s">
        <v>13</v>
      </c>
      <c r="B2066" s="1" t="s">
        <v>50</v>
      </c>
      <c r="C2066" s="2" t="s">
        <v>12</v>
      </c>
      <c r="D2066" s="1" t="s">
        <v>11</v>
      </c>
      <c r="E2066" s="1" t="s">
        <v>46</v>
      </c>
      <c r="F2066" s="1">
        <v>108180</v>
      </c>
    </row>
    <row r="2067" spans="1:6" x14ac:dyDescent="0.3">
      <c r="A2067" s="3" t="s">
        <v>13</v>
      </c>
      <c r="B2067" s="3" t="s">
        <v>50</v>
      </c>
      <c r="C2067" s="4" t="s">
        <v>12</v>
      </c>
      <c r="D2067" s="3" t="s">
        <v>11</v>
      </c>
      <c r="E2067" s="3" t="s">
        <v>47</v>
      </c>
      <c r="F2067" s="3">
        <v>6600</v>
      </c>
    </row>
    <row r="2068" spans="1:6" x14ac:dyDescent="0.3">
      <c r="A2068" s="1" t="s">
        <v>13</v>
      </c>
      <c r="B2068" s="1" t="s">
        <v>50</v>
      </c>
      <c r="C2068" s="2" t="s">
        <v>12</v>
      </c>
      <c r="D2068" s="1" t="s">
        <v>11</v>
      </c>
      <c r="E2068" s="1" t="s">
        <v>48</v>
      </c>
      <c r="F2068" s="1">
        <v>220500</v>
      </c>
    </row>
    <row r="2069" spans="1:6" x14ac:dyDescent="0.3">
      <c r="A2069" s="3" t="s">
        <v>13</v>
      </c>
      <c r="B2069" s="3" t="s">
        <v>50</v>
      </c>
      <c r="C2069" s="4" t="s">
        <v>12</v>
      </c>
      <c r="D2069" s="3" t="s">
        <v>11</v>
      </c>
      <c r="E2069" s="3" t="s">
        <v>49</v>
      </c>
      <c r="F2069" s="3">
        <v>-1.3360715704103101</v>
      </c>
    </row>
    <row r="2070" spans="1:6" x14ac:dyDescent="0.3">
      <c r="A2070" s="1" t="s">
        <v>13</v>
      </c>
      <c r="B2070" s="1" t="s">
        <v>50</v>
      </c>
      <c r="C2070" s="2" t="s">
        <v>12</v>
      </c>
      <c r="D2070" s="1" t="s">
        <v>1</v>
      </c>
      <c r="E2070" s="1" t="s">
        <v>44</v>
      </c>
      <c r="F2070" s="1">
        <v>-1704874.75999999</v>
      </c>
    </row>
    <row r="2071" spans="1:6" x14ac:dyDescent="0.3">
      <c r="A2071" s="3" t="s">
        <v>13</v>
      </c>
      <c r="B2071" s="3" t="s">
        <v>50</v>
      </c>
      <c r="C2071" s="4" t="s">
        <v>12</v>
      </c>
      <c r="D2071" s="3" t="s">
        <v>1</v>
      </c>
      <c r="E2071" s="3" t="s">
        <v>45</v>
      </c>
      <c r="F2071" s="3">
        <v>121995</v>
      </c>
    </row>
    <row r="2072" spans="1:6" x14ac:dyDescent="0.3">
      <c r="A2072" s="1" t="s">
        <v>13</v>
      </c>
      <c r="B2072" s="1" t="s">
        <v>50</v>
      </c>
      <c r="C2072" s="2" t="s">
        <v>12</v>
      </c>
      <c r="D2072" s="1" t="s">
        <v>1</v>
      </c>
      <c r="E2072" s="1" t="s">
        <v>46</v>
      </c>
      <c r="F2072" s="1">
        <v>108180</v>
      </c>
    </row>
    <row r="2073" spans="1:6" x14ac:dyDescent="0.3">
      <c r="A2073" s="3" t="s">
        <v>13</v>
      </c>
      <c r="B2073" s="3" t="s">
        <v>50</v>
      </c>
      <c r="C2073" s="4" t="s">
        <v>12</v>
      </c>
      <c r="D2073" s="3" t="s">
        <v>1</v>
      </c>
      <c r="E2073" s="3" t="s">
        <v>47</v>
      </c>
      <c r="F2073" s="3">
        <v>10.559999999999899</v>
      </c>
    </row>
    <row r="2074" spans="1:6" x14ac:dyDescent="0.3">
      <c r="A2074" s="1" t="s">
        <v>13</v>
      </c>
      <c r="B2074" s="1" t="s">
        <v>50</v>
      </c>
      <c r="C2074" s="2" t="s">
        <v>12</v>
      </c>
      <c r="D2074" s="1" t="s">
        <v>1</v>
      </c>
      <c r="E2074" s="1" t="s">
        <v>48</v>
      </c>
      <c r="F2074" s="1">
        <v>1718679.1999999899</v>
      </c>
    </row>
    <row r="2075" spans="1:6" x14ac:dyDescent="0.3">
      <c r="A2075" s="3" t="s">
        <v>13</v>
      </c>
      <c r="B2075" s="3" t="s">
        <v>50</v>
      </c>
      <c r="C2075" s="4" t="s">
        <v>12</v>
      </c>
      <c r="D2075" s="3" t="s">
        <v>1</v>
      </c>
      <c r="E2075" s="3" t="s">
        <v>49</v>
      </c>
      <c r="F2075" s="3">
        <v>-13.974956022787801</v>
      </c>
    </row>
    <row r="2076" spans="1:6" x14ac:dyDescent="0.3">
      <c r="A2076" s="1" t="s">
        <v>13</v>
      </c>
      <c r="B2076" s="1" t="s">
        <v>50</v>
      </c>
      <c r="C2076" s="2" t="s">
        <v>12</v>
      </c>
      <c r="D2076" s="1" t="s">
        <v>6</v>
      </c>
      <c r="E2076" s="1" t="s">
        <v>44</v>
      </c>
      <c r="F2076" s="1">
        <v>-1871866.71</v>
      </c>
    </row>
    <row r="2077" spans="1:6" x14ac:dyDescent="0.3">
      <c r="A2077" s="3" t="s">
        <v>13</v>
      </c>
      <c r="B2077" s="3" t="s">
        <v>50</v>
      </c>
      <c r="C2077" s="4" t="s">
        <v>12</v>
      </c>
      <c r="D2077" s="3" t="s">
        <v>6</v>
      </c>
      <c r="E2077" s="3" t="s">
        <v>45</v>
      </c>
      <c r="F2077" s="3">
        <v>182990.24999999901</v>
      </c>
    </row>
    <row r="2078" spans="1:6" x14ac:dyDescent="0.3">
      <c r="A2078" s="1" t="s">
        <v>13</v>
      </c>
      <c r="B2078" s="1" t="s">
        <v>50</v>
      </c>
      <c r="C2078" s="2" t="s">
        <v>12</v>
      </c>
      <c r="D2078" s="1" t="s">
        <v>6</v>
      </c>
      <c r="E2078" s="1" t="s">
        <v>46</v>
      </c>
      <c r="F2078" s="1">
        <v>108180</v>
      </c>
    </row>
    <row r="2079" spans="1:6" x14ac:dyDescent="0.3">
      <c r="A2079" s="3" t="s">
        <v>13</v>
      </c>
      <c r="B2079" s="3" t="s">
        <v>50</v>
      </c>
      <c r="C2079" s="4" t="s">
        <v>12</v>
      </c>
      <c r="D2079" s="3" t="s">
        <v>6</v>
      </c>
      <c r="E2079" s="3" t="s">
        <v>47</v>
      </c>
      <c r="F2079" s="3">
        <v>10.559999999999899</v>
      </c>
    </row>
    <row r="2080" spans="1:6" x14ac:dyDescent="0.3">
      <c r="A2080" s="1" t="s">
        <v>13</v>
      </c>
      <c r="B2080" s="1" t="s">
        <v>50</v>
      </c>
      <c r="C2080" s="2" t="s">
        <v>12</v>
      </c>
      <c r="D2080" s="1" t="s">
        <v>6</v>
      </c>
      <c r="E2080" s="1" t="s">
        <v>48</v>
      </c>
      <c r="F2080" s="1">
        <v>1946666.3999999899</v>
      </c>
    </row>
    <row r="2081" spans="1:6" x14ac:dyDescent="0.3">
      <c r="A2081" s="3" t="s">
        <v>13</v>
      </c>
      <c r="B2081" s="3" t="s">
        <v>50</v>
      </c>
      <c r="C2081" s="4" t="s">
        <v>12</v>
      </c>
      <c r="D2081" s="3" t="s">
        <v>6</v>
      </c>
      <c r="E2081" s="3" t="s">
        <v>49</v>
      </c>
      <c r="F2081" s="3">
        <v>-10.229324841077601</v>
      </c>
    </row>
    <row r="2082" spans="1:6" x14ac:dyDescent="0.3">
      <c r="A2082" s="1" t="s">
        <v>13</v>
      </c>
      <c r="B2082" s="1" t="s">
        <v>50</v>
      </c>
      <c r="C2082" s="2" t="s">
        <v>12</v>
      </c>
      <c r="D2082" s="1" t="s">
        <v>9</v>
      </c>
      <c r="E2082" s="1" t="s">
        <v>44</v>
      </c>
      <c r="F2082" s="1">
        <v>-1916096.01</v>
      </c>
    </row>
    <row r="2083" spans="1:6" x14ac:dyDescent="0.3">
      <c r="A2083" s="3" t="s">
        <v>13</v>
      </c>
      <c r="B2083" s="3" t="s">
        <v>50</v>
      </c>
      <c r="C2083" s="4" t="s">
        <v>12</v>
      </c>
      <c r="D2083" s="3" t="s">
        <v>9</v>
      </c>
      <c r="E2083" s="3" t="s">
        <v>45</v>
      </c>
      <c r="F2083" s="3">
        <v>243987.74999999901</v>
      </c>
    </row>
    <row r="2084" spans="1:6" x14ac:dyDescent="0.3">
      <c r="A2084" s="1" t="s">
        <v>13</v>
      </c>
      <c r="B2084" s="1" t="s">
        <v>50</v>
      </c>
      <c r="C2084" s="2" t="s">
        <v>12</v>
      </c>
      <c r="D2084" s="1" t="s">
        <v>9</v>
      </c>
      <c r="E2084" s="1" t="s">
        <v>46</v>
      </c>
      <c r="F2084" s="1">
        <v>108180</v>
      </c>
    </row>
    <row r="2085" spans="1:6" x14ac:dyDescent="0.3">
      <c r="A2085" s="3" t="s">
        <v>13</v>
      </c>
      <c r="B2085" s="3" t="s">
        <v>50</v>
      </c>
      <c r="C2085" s="4" t="s">
        <v>12</v>
      </c>
      <c r="D2085" s="3" t="s">
        <v>9</v>
      </c>
      <c r="E2085" s="3" t="s">
        <v>47</v>
      </c>
      <c r="F2085" s="3">
        <v>10.559999999999899</v>
      </c>
    </row>
    <row r="2086" spans="1:6" x14ac:dyDescent="0.3">
      <c r="A2086" s="1" t="s">
        <v>13</v>
      </c>
      <c r="B2086" s="1" t="s">
        <v>50</v>
      </c>
      <c r="C2086" s="2" t="s">
        <v>12</v>
      </c>
      <c r="D2086" s="1" t="s">
        <v>9</v>
      </c>
      <c r="E2086" s="1" t="s">
        <v>48</v>
      </c>
      <c r="F2086" s="1">
        <v>2051893.2</v>
      </c>
    </row>
    <row r="2087" spans="1:6" x14ac:dyDescent="0.3">
      <c r="A2087" s="3" t="s">
        <v>13</v>
      </c>
      <c r="B2087" s="3" t="s">
        <v>50</v>
      </c>
      <c r="C2087" s="4" t="s">
        <v>12</v>
      </c>
      <c r="D2087" s="3" t="s">
        <v>9</v>
      </c>
      <c r="E2087" s="3" t="s">
        <v>49</v>
      </c>
      <c r="F2087" s="3">
        <v>-7.8532467716104604</v>
      </c>
    </row>
    <row r="2088" spans="1:6" x14ac:dyDescent="0.3">
      <c r="A2088" s="1" t="s">
        <v>13</v>
      </c>
      <c r="B2088" s="1" t="s">
        <v>50</v>
      </c>
      <c r="C2088" s="2" t="s">
        <v>12</v>
      </c>
      <c r="D2088" s="1" t="s">
        <v>11</v>
      </c>
      <c r="E2088" s="1" t="s">
        <v>44</v>
      </c>
      <c r="F2088" s="1">
        <v>-2083085.71</v>
      </c>
    </row>
    <row r="2089" spans="1:6" x14ac:dyDescent="0.3">
      <c r="A2089" s="3" t="s">
        <v>13</v>
      </c>
      <c r="B2089" s="3" t="s">
        <v>50</v>
      </c>
      <c r="C2089" s="4" t="s">
        <v>12</v>
      </c>
      <c r="D2089" s="3" t="s">
        <v>11</v>
      </c>
      <c r="E2089" s="3" t="s">
        <v>45</v>
      </c>
      <c r="F2089" s="3">
        <v>304985.24999999901</v>
      </c>
    </row>
    <row r="2090" spans="1:6" x14ac:dyDescent="0.3">
      <c r="A2090" s="1" t="s">
        <v>13</v>
      </c>
      <c r="B2090" s="1" t="s">
        <v>50</v>
      </c>
      <c r="C2090" s="2" t="s">
        <v>12</v>
      </c>
      <c r="D2090" s="1" t="s">
        <v>11</v>
      </c>
      <c r="E2090" s="1" t="s">
        <v>46</v>
      </c>
      <c r="F2090" s="1">
        <v>108180</v>
      </c>
    </row>
    <row r="2091" spans="1:6" x14ac:dyDescent="0.3">
      <c r="A2091" s="3" t="s">
        <v>13</v>
      </c>
      <c r="B2091" s="3" t="s">
        <v>50</v>
      </c>
      <c r="C2091" s="4" t="s">
        <v>12</v>
      </c>
      <c r="D2091" s="3" t="s">
        <v>11</v>
      </c>
      <c r="E2091" s="3" t="s">
        <v>47</v>
      </c>
      <c r="F2091" s="3">
        <v>10.559999999999899</v>
      </c>
    </row>
    <row r="2092" spans="1:6" x14ac:dyDescent="0.3">
      <c r="A2092" s="1" t="s">
        <v>13</v>
      </c>
      <c r="B2092" s="1" t="s">
        <v>50</v>
      </c>
      <c r="C2092" s="2" t="s">
        <v>12</v>
      </c>
      <c r="D2092" s="1" t="s">
        <v>11</v>
      </c>
      <c r="E2092" s="1" t="s">
        <v>48</v>
      </c>
      <c r="F2092" s="1">
        <v>2279880.4</v>
      </c>
    </row>
    <row r="2093" spans="1:6" x14ac:dyDescent="0.3">
      <c r="A2093" s="3" t="s">
        <v>13</v>
      </c>
      <c r="B2093" s="3" t="s">
        <v>50</v>
      </c>
      <c r="C2093" s="4" t="s">
        <v>12</v>
      </c>
      <c r="D2093" s="3" t="s">
        <v>11</v>
      </c>
      <c r="E2093" s="3" t="s">
        <v>49</v>
      </c>
      <c r="F2093" s="3">
        <v>-6.83011952217361</v>
      </c>
    </row>
    <row r="2094" spans="1:6" x14ac:dyDescent="0.3">
      <c r="A2094" s="1" t="s">
        <v>13</v>
      </c>
      <c r="B2094" s="1" t="s">
        <v>50</v>
      </c>
      <c r="C2094" s="2" t="s">
        <v>12</v>
      </c>
      <c r="D2094" s="1" t="s">
        <v>1</v>
      </c>
      <c r="E2094" s="1" t="s">
        <v>44</v>
      </c>
      <c r="F2094" s="1">
        <v>-2419663.3499999898</v>
      </c>
    </row>
    <row r="2095" spans="1:6" x14ac:dyDescent="0.3">
      <c r="A2095" s="3" t="s">
        <v>13</v>
      </c>
      <c r="B2095" s="3" t="s">
        <v>50</v>
      </c>
      <c r="C2095" s="4" t="s">
        <v>12</v>
      </c>
      <c r="D2095" s="3" t="s">
        <v>1</v>
      </c>
      <c r="E2095" s="3" t="s">
        <v>45</v>
      </c>
      <c r="F2095" s="3">
        <v>56117.249999999898</v>
      </c>
    </row>
    <row r="2096" spans="1:6" x14ac:dyDescent="0.3">
      <c r="A2096" s="1" t="s">
        <v>13</v>
      </c>
      <c r="B2096" s="1" t="s">
        <v>50</v>
      </c>
      <c r="C2096" s="2" t="s">
        <v>12</v>
      </c>
      <c r="D2096" s="1" t="s">
        <v>1</v>
      </c>
      <c r="E2096" s="1" t="s">
        <v>46</v>
      </c>
      <c r="F2096" s="1">
        <v>108180</v>
      </c>
    </row>
    <row r="2097" spans="1:6" x14ac:dyDescent="0.3">
      <c r="A2097" s="3" t="s">
        <v>13</v>
      </c>
      <c r="B2097" s="3" t="s">
        <v>50</v>
      </c>
      <c r="C2097" s="4" t="s">
        <v>12</v>
      </c>
      <c r="D2097" s="3" t="s">
        <v>1</v>
      </c>
      <c r="E2097" s="3" t="s">
        <v>47</v>
      </c>
      <c r="F2097" s="3">
        <v>31.1999999999999</v>
      </c>
    </row>
    <row r="2098" spans="1:6" x14ac:dyDescent="0.3">
      <c r="A2098" s="1" t="s">
        <v>13</v>
      </c>
      <c r="B2098" s="1" t="s">
        <v>50</v>
      </c>
      <c r="C2098" s="2" t="s">
        <v>12</v>
      </c>
      <c r="D2098" s="1" t="s">
        <v>1</v>
      </c>
      <c r="E2098" s="1" t="s">
        <v>48</v>
      </c>
      <c r="F2098" s="1">
        <v>2367569.3999999901</v>
      </c>
    </row>
    <row r="2099" spans="1:6" x14ac:dyDescent="0.3">
      <c r="A2099" s="3" t="s">
        <v>13</v>
      </c>
      <c r="B2099" s="3" t="s">
        <v>50</v>
      </c>
      <c r="C2099" s="4" t="s">
        <v>12</v>
      </c>
      <c r="D2099" s="3" t="s">
        <v>1</v>
      </c>
      <c r="E2099" s="3" t="s">
        <v>49</v>
      </c>
      <c r="F2099" s="3">
        <v>-43.117995803429402</v>
      </c>
    </row>
    <row r="2100" spans="1:6" x14ac:dyDescent="0.3">
      <c r="A2100" s="1" t="s">
        <v>13</v>
      </c>
      <c r="B2100" s="1" t="s">
        <v>50</v>
      </c>
      <c r="C2100" s="2" t="s">
        <v>12</v>
      </c>
      <c r="D2100" s="1" t="s">
        <v>6</v>
      </c>
      <c r="E2100" s="1" t="s">
        <v>44</v>
      </c>
      <c r="F2100" s="1">
        <v>-2419663.3499999898</v>
      </c>
    </row>
    <row r="2101" spans="1:6" x14ac:dyDescent="0.3">
      <c r="A2101" s="3" t="s">
        <v>13</v>
      </c>
      <c r="B2101" s="3" t="s">
        <v>50</v>
      </c>
      <c r="C2101" s="4" t="s">
        <v>12</v>
      </c>
      <c r="D2101" s="3" t="s">
        <v>6</v>
      </c>
      <c r="E2101" s="3" t="s">
        <v>45</v>
      </c>
      <c r="F2101" s="3">
        <v>56117.249999999898</v>
      </c>
    </row>
    <row r="2102" spans="1:6" x14ac:dyDescent="0.3">
      <c r="A2102" s="1" t="s">
        <v>13</v>
      </c>
      <c r="B2102" s="1" t="s">
        <v>50</v>
      </c>
      <c r="C2102" s="2" t="s">
        <v>12</v>
      </c>
      <c r="D2102" s="1" t="s">
        <v>6</v>
      </c>
      <c r="E2102" s="1" t="s">
        <v>46</v>
      </c>
      <c r="F2102" s="1">
        <v>108180</v>
      </c>
    </row>
    <row r="2103" spans="1:6" x14ac:dyDescent="0.3">
      <c r="A2103" s="3" t="s">
        <v>13</v>
      </c>
      <c r="B2103" s="3" t="s">
        <v>50</v>
      </c>
      <c r="C2103" s="4" t="s">
        <v>12</v>
      </c>
      <c r="D2103" s="3" t="s">
        <v>6</v>
      </c>
      <c r="E2103" s="3" t="s">
        <v>47</v>
      </c>
      <c r="F2103" s="3">
        <v>31.1999999999999</v>
      </c>
    </row>
    <row r="2104" spans="1:6" x14ac:dyDescent="0.3">
      <c r="A2104" s="1" t="s">
        <v>13</v>
      </c>
      <c r="B2104" s="1" t="s">
        <v>50</v>
      </c>
      <c r="C2104" s="2" t="s">
        <v>12</v>
      </c>
      <c r="D2104" s="1" t="s">
        <v>6</v>
      </c>
      <c r="E2104" s="1" t="s">
        <v>48</v>
      </c>
      <c r="F2104" s="1">
        <v>2367569.3999999901</v>
      </c>
    </row>
    <row r="2105" spans="1:6" x14ac:dyDescent="0.3">
      <c r="A2105" s="3" t="s">
        <v>13</v>
      </c>
      <c r="B2105" s="3" t="s">
        <v>50</v>
      </c>
      <c r="C2105" s="4" t="s">
        <v>12</v>
      </c>
      <c r="D2105" s="3" t="s">
        <v>6</v>
      </c>
      <c r="E2105" s="3" t="s">
        <v>49</v>
      </c>
      <c r="F2105" s="3">
        <v>-43.117995803429402</v>
      </c>
    </row>
    <row r="2106" spans="1:6" x14ac:dyDescent="0.3">
      <c r="A2106" s="1" t="s">
        <v>13</v>
      </c>
      <c r="B2106" s="1" t="s">
        <v>50</v>
      </c>
      <c r="C2106" s="2" t="s">
        <v>12</v>
      </c>
      <c r="D2106" s="1" t="s">
        <v>9</v>
      </c>
      <c r="E2106" s="1" t="s">
        <v>44</v>
      </c>
      <c r="F2106" s="1">
        <v>-2382251.8499999898</v>
      </c>
    </row>
    <row r="2107" spans="1:6" x14ac:dyDescent="0.3">
      <c r="A2107" s="3" t="s">
        <v>13</v>
      </c>
      <c r="B2107" s="3" t="s">
        <v>50</v>
      </c>
      <c r="C2107" s="4" t="s">
        <v>12</v>
      </c>
      <c r="D2107" s="3" t="s">
        <v>9</v>
      </c>
      <c r="E2107" s="3" t="s">
        <v>45</v>
      </c>
      <c r="F2107" s="3">
        <v>93528.749999999898</v>
      </c>
    </row>
    <row r="2108" spans="1:6" x14ac:dyDescent="0.3">
      <c r="A2108" s="1" t="s">
        <v>13</v>
      </c>
      <c r="B2108" s="1" t="s">
        <v>50</v>
      </c>
      <c r="C2108" s="2" t="s">
        <v>12</v>
      </c>
      <c r="D2108" s="1" t="s">
        <v>9</v>
      </c>
      <c r="E2108" s="1" t="s">
        <v>46</v>
      </c>
      <c r="F2108" s="1">
        <v>108180</v>
      </c>
    </row>
    <row r="2109" spans="1:6" x14ac:dyDescent="0.3">
      <c r="A2109" s="3" t="s">
        <v>13</v>
      </c>
      <c r="B2109" s="3" t="s">
        <v>50</v>
      </c>
      <c r="C2109" s="4" t="s">
        <v>12</v>
      </c>
      <c r="D2109" s="3" t="s">
        <v>9</v>
      </c>
      <c r="E2109" s="3" t="s">
        <v>47</v>
      </c>
      <c r="F2109" s="3">
        <v>31.1999999999999</v>
      </c>
    </row>
    <row r="2110" spans="1:6" x14ac:dyDescent="0.3">
      <c r="A2110" s="1" t="s">
        <v>13</v>
      </c>
      <c r="B2110" s="1" t="s">
        <v>50</v>
      </c>
      <c r="C2110" s="2" t="s">
        <v>12</v>
      </c>
      <c r="D2110" s="1" t="s">
        <v>9</v>
      </c>
      <c r="E2110" s="1" t="s">
        <v>48</v>
      </c>
      <c r="F2110" s="1">
        <v>2367569.3999999901</v>
      </c>
    </row>
    <row r="2111" spans="1:6" x14ac:dyDescent="0.3">
      <c r="A2111" s="3" t="s">
        <v>13</v>
      </c>
      <c r="B2111" s="3" t="s">
        <v>50</v>
      </c>
      <c r="C2111" s="4" t="s">
        <v>12</v>
      </c>
      <c r="D2111" s="3" t="s">
        <v>9</v>
      </c>
      <c r="E2111" s="3" t="s">
        <v>49</v>
      </c>
      <c r="F2111" s="3">
        <v>-25.470797482057598</v>
      </c>
    </row>
    <row r="2112" spans="1:6" x14ac:dyDescent="0.3">
      <c r="A2112" s="1" t="s">
        <v>13</v>
      </c>
      <c r="B2112" s="1" t="s">
        <v>50</v>
      </c>
      <c r="C2112" s="2" t="s">
        <v>12</v>
      </c>
      <c r="D2112" s="1" t="s">
        <v>11</v>
      </c>
      <c r="E2112" s="1" t="s">
        <v>44</v>
      </c>
      <c r="F2112" s="1">
        <v>-2363546.1</v>
      </c>
    </row>
    <row r="2113" spans="1:6" x14ac:dyDescent="0.3">
      <c r="A2113" s="3" t="s">
        <v>13</v>
      </c>
      <c r="B2113" s="3" t="s">
        <v>50</v>
      </c>
      <c r="C2113" s="4" t="s">
        <v>12</v>
      </c>
      <c r="D2113" s="3" t="s">
        <v>11</v>
      </c>
      <c r="E2113" s="3" t="s">
        <v>45</v>
      </c>
      <c r="F2113" s="3">
        <v>112234.499999999</v>
      </c>
    </row>
    <row r="2114" spans="1:6" x14ac:dyDescent="0.3">
      <c r="A2114" s="1" t="s">
        <v>13</v>
      </c>
      <c r="B2114" s="1" t="s">
        <v>50</v>
      </c>
      <c r="C2114" s="2" t="s">
        <v>12</v>
      </c>
      <c r="D2114" s="1" t="s">
        <v>11</v>
      </c>
      <c r="E2114" s="1" t="s">
        <v>46</v>
      </c>
      <c r="F2114" s="1">
        <v>108180</v>
      </c>
    </row>
    <row r="2115" spans="1:6" x14ac:dyDescent="0.3">
      <c r="A2115" s="3" t="s">
        <v>13</v>
      </c>
      <c r="B2115" s="3" t="s">
        <v>50</v>
      </c>
      <c r="C2115" s="4" t="s">
        <v>12</v>
      </c>
      <c r="D2115" s="3" t="s">
        <v>11</v>
      </c>
      <c r="E2115" s="3" t="s">
        <v>47</v>
      </c>
      <c r="F2115" s="3">
        <v>31.1999999999999</v>
      </c>
    </row>
    <row r="2116" spans="1:6" x14ac:dyDescent="0.3">
      <c r="A2116" s="1" t="s">
        <v>13</v>
      </c>
      <c r="B2116" s="1" t="s">
        <v>50</v>
      </c>
      <c r="C2116" s="2" t="s">
        <v>12</v>
      </c>
      <c r="D2116" s="1" t="s">
        <v>11</v>
      </c>
      <c r="E2116" s="1" t="s">
        <v>48</v>
      </c>
      <c r="F2116" s="1">
        <v>2367569.3999999901</v>
      </c>
    </row>
    <row r="2117" spans="1:6" x14ac:dyDescent="0.3">
      <c r="A2117" s="3" t="s">
        <v>13</v>
      </c>
      <c r="B2117" s="3" t="s">
        <v>50</v>
      </c>
      <c r="C2117" s="4" t="s">
        <v>12</v>
      </c>
      <c r="D2117" s="3" t="s">
        <v>11</v>
      </c>
      <c r="E2117" s="3" t="s">
        <v>49</v>
      </c>
      <c r="F2117" s="3">
        <v>-21.058997901714701</v>
      </c>
    </row>
    <row r="2118" spans="1:6" x14ac:dyDescent="0.3">
      <c r="A2118" s="1" t="s">
        <v>13</v>
      </c>
      <c r="B2118" s="1" t="s">
        <v>50</v>
      </c>
      <c r="C2118" s="2" t="s">
        <v>12</v>
      </c>
      <c r="D2118" s="1" t="s">
        <v>1</v>
      </c>
      <c r="E2118" s="1" t="s">
        <v>44</v>
      </c>
      <c r="F2118" s="1">
        <v>58684.5</v>
      </c>
    </row>
    <row r="2119" spans="1:6" x14ac:dyDescent="0.3">
      <c r="A2119" s="3" t="s">
        <v>13</v>
      </c>
      <c r="B2119" s="3" t="s">
        <v>50</v>
      </c>
      <c r="C2119" s="4" t="s">
        <v>12</v>
      </c>
      <c r="D2119" s="3" t="s">
        <v>1</v>
      </c>
      <c r="E2119" s="3" t="s">
        <v>45</v>
      </c>
      <c r="F2119" s="3">
        <v>58684.5</v>
      </c>
    </row>
    <row r="2120" spans="1:6" x14ac:dyDescent="0.3">
      <c r="A2120" s="1" t="s">
        <v>13</v>
      </c>
      <c r="B2120" s="1" t="s">
        <v>50</v>
      </c>
      <c r="C2120" s="2" t="s">
        <v>12</v>
      </c>
      <c r="D2120" s="1" t="s">
        <v>1</v>
      </c>
      <c r="E2120" s="1" t="s">
        <v>49</v>
      </c>
      <c r="F2120" s="1">
        <v>1</v>
      </c>
    </row>
    <row r="2121" spans="1:6" x14ac:dyDescent="0.3">
      <c r="A2121" s="3" t="s">
        <v>13</v>
      </c>
      <c r="B2121" s="3" t="s">
        <v>50</v>
      </c>
      <c r="C2121" s="4" t="s">
        <v>12</v>
      </c>
      <c r="D2121" s="3" t="s">
        <v>6</v>
      </c>
      <c r="E2121" s="3" t="s">
        <v>44</v>
      </c>
      <c r="F2121" s="3">
        <v>58684.5</v>
      </c>
    </row>
    <row r="2122" spans="1:6" x14ac:dyDescent="0.3">
      <c r="A2122" s="1" t="s">
        <v>13</v>
      </c>
      <c r="B2122" s="1" t="s">
        <v>50</v>
      </c>
      <c r="C2122" s="2" t="s">
        <v>12</v>
      </c>
      <c r="D2122" s="1" t="s">
        <v>6</v>
      </c>
      <c r="E2122" s="1" t="s">
        <v>45</v>
      </c>
      <c r="F2122" s="1">
        <v>58684.5</v>
      </c>
    </row>
    <row r="2123" spans="1:6" x14ac:dyDescent="0.3">
      <c r="A2123" s="3" t="s">
        <v>13</v>
      </c>
      <c r="B2123" s="3" t="s">
        <v>50</v>
      </c>
      <c r="C2123" s="4" t="s">
        <v>12</v>
      </c>
      <c r="D2123" s="3" t="s">
        <v>6</v>
      </c>
      <c r="E2123" s="3" t="s">
        <v>49</v>
      </c>
      <c r="F2123" s="3">
        <v>1</v>
      </c>
    </row>
    <row r="2124" spans="1:6" x14ac:dyDescent="0.3">
      <c r="A2124" s="1" t="s">
        <v>13</v>
      </c>
      <c r="B2124" s="1" t="s">
        <v>50</v>
      </c>
      <c r="C2124" s="2" t="s">
        <v>12</v>
      </c>
      <c r="D2124" s="1" t="s">
        <v>9</v>
      </c>
      <c r="E2124" s="1" t="s">
        <v>44</v>
      </c>
      <c r="F2124" s="1">
        <v>97807.499999999898</v>
      </c>
    </row>
    <row r="2125" spans="1:6" x14ac:dyDescent="0.3">
      <c r="A2125" s="3" t="s">
        <v>13</v>
      </c>
      <c r="B2125" s="3" t="s">
        <v>50</v>
      </c>
      <c r="C2125" s="4" t="s">
        <v>12</v>
      </c>
      <c r="D2125" s="3" t="s">
        <v>9</v>
      </c>
      <c r="E2125" s="3" t="s">
        <v>45</v>
      </c>
      <c r="F2125" s="3">
        <v>97807.499999999898</v>
      </c>
    </row>
    <row r="2126" spans="1:6" x14ac:dyDescent="0.3">
      <c r="A2126" s="1" t="s">
        <v>13</v>
      </c>
      <c r="B2126" s="1" t="s">
        <v>50</v>
      </c>
      <c r="C2126" s="2" t="s">
        <v>12</v>
      </c>
      <c r="D2126" s="1" t="s">
        <v>9</v>
      </c>
      <c r="E2126" s="1" t="s">
        <v>49</v>
      </c>
      <c r="F2126" s="1">
        <v>1</v>
      </c>
    </row>
    <row r="2127" spans="1:6" x14ac:dyDescent="0.3">
      <c r="A2127" s="3" t="s">
        <v>13</v>
      </c>
      <c r="B2127" s="3" t="s">
        <v>50</v>
      </c>
      <c r="C2127" s="4" t="s">
        <v>12</v>
      </c>
      <c r="D2127" s="3" t="s">
        <v>11</v>
      </c>
      <c r="E2127" s="3" t="s">
        <v>44</v>
      </c>
      <c r="F2127" s="3">
        <v>117369</v>
      </c>
    </row>
    <row r="2128" spans="1:6" x14ac:dyDescent="0.3">
      <c r="A2128" s="1" t="s">
        <v>13</v>
      </c>
      <c r="B2128" s="1" t="s">
        <v>50</v>
      </c>
      <c r="C2128" s="2" t="s">
        <v>12</v>
      </c>
      <c r="D2128" s="1" t="s">
        <v>11</v>
      </c>
      <c r="E2128" s="1" t="s">
        <v>45</v>
      </c>
      <c r="F2128" s="1">
        <v>117369</v>
      </c>
    </row>
    <row r="2129" spans="1:6" x14ac:dyDescent="0.3">
      <c r="A2129" s="3" t="s">
        <v>13</v>
      </c>
      <c r="B2129" s="3" t="s">
        <v>50</v>
      </c>
      <c r="C2129" s="4" t="s">
        <v>12</v>
      </c>
      <c r="D2129" s="3" t="s">
        <v>11</v>
      </c>
      <c r="E2129" s="3" t="s">
        <v>49</v>
      </c>
      <c r="F2129" s="3">
        <v>1</v>
      </c>
    </row>
    <row r="2130" spans="1:6" x14ac:dyDescent="0.3">
      <c r="A2130" s="1" t="s">
        <v>13</v>
      </c>
      <c r="B2130" s="1" t="s">
        <v>50</v>
      </c>
      <c r="C2130" s="2" t="s">
        <v>12</v>
      </c>
      <c r="D2130" s="1" t="s">
        <v>1</v>
      </c>
      <c r="E2130" s="1" t="s">
        <v>44</v>
      </c>
      <c r="F2130" s="1">
        <v>-1954809.3999999899</v>
      </c>
    </row>
    <row r="2131" spans="1:6" x14ac:dyDescent="0.3">
      <c r="A2131" s="3" t="s">
        <v>13</v>
      </c>
      <c r="B2131" s="3" t="s">
        <v>50</v>
      </c>
      <c r="C2131" s="4" t="s">
        <v>12</v>
      </c>
      <c r="D2131" s="3" t="s">
        <v>1</v>
      </c>
      <c r="E2131" s="3" t="s">
        <v>45</v>
      </c>
      <c r="F2131" s="3">
        <v>127575</v>
      </c>
    </row>
    <row r="2132" spans="1:6" x14ac:dyDescent="0.3">
      <c r="A2132" s="1" t="s">
        <v>13</v>
      </c>
      <c r="B2132" s="1" t="s">
        <v>50</v>
      </c>
      <c r="C2132" s="2" t="s">
        <v>12</v>
      </c>
      <c r="D2132" s="1" t="s">
        <v>1</v>
      </c>
      <c r="E2132" s="1" t="s">
        <v>46</v>
      </c>
      <c r="F2132" s="1">
        <v>233142</v>
      </c>
    </row>
    <row r="2133" spans="1:6" x14ac:dyDescent="0.3">
      <c r="A2133" s="3" t="s">
        <v>13</v>
      </c>
      <c r="B2133" s="3" t="s">
        <v>50</v>
      </c>
      <c r="C2133" s="4" t="s">
        <v>12</v>
      </c>
      <c r="D2133" s="3" t="s">
        <v>1</v>
      </c>
      <c r="E2133" s="3" t="s">
        <v>47</v>
      </c>
      <c r="F2133" s="3">
        <v>7800</v>
      </c>
    </row>
    <row r="2134" spans="1:6" x14ac:dyDescent="0.3">
      <c r="A2134" s="1" t="s">
        <v>13</v>
      </c>
      <c r="B2134" s="1" t="s">
        <v>50</v>
      </c>
      <c r="C2134" s="2" t="s">
        <v>12</v>
      </c>
      <c r="D2134" s="1" t="s">
        <v>1</v>
      </c>
      <c r="E2134" s="1" t="s">
        <v>48</v>
      </c>
      <c r="F2134" s="1">
        <v>1841442.3999999899</v>
      </c>
    </row>
    <row r="2135" spans="1:6" x14ac:dyDescent="0.3">
      <c r="A2135" s="3" t="s">
        <v>13</v>
      </c>
      <c r="B2135" s="3" t="s">
        <v>50</v>
      </c>
      <c r="C2135" s="4" t="s">
        <v>12</v>
      </c>
      <c r="D2135" s="3" t="s">
        <v>1</v>
      </c>
      <c r="E2135" s="3" t="s">
        <v>49</v>
      </c>
      <c r="F2135" s="3">
        <v>-15.322825004899</v>
      </c>
    </row>
    <row r="2136" spans="1:6" x14ac:dyDescent="0.3">
      <c r="A2136" s="1" t="s">
        <v>13</v>
      </c>
      <c r="B2136" s="1" t="s">
        <v>50</v>
      </c>
      <c r="C2136" s="2" t="s">
        <v>12</v>
      </c>
      <c r="D2136" s="1" t="s">
        <v>6</v>
      </c>
      <c r="E2136" s="1" t="s">
        <v>44</v>
      </c>
      <c r="F2136" s="1">
        <v>-2054966.3999999899</v>
      </c>
    </row>
    <row r="2137" spans="1:6" x14ac:dyDescent="0.3">
      <c r="A2137" s="3" t="s">
        <v>13</v>
      </c>
      <c r="B2137" s="3" t="s">
        <v>50</v>
      </c>
      <c r="C2137" s="4" t="s">
        <v>12</v>
      </c>
      <c r="D2137" s="3" t="s">
        <v>6</v>
      </c>
      <c r="E2137" s="3" t="s">
        <v>45</v>
      </c>
      <c r="F2137" s="3">
        <v>127575</v>
      </c>
    </row>
    <row r="2138" spans="1:6" x14ac:dyDescent="0.3">
      <c r="A2138" s="1" t="s">
        <v>13</v>
      </c>
      <c r="B2138" s="1" t="s">
        <v>50</v>
      </c>
      <c r="C2138" s="2" t="s">
        <v>12</v>
      </c>
      <c r="D2138" s="1" t="s">
        <v>6</v>
      </c>
      <c r="E2138" s="1" t="s">
        <v>46</v>
      </c>
      <c r="F2138" s="1">
        <v>224175</v>
      </c>
    </row>
    <row r="2139" spans="1:6" x14ac:dyDescent="0.3">
      <c r="A2139" s="3" t="s">
        <v>13</v>
      </c>
      <c r="B2139" s="3" t="s">
        <v>50</v>
      </c>
      <c r="C2139" s="4" t="s">
        <v>12</v>
      </c>
      <c r="D2139" s="3" t="s">
        <v>6</v>
      </c>
      <c r="E2139" s="3" t="s">
        <v>47</v>
      </c>
      <c r="F2139" s="3">
        <v>11700</v>
      </c>
    </row>
    <row r="2140" spans="1:6" x14ac:dyDescent="0.3">
      <c r="A2140" s="1" t="s">
        <v>13</v>
      </c>
      <c r="B2140" s="1" t="s">
        <v>50</v>
      </c>
      <c r="C2140" s="2" t="s">
        <v>12</v>
      </c>
      <c r="D2140" s="1" t="s">
        <v>6</v>
      </c>
      <c r="E2140" s="1" t="s">
        <v>48</v>
      </c>
      <c r="F2140" s="1">
        <v>1946666.3999999899</v>
      </c>
    </row>
    <row r="2141" spans="1:6" x14ac:dyDescent="0.3">
      <c r="A2141" s="3" t="s">
        <v>13</v>
      </c>
      <c r="B2141" s="3" t="s">
        <v>50</v>
      </c>
      <c r="C2141" s="4" t="s">
        <v>12</v>
      </c>
      <c r="D2141" s="3" t="s">
        <v>6</v>
      </c>
      <c r="E2141" s="3" t="s">
        <v>49</v>
      </c>
      <c r="F2141" s="3">
        <v>-16.1079082892416</v>
      </c>
    </row>
    <row r="2142" spans="1:6" x14ac:dyDescent="0.3">
      <c r="A2142" s="1" t="s">
        <v>13</v>
      </c>
      <c r="B2142" s="1" t="s">
        <v>50</v>
      </c>
      <c r="C2142" s="2" t="s">
        <v>12</v>
      </c>
      <c r="D2142" s="1" t="s">
        <v>9</v>
      </c>
      <c r="E2142" s="1" t="s">
        <v>44</v>
      </c>
      <c r="F2142" s="1">
        <v>-2234639.1999999899</v>
      </c>
    </row>
    <row r="2143" spans="1:6" x14ac:dyDescent="0.3">
      <c r="A2143" s="3" t="s">
        <v>13</v>
      </c>
      <c r="B2143" s="3" t="s">
        <v>50</v>
      </c>
      <c r="C2143" s="4" t="s">
        <v>12</v>
      </c>
      <c r="D2143" s="3" t="s">
        <v>9</v>
      </c>
      <c r="E2143" s="3" t="s">
        <v>45</v>
      </c>
      <c r="F2143" s="3">
        <v>127575</v>
      </c>
    </row>
    <row r="2144" spans="1:6" x14ac:dyDescent="0.3">
      <c r="A2144" s="1" t="s">
        <v>13</v>
      </c>
      <c r="B2144" s="1" t="s">
        <v>50</v>
      </c>
      <c r="C2144" s="2" t="s">
        <v>12</v>
      </c>
      <c r="D2144" s="1" t="s">
        <v>9</v>
      </c>
      <c r="E2144" s="1" t="s">
        <v>46</v>
      </c>
      <c r="F2144" s="1">
        <v>242109</v>
      </c>
    </row>
    <row r="2145" spans="1:6" x14ac:dyDescent="0.3">
      <c r="A2145" s="3" t="s">
        <v>13</v>
      </c>
      <c r="B2145" s="3" t="s">
        <v>50</v>
      </c>
      <c r="C2145" s="4" t="s">
        <v>12</v>
      </c>
      <c r="D2145" s="3" t="s">
        <v>9</v>
      </c>
      <c r="E2145" s="3" t="s">
        <v>47</v>
      </c>
      <c r="F2145" s="3">
        <v>15600</v>
      </c>
    </row>
    <row r="2146" spans="1:6" x14ac:dyDescent="0.3">
      <c r="A2146" s="1" t="s">
        <v>13</v>
      </c>
      <c r="B2146" s="1" t="s">
        <v>50</v>
      </c>
      <c r="C2146" s="2" t="s">
        <v>12</v>
      </c>
      <c r="D2146" s="1" t="s">
        <v>9</v>
      </c>
      <c r="E2146" s="1" t="s">
        <v>48</v>
      </c>
      <c r="F2146" s="1">
        <v>2104505.1999999899</v>
      </c>
    </row>
    <row r="2147" spans="1:6" x14ac:dyDescent="0.3">
      <c r="A2147" s="3" t="s">
        <v>13</v>
      </c>
      <c r="B2147" s="3" t="s">
        <v>50</v>
      </c>
      <c r="C2147" s="4" t="s">
        <v>12</v>
      </c>
      <c r="D2147" s="3" t="s">
        <v>9</v>
      </c>
      <c r="E2147" s="3" t="s">
        <v>49</v>
      </c>
      <c r="F2147" s="3">
        <v>-17.5162782676856</v>
      </c>
    </row>
    <row r="2148" spans="1:6" x14ac:dyDescent="0.3">
      <c r="A2148" s="1" t="s">
        <v>13</v>
      </c>
      <c r="B2148" s="1" t="s">
        <v>50</v>
      </c>
      <c r="C2148" s="2" t="s">
        <v>12</v>
      </c>
      <c r="D2148" s="1" t="s">
        <v>11</v>
      </c>
      <c r="E2148" s="1" t="s">
        <v>44</v>
      </c>
      <c r="F2148" s="1">
        <v>-2388995.7999999998</v>
      </c>
    </row>
    <row r="2149" spans="1:6" x14ac:dyDescent="0.3">
      <c r="A2149" s="3" t="s">
        <v>13</v>
      </c>
      <c r="B2149" s="3" t="s">
        <v>50</v>
      </c>
      <c r="C2149" s="4" t="s">
        <v>12</v>
      </c>
      <c r="D2149" s="3" t="s">
        <v>11</v>
      </c>
      <c r="E2149" s="3" t="s">
        <v>45</v>
      </c>
      <c r="F2149" s="3">
        <v>127575</v>
      </c>
    </row>
    <row r="2150" spans="1:6" x14ac:dyDescent="0.3">
      <c r="A2150" s="1" t="s">
        <v>13</v>
      </c>
      <c r="B2150" s="1" t="s">
        <v>50</v>
      </c>
      <c r="C2150" s="2" t="s">
        <v>12</v>
      </c>
      <c r="D2150" s="1" t="s">
        <v>11</v>
      </c>
      <c r="E2150" s="1" t="s">
        <v>46</v>
      </c>
      <c r="F2150" s="1">
        <v>304878</v>
      </c>
    </row>
    <row r="2151" spans="1:6" x14ac:dyDescent="0.3">
      <c r="A2151" s="3" t="s">
        <v>13</v>
      </c>
      <c r="B2151" s="3" t="s">
        <v>50</v>
      </c>
      <c r="C2151" s="4" t="s">
        <v>12</v>
      </c>
      <c r="D2151" s="3" t="s">
        <v>11</v>
      </c>
      <c r="E2151" s="3" t="s">
        <v>47</v>
      </c>
      <c r="F2151" s="3">
        <v>19500</v>
      </c>
    </row>
    <row r="2152" spans="1:6" x14ac:dyDescent="0.3">
      <c r="A2152" s="1" t="s">
        <v>13</v>
      </c>
      <c r="B2152" s="1" t="s">
        <v>50</v>
      </c>
      <c r="C2152" s="2" t="s">
        <v>12</v>
      </c>
      <c r="D2152" s="1" t="s">
        <v>11</v>
      </c>
      <c r="E2152" s="1" t="s">
        <v>48</v>
      </c>
      <c r="F2152" s="1">
        <v>2192192.7999999998</v>
      </c>
    </row>
    <row r="2153" spans="1:6" x14ac:dyDescent="0.3">
      <c r="A2153" s="3" t="s">
        <v>13</v>
      </c>
      <c r="B2153" s="3" t="s">
        <v>50</v>
      </c>
      <c r="C2153" s="4" t="s">
        <v>12</v>
      </c>
      <c r="D2153" s="3" t="s">
        <v>11</v>
      </c>
      <c r="E2153" s="3" t="s">
        <v>49</v>
      </c>
      <c r="F2153" s="3">
        <v>-18.7262065451695</v>
      </c>
    </row>
    <row r="2154" spans="1:6" x14ac:dyDescent="0.3">
      <c r="A2154" s="1" t="s">
        <v>13</v>
      </c>
      <c r="B2154" s="1" t="s">
        <v>51</v>
      </c>
      <c r="C2154" s="2" t="s">
        <v>12</v>
      </c>
      <c r="D2154" s="1" t="s">
        <v>1</v>
      </c>
      <c r="E2154" s="1" t="s">
        <v>44</v>
      </c>
      <c r="F2154" s="1">
        <v>-323927.69999999902</v>
      </c>
    </row>
    <row r="2155" spans="1:6" x14ac:dyDescent="0.3">
      <c r="A2155" s="3" t="s">
        <v>13</v>
      </c>
      <c r="B2155" s="3" t="s">
        <v>51</v>
      </c>
      <c r="C2155" s="4" t="s">
        <v>12</v>
      </c>
      <c r="D2155" s="3" t="s">
        <v>1</v>
      </c>
      <c r="E2155" s="3" t="s">
        <v>45</v>
      </c>
      <c r="F2155" s="3">
        <v>49882.5</v>
      </c>
    </row>
    <row r="2156" spans="1:6" x14ac:dyDescent="0.3">
      <c r="A2156" s="1" t="s">
        <v>13</v>
      </c>
      <c r="B2156" s="1" t="s">
        <v>51</v>
      </c>
      <c r="C2156" s="2" t="s">
        <v>12</v>
      </c>
      <c r="D2156" s="1" t="s">
        <v>1</v>
      </c>
      <c r="E2156" s="1" t="s">
        <v>46</v>
      </c>
      <c r="F2156" s="1">
        <v>331779</v>
      </c>
    </row>
    <row r="2157" spans="1:6" x14ac:dyDescent="0.3">
      <c r="A2157" s="3" t="s">
        <v>13</v>
      </c>
      <c r="B2157" s="3" t="s">
        <v>51</v>
      </c>
      <c r="C2157" s="4" t="s">
        <v>12</v>
      </c>
      <c r="D2157" s="3" t="s">
        <v>1</v>
      </c>
      <c r="E2157" s="3" t="s">
        <v>47</v>
      </c>
      <c r="F2157" s="3">
        <v>31.1999999999999</v>
      </c>
    </row>
    <row r="2158" spans="1:6" x14ac:dyDescent="0.3">
      <c r="A2158" s="1" t="s">
        <v>13</v>
      </c>
      <c r="B2158" s="1" t="s">
        <v>51</v>
      </c>
      <c r="C2158" s="2" t="s">
        <v>12</v>
      </c>
      <c r="D2158" s="1" t="s">
        <v>1</v>
      </c>
      <c r="E2158" s="1" t="s">
        <v>48</v>
      </c>
      <c r="F2158" s="1">
        <v>42000</v>
      </c>
    </row>
    <row r="2159" spans="1:6" x14ac:dyDescent="0.3">
      <c r="A2159" s="3" t="s">
        <v>13</v>
      </c>
      <c r="B2159" s="3" t="s">
        <v>51</v>
      </c>
      <c r="C2159" s="4" t="s">
        <v>12</v>
      </c>
      <c r="D2159" s="3" t="s">
        <v>1</v>
      </c>
      <c r="E2159" s="3" t="s">
        <v>49</v>
      </c>
      <c r="F2159" s="3">
        <v>-6.4938144639903701</v>
      </c>
    </row>
    <row r="2160" spans="1:6" x14ac:dyDescent="0.3">
      <c r="A2160" s="1" t="s">
        <v>13</v>
      </c>
      <c r="B2160" s="1" t="s">
        <v>51</v>
      </c>
      <c r="C2160" s="2" t="s">
        <v>12</v>
      </c>
      <c r="D2160" s="1" t="s">
        <v>6</v>
      </c>
      <c r="E2160" s="1" t="s">
        <v>44</v>
      </c>
      <c r="F2160" s="1">
        <v>-359795.69999999902</v>
      </c>
    </row>
    <row r="2161" spans="1:6" x14ac:dyDescent="0.3">
      <c r="A2161" s="3" t="s">
        <v>13</v>
      </c>
      <c r="B2161" s="3" t="s">
        <v>51</v>
      </c>
      <c r="C2161" s="4" t="s">
        <v>12</v>
      </c>
      <c r="D2161" s="3" t="s">
        <v>6</v>
      </c>
      <c r="E2161" s="3" t="s">
        <v>45</v>
      </c>
      <c r="F2161" s="3">
        <v>49882.5</v>
      </c>
    </row>
    <row r="2162" spans="1:6" x14ac:dyDescent="0.3">
      <c r="A2162" s="1" t="s">
        <v>13</v>
      </c>
      <c r="B2162" s="1" t="s">
        <v>51</v>
      </c>
      <c r="C2162" s="2" t="s">
        <v>12</v>
      </c>
      <c r="D2162" s="1" t="s">
        <v>6</v>
      </c>
      <c r="E2162" s="1" t="s">
        <v>46</v>
      </c>
      <c r="F2162" s="1">
        <v>367647</v>
      </c>
    </row>
    <row r="2163" spans="1:6" x14ac:dyDescent="0.3">
      <c r="A2163" s="3" t="s">
        <v>13</v>
      </c>
      <c r="B2163" s="3" t="s">
        <v>51</v>
      </c>
      <c r="C2163" s="4" t="s">
        <v>12</v>
      </c>
      <c r="D2163" s="3" t="s">
        <v>6</v>
      </c>
      <c r="E2163" s="3" t="s">
        <v>47</v>
      </c>
      <c r="F2163" s="3">
        <v>31.1999999999999</v>
      </c>
    </row>
    <row r="2164" spans="1:6" x14ac:dyDescent="0.3">
      <c r="A2164" s="1" t="s">
        <v>13</v>
      </c>
      <c r="B2164" s="1" t="s">
        <v>51</v>
      </c>
      <c r="C2164" s="2" t="s">
        <v>12</v>
      </c>
      <c r="D2164" s="1" t="s">
        <v>6</v>
      </c>
      <c r="E2164" s="1" t="s">
        <v>48</v>
      </c>
      <c r="F2164" s="1">
        <v>42000</v>
      </c>
    </row>
    <row r="2165" spans="1:6" x14ac:dyDescent="0.3">
      <c r="A2165" s="3" t="s">
        <v>13</v>
      </c>
      <c r="B2165" s="3" t="s">
        <v>51</v>
      </c>
      <c r="C2165" s="4" t="s">
        <v>12</v>
      </c>
      <c r="D2165" s="3" t="s">
        <v>6</v>
      </c>
      <c r="E2165" s="3" t="s">
        <v>49</v>
      </c>
      <c r="F2165" s="3">
        <v>-7.21286423094271</v>
      </c>
    </row>
    <row r="2166" spans="1:6" x14ac:dyDescent="0.3">
      <c r="A2166" s="1" t="s">
        <v>13</v>
      </c>
      <c r="B2166" s="1" t="s">
        <v>51</v>
      </c>
      <c r="C2166" s="2" t="s">
        <v>12</v>
      </c>
      <c r="D2166" s="1" t="s">
        <v>9</v>
      </c>
      <c r="E2166" s="1" t="s">
        <v>44</v>
      </c>
      <c r="F2166" s="1">
        <v>-362408.69999999902</v>
      </c>
    </row>
    <row r="2167" spans="1:6" x14ac:dyDescent="0.3">
      <c r="A2167" s="3" t="s">
        <v>13</v>
      </c>
      <c r="B2167" s="3" t="s">
        <v>51</v>
      </c>
      <c r="C2167" s="4" t="s">
        <v>12</v>
      </c>
      <c r="D2167" s="3" t="s">
        <v>9</v>
      </c>
      <c r="E2167" s="3" t="s">
        <v>45</v>
      </c>
      <c r="F2167" s="3">
        <v>83137.5</v>
      </c>
    </row>
    <row r="2168" spans="1:6" x14ac:dyDescent="0.3">
      <c r="A2168" s="1" t="s">
        <v>13</v>
      </c>
      <c r="B2168" s="1" t="s">
        <v>51</v>
      </c>
      <c r="C2168" s="2" t="s">
        <v>12</v>
      </c>
      <c r="D2168" s="1" t="s">
        <v>9</v>
      </c>
      <c r="E2168" s="1" t="s">
        <v>46</v>
      </c>
      <c r="F2168" s="1">
        <v>403515</v>
      </c>
    </row>
    <row r="2169" spans="1:6" x14ac:dyDescent="0.3">
      <c r="A2169" s="3" t="s">
        <v>13</v>
      </c>
      <c r="B2169" s="3" t="s">
        <v>51</v>
      </c>
      <c r="C2169" s="4" t="s">
        <v>12</v>
      </c>
      <c r="D2169" s="3" t="s">
        <v>9</v>
      </c>
      <c r="E2169" s="3" t="s">
        <v>47</v>
      </c>
      <c r="F2169" s="3">
        <v>31.1999999999999</v>
      </c>
    </row>
    <row r="2170" spans="1:6" x14ac:dyDescent="0.3">
      <c r="A2170" s="1" t="s">
        <v>13</v>
      </c>
      <c r="B2170" s="1" t="s">
        <v>51</v>
      </c>
      <c r="C2170" s="2" t="s">
        <v>12</v>
      </c>
      <c r="D2170" s="1" t="s">
        <v>9</v>
      </c>
      <c r="E2170" s="1" t="s">
        <v>48</v>
      </c>
      <c r="F2170" s="1">
        <v>42000</v>
      </c>
    </row>
    <row r="2171" spans="1:6" x14ac:dyDescent="0.3">
      <c r="A2171" s="3" t="s">
        <v>13</v>
      </c>
      <c r="B2171" s="3" t="s">
        <v>51</v>
      </c>
      <c r="C2171" s="4" t="s">
        <v>12</v>
      </c>
      <c r="D2171" s="3" t="s">
        <v>9</v>
      </c>
      <c r="E2171" s="3" t="s">
        <v>49</v>
      </c>
      <c r="F2171" s="3">
        <v>-4.3591483987370303</v>
      </c>
    </row>
    <row r="2172" spans="1:6" x14ac:dyDescent="0.3">
      <c r="A2172" s="1" t="s">
        <v>13</v>
      </c>
      <c r="B2172" s="1" t="s">
        <v>51</v>
      </c>
      <c r="C2172" s="2" t="s">
        <v>12</v>
      </c>
      <c r="D2172" s="1" t="s">
        <v>11</v>
      </c>
      <c r="E2172" s="1" t="s">
        <v>44</v>
      </c>
      <c r="F2172" s="1">
        <v>-283012.19999999902</v>
      </c>
    </row>
    <row r="2173" spans="1:6" x14ac:dyDescent="0.3">
      <c r="A2173" s="3" t="s">
        <v>13</v>
      </c>
      <c r="B2173" s="3" t="s">
        <v>51</v>
      </c>
      <c r="C2173" s="4" t="s">
        <v>12</v>
      </c>
      <c r="D2173" s="3" t="s">
        <v>11</v>
      </c>
      <c r="E2173" s="3" t="s">
        <v>45</v>
      </c>
      <c r="F2173" s="3">
        <v>99765</v>
      </c>
    </row>
    <row r="2174" spans="1:6" x14ac:dyDescent="0.3">
      <c r="A2174" s="1" t="s">
        <v>13</v>
      </c>
      <c r="B2174" s="1" t="s">
        <v>51</v>
      </c>
      <c r="C2174" s="2" t="s">
        <v>12</v>
      </c>
      <c r="D2174" s="1" t="s">
        <v>11</v>
      </c>
      <c r="E2174" s="1" t="s">
        <v>46</v>
      </c>
      <c r="F2174" s="1">
        <v>340746</v>
      </c>
    </row>
    <row r="2175" spans="1:6" x14ac:dyDescent="0.3">
      <c r="A2175" s="3" t="s">
        <v>13</v>
      </c>
      <c r="B2175" s="3" t="s">
        <v>51</v>
      </c>
      <c r="C2175" s="4" t="s">
        <v>12</v>
      </c>
      <c r="D2175" s="3" t="s">
        <v>11</v>
      </c>
      <c r="E2175" s="3" t="s">
        <v>47</v>
      </c>
      <c r="F2175" s="3">
        <v>31.1999999999999</v>
      </c>
    </row>
    <row r="2176" spans="1:6" x14ac:dyDescent="0.3">
      <c r="A2176" s="1" t="s">
        <v>13</v>
      </c>
      <c r="B2176" s="1" t="s">
        <v>51</v>
      </c>
      <c r="C2176" s="2" t="s">
        <v>12</v>
      </c>
      <c r="D2176" s="1" t="s">
        <v>11</v>
      </c>
      <c r="E2176" s="1" t="s">
        <v>48</v>
      </c>
      <c r="F2176" s="1">
        <v>42000</v>
      </c>
    </row>
    <row r="2177" spans="1:6" x14ac:dyDescent="0.3">
      <c r="A2177" s="3" t="s">
        <v>13</v>
      </c>
      <c r="B2177" s="3" t="s">
        <v>51</v>
      </c>
      <c r="C2177" s="4" t="s">
        <v>12</v>
      </c>
      <c r="D2177" s="3" t="s">
        <v>11</v>
      </c>
      <c r="E2177" s="3" t="s">
        <v>49</v>
      </c>
      <c r="F2177" s="3">
        <v>-2.83678845286423</v>
      </c>
    </row>
    <row r="2178" spans="1:6" x14ac:dyDescent="0.3">
      <c r="A2178" s="1" t="s">
        <v>13</v>
      </c>
      <c r="B2178" s="1" t="s">
        <v>51</v>
      </c>
      <c r="C2178" s="2" t="s">
        <v>12</v>
      </c>
      <c r="D2178" s="1" t="s">
        <v>1</v>
      </c>
      <c r="E2178" s="1" t="s">
        <v>44</v>
      </c>
      <c r="F2178" s="1">
        <v>-1750873.6499999899</v>
      </c>
    </row>
    <row r="2179" spans="1:6" x14ac:dyDescent="0.3">
      <c r="A2179" s="3" t="s">
        <v>13</v>
      </c>
      <c r="B2179" s="3" t="s">
        <v>51</v>
      </c>
      <c r="C2179" s="4" t="s">
        <v>12</v>
      </c>
      <c r="D2179" s="3" t="s">
        <v>1</v>
      </c>
      <c r="E2179" s="3" t="s">
        <v>45</v>
      </c>
      <c r="F2179" s="3">
        <v>108438.75</v>
      </c>
    </row>
    <row r="2180" spans="1:6" x14ac:dyDescent="0.3">
      <c r="A2180" s="1" t="s">
        <v>13</v>
      </c>
      <c r="B2180" s="1" t="s">
        <v>51</v>
      </c>
      <c r="C2180" s="2" t="s">
        <v>12</v>
      </c>
      <c r="D2180" s="1" t="s">
        <v>1</v>
      </c>
      <c r="E2180" s="1" t="s">
        <v>46</v>
      </c>
      <c r="F2180" s="1">
        <v>807030</v>
      </c>
    </row>
    <row r="2181" spans="1:6" x14ac:dyDescent="0.3">
      <c r="A2181" s="3" t="s">
        <v>13</v>
      </c>
      <c r="B2181" s="3" t="s">
        <v>51</v>
      </c>
      <c r="C2181" s="4" t="s">
        <v>12</v>
      </c>
      <c r="D2181" s="3" t="s">
        <v>1</v>
      </c>
      <c r="E2181" s="3" t="s">
        <v>47</v>
      </c>
      <c r="F2181" s="3">
        <v>31.1999999999999</v>
      </c>
    </row>
    <row r="2182" spans="1:6" x14ac:dyDescent="0.3">
      <c r="A2182" s="1" t="s">
        <v>13</v>
      </c>
      <c r="B2182" s="1" t="s">
        <v>51</v>
      </c>
      <c r="C2182" s="2" t="s">
        <v>12</v>
      </c>
      <c r="D2182" s="1" t="s">
        <v>1</v>
      </c>
      <c r="E2182" s="1" t="s">
        <v>48</v>
      </c>
      <c r="F2182" s="1">
        <v>1052251.2</v>
      </c>
    </row>
    <row r="2183" spans="1:6" x14ac:dyDescent="0.3">
      <c r="A2183" s="3" t="s">
        <v>13</v>
      </c>
      <c r="B2183" s="3" t="s">
        <v>51</v>
      </c>
      <c r="C2183" s="4" t="s">
        <v>12</v>
      </c>
      <c r="D2183" s="3" t="s">
        <v>1</v>
      </c>
      <c r="E2183" s="3" t="s">
        <v>49</v>
      </c>
      <c r="F2183" s="3">
        <v>-16.146199121623901</v>
      </c>
    </row>
    <row r="2184" spans="1:6" x14ac:dyDescent="0.3">
      <c r="A2184" s="1" t="s">
        <v>13</v>
      </c>
      <c r="B2184" s="1" t="s">
        <v>51</v>
      </c>
      <c r="C2184" s="2" t="s">
        <v>12</v>
      </c>
      <c r="D2184" s="1" t="s">
        <v>6</v>
      </c>
      <c r="E2184" s="1" t="s">
        <v>44</v>
      </c>
      <c r="F2184" s="1">
        <v>-1776544.04999999</v>
      </c>
    </row>
    <row r="2185" spans="1:6" x14ac:dyDescent="0.3">
      <c r="A2185" s="3" t="s">
        <v>13</v>
      </c>
      <c r="B2185" s="3" t="s">
        <v>51</v>
      </c>
      <c r="C2185" s="4" t="s">
        <v>12</v>
      </c>
      <c r="D2185" s="3" t="s">
        <v>6</v>
      </c>
      <c r="E2185" s="3" t="s">
        <v>45</v>
      </c>
      <c r="F2185" s="3">
        <v>108438.75</v>
      </c>
    </row>
    <row r="2186" spans="1:6" x14ac:dyDescent="0.3">
      <c r="A2186" s="1" t="s">
        <v>13</v>
      </c>
      <c r="B2186" s="1" t="s">
        <v>51</v>
      </c>
      <c r="C2186" s="2" t="s">
        <v>12</v>
      </c>
      <c r="D2186" s="1" t="s">
        <v>6</v>
      </c>
      <c r="E2186" s="1" t="s">
        <v>46</v>
      </c>
      <c r="F2186" s="1">
        <v>815997</v>
      </c>
    </row>
    <row r="2187" spans="1:6" x14ac:dyDescent="0.3">
      <c r="A2187" s="3" t="s">
        <v>13</v>
      </c>
      <c r="B2187" s="3" t="s">
        <v>51</v>
      </c>
      <c r="C2187" s="4" t="s">
        <v>12</v>
      </c>
      <c r="D2187" s="3" t="s">
        <v>6</v>
      </c>
      <c r="E2187" s="3" t="s">
        <v>47</v>
      </c>
      <c r="F2187" s="3">
        <v>31.1999999999999</v>
      </c>
    </row>
    <row r="2188" spans="1:6" x14ac:dyDescent="0.3">
      <c r="A2188" s="1" t="s">
        <v>13</v>
      </c>
      <c r="B2188" s="1" t="s">
        <v>51</v>
      </c>
      <c r="C2188" s="2" t="s">
        <v>12</v>
      </c>
      <c r="D2188" s="1" t="s">
        <v>6</v>
      </c>
      <c r="E2188" s="1" t="s">
        <v>48</v>
      </c>
      <c r="F2188" s="1">
        <v>1068954.6000000001</v>
      </c>
    </row>
    <row r="2189" spans="1:6" x14ac:dyDescent="0.3">
      <c r="A2189" s="3" t="s">
        <v>13</v>
      </c>
      <c r="B2189" s="3" t="s">
        <v>51</v>
      </c>
      <c r="C2189" s="4" t="s">
        <v>12</v>
      </c>
      <c r="D2189" s="3" t="s">
        <v>6</v>
      </c>
      <c r="E2189" s="3" t="s">
        <v>49</v>
      </c>
      <c r="F2189" s="3">
        <v>-16.382926306324901</v>
      </c>
    </row>
    <row r="2190" spans="1:6" x14ac:dyDescent="0.3">
      <c r="A2190" s="1" t="s">
        <v>13</v>
      </c>
      <c r="B2190" s="1" t="s">
        <v>51</v>
      </c>
      <c r="C2190" s="2" t="s">
        <v>12</v>
      </c>
      <c r="D2190" s="1" t="s">
        <v>9</v>
      </c>
      <c r="E2190" s="1" t="s">
        <v>44</v>
      </c>
      <c r="F2190" s="1">
        <v>-1861288.85</v>
      </c>
    </row>
    <row r="2191" spans="1:6" x14ac:dyDescent="0.3">
      <c r="A2191" s="3" t="s">
        <v>13</v>
      </c>
      <c r="B2191" s="3" t="s">
        <v>51</v>
      </c>
      <c r="C2191" s="4" t="s">
        <v>12</v>
      </c>
      <c r="D2191" s="3" t="s">
        <v>9</v>
      </c>
      <c r="E2191" s="3" t="s">
        <v>45</v>
      </c>
      <c r="F2191" s="3">
        <v>108438.75</v>
      </c>
    </row>
    <row r="2192" spans="1:6" x14ac:dyDescent="0.3">
      <c r="A2192" s="1" t="s">
        <v>13</v>
      </c>
      <c r="B2192" s="1" t="s">
        <v>51</v>
      </c>
      <c r="C2192" s="2" t="s">
        <v>12</v>
      </c>
      <c r="D2192" s="1" t="s">
        <v>9</v>
      </c>
      <c r="E2192" s="1" t="s">
        <v>46</v>
      </c>
      <c r="F2192" s="1">
        <v>833931</v>
      </c>
    </row>
    <row r="2193" spans="1:6" x14ac:dyDescent="0.3">
      <c r="A2193" s="3" t="s">
        <v>13</v>
      </c>
      <c r="B2193" s="3" t="s">
        <v>51</v>
      </c>
      <c r="C2193" s="4" t="s">
        <v>12</v>
      </c>
      <c r="D2193" s="3" t="s">
        <v>9</v>
      </c>
      <c r="E2193" s="3" t="s">
        <v>47</v>
      </c>
      <c r="F2193" s="3">
        <v>31.1999999999999</v>
      </c>
    </row>
    <row r="2194" spans="1:6" x14ac:dyDescent="0.3">
      <c r="A2194" s="1" t="s">
        <v>13</v>
      </c>
      <c r="B2194" s="1" t="s">
        <v>51</v>
      </c>
      <c r="C2194" s="2" t="s">
        <v>12</v>
      </c>
      <c r="D2194" s="1" t="s">
        <v>9</v>
      </c>
      <c r="E2194" s="1" t="s">
        <v>48</v>
      </c>
      <c r="F2194" s="1">
        <v>1135765.3999999899</v>
      </c>
    </row>
    <row r="2195" spans="1:6" x14ac:dyDescent="0.3">
      <c r="A2195" s="3" t="s">
        <v>13</v>
      </c>
      <c r="B2195" s="3" t="s">
        <v>51</v>
      </c>
      <c r="C2195" s="4" t="s">
        <v>12</v>
      </c>
      <c r="D2195" s="3" t="s">
        <v>9</v>
      </c>
      <c r="E2195" s="3" t="s">
        <v>49</v>
      </c>
      <c r="F2195" s="3">
        <v>-17.164425539763201</v>
      </c>
    </row>
    <row r="2196" spans="1:6" x14ac:dyDescent="0.3">
      <c r="A2196" s="1" t="s">
        <v>13</v>
      </c>
      <c r="B2196" s="1" t="s">
        <v>51</v>
      </c>
      <c r="C2196" s="2" t="s">
        <v>12</v>
      </c>
      <c r="D2196" s="1" t="s">
        <v>11</v>
      </c>
      <c r="E2196" s="1" t="s">
        <v>44</v>
      </c>
      <c r="F2196" s="1">
        <v>-1946030.85</v>
      </c>
    </row>
    <row r="2197" spans="1:6" x14ac:dyDescent="0.3">
      <c r="A2197" s="3" t="s">
        <v>13</v>
      </c>
      <c r="B2197" s="3" t="s">
        <v>51</v>
      </c>
      <c r="C2197" s="4" t="s">
        <v>12</v>
      </c>
      <c r="D2197" s="3" t="s">
        <v>11</v>
      </c>
      <c r="E2197" s="3" t="s">
        <v>45</v>
      </c>
      <c r="F2197" s="3">
        <v>108438.75</v>
      </c>
    </row>
    <row r="2198" spans="1:6" x14ac:dyDescent="0.3">
      <c r="A2198" s="1" t="s">
        <v>13</v>
      </c>
      <c r="B2198" s="1" t="s">
        <v>51</v>
      </c>
      <c r="C2198" s="2" t="s">
        <v>12</v>
      </c>
      <c r="D2198" s="1" t="s">
        <v>11</v>
      </c>
      <c r="E2198" s="1" t="s">
        <v>46</v>
      </c>
      <c r="F2198" s="1">
        <v>851865</v>
      </c>
    </row>
    <row r="2199" spans="1:6" x14ac:dyDescent="0.3">
      <c r="A2199" s="3" t="s">
        <v>13</v>
      </c>
      <c r="B2199" s="3" t="s">
        <v>51</v>
      </c>
      <c r="C2199" s="4" t="s">
        <v>12</v>
      </c>
      <c r="D2199" s="3" t="s">
        <v>11</v>
      </c>
      <c r="E2199" s="3" t="s">
        <v>47</v>
      </c>
      <c r="F2199" s="3">
        <v>31.1999999999999</v>
      </c>
    </row>
    <row r="2200" spans="1:6" x14ac:dyDescent="0.3">
      <c r="A2200" s="1" t="s">
        <v>13</v>
      </c>
      <c r="B2200" s="1" t="s">
        <v>51</v>
      </c>
      <c r="C2200" s="2" t="s">
        <v>12</v>
      </c>
      <c r="D2200" s="1" t="s">
        <v>11</v>
      </c>
      <c r="E2200" s="1" t="s">
        <v>48</v>
      </c>
      <c r="F2200" s="1">
        <v>1202573.3999999899</v>
      </c>
    </row>
    <row r="2201" spans="1:6" x14ac:dyDescent="0.3">
      <c r="A2201" s="3" t="s">
        <v>13</v>
      </c>
      <c r="B2201" s="3" t="s">
        <v>51</v>
      </c>
      <c r="C2201" s="4" t="s">
        <v>12</v>
      </c>
      <c r="D2201" s="3" t="s">
        <v>11</v>
      </c>
      <c r="E2201" s="3" t="s">
        <v>49</v>
      </c>
      <c r="F2201" s="3">
        <v>-17.945898952173401</v>
      </c>
    </row>
    <row r="2202" spans="1:6" x14ac:dyDescent="0.3">
      <c r="A2202" s="1" t="s">
        <v>13</v>
      </c>
      <c r="B2202" s="1" t="s">
        <v>51</v>
      </c>
      <c r="C2202" s="2" t="s">
        <v>12</v>
      </c>
      <c r="D2202" s="1" t="s">
        <v>1</v>
      </c>
      <c r="E2202" s="1" t="s">
        <v>44</v>
      </c>
      <c r="F2202" s="1">
        <v>-154635.44999999899</v>
      </c>
    </row>
    <row r="2203" spans="1:6" x14ac:dyDescent="0.3">
      <c r="A2203" s="3" t="s">
        <v>13</v>
      </c>
      <c r="B2203" s="3" t="s">
        <v>51</v>
      </c>
      <c r="C2203" s="4" t="s">
        <v>12</v>
      </c>
      <c r="D2203" s="3" t="s">
        <v>1</v>
      </c>
      <c r="E2203" s="3" t="s">
        <v>45</v>
      </c>
      <c r="F2203" s="3">
        <v>57408.75</v>
      </c>
    </row>
    <row r="2204" spans="1:6" x14ac:dyDescent="0.3">
      <c r="A2204" s="1" t="s">
        <v>13</v>
      </c>
      <c r="B2204" s="1" t="s">
        <v>51</v>
      </c>
      <c r="C2204" s="2" t="s">
        <v>12</v>
      </c>
      <c r="D2204" s="1" t="s">
        <v>1</v>
      </c>
      <c r="E2204" s="1" t="s">
        <v>46</v>
      </c>
      <c r="F2204" s="1">
        <v>53802</v>
      </c>
    </row>
    <row r="2205" spans="1:6" x14ac:dyDescent="0.3">
      <c r="A2205" s="3" t="s">
        <v>13</v>
      </c>
      <c r="B2205" s="3" t="s">
        <v>51</v>
      </c>
      <c r="C2205" s="4" t="s">
        <v>12</v>
      </c>
      <c r="D2205" s="3" t="s">
        <v>1</v>
      </c>
      <c r="E2205" s="3" t="s">
        <v>47</v>
      </c>
      <c r="F2205" s="3">
        <v>7920</v>
      </c>
    </row>
    <row r="2206" spans="1:6" x14ac:dyDescent="0.3">
      <c r="A2206" s="1" t="s">
        <v>13</v>
      </c>
      <c r="B2206" s="1" t="s">
        <v>51</v>
      </c>
      <c r="C2206" s="2" t="s">
        <v>12</v>
      </c>
      <c r="D2206" s="1" t="s">
        <v>1</v>
      </c>
      <c r="E2206" s="1" t="s">
        <v>48</v>
      </c>
      <c r="F2206" s="1">
        <v>150322.19999999899</v>
      </c>
    </row>
    <row r="2207" spans="1:6" x14ac:dyDescent="0.3">
      <c r="A2207" s="3" t="s">
        <v>13</v>
      </c>
      <c r="B2207" s="3" t="s">
        <v>51</v>
      </c>
      <c r="C2207" s="4" t="s">
        <v>12</v>
      </c>
      <c r="D2207" s="3" t="s">
        <v>1</v>
      </c>
      <c r="E2207" s="3" t="s">
        <v>49</v>
      </c>
      <c r="F2207" s="3">
        <v>-2.6935867790188701</v>
      </c>
    </row>
    <row r="2208" spans="1:6" x14ac:dyDescent="0.3">
      <c r="A2208" s="1" t="s">
        <v>13</v>
      </c>
      <c r="B2208" s="1" t="s">
        <v>51</v>
      </c>
      <c r="C2208" s="2" t="s">
        <v>12</v>
      </c>
      <c r="D2208" s="1" t="s">
        <v>6</v>
      </c>
      <c r="E2208" s="1" t="s">
        <v>44</v>
      </c>
      <c r="F2208" s="1">
        <v>-129892.2</v>
      </c>
    </row>
    <row r="2209" spans="1:6" x14ac:dyDescent="0.3">
      <c r="A2209" s="3" t="s">
        <v>13</v>
      </c>
      <c r="B2209" s="3" t="s">
        <v>51</v>
      </c>
      <c r="C2209" s="4" t="s">
        <v>12</v>
      </c>
      <c r="D2209" s="3" t="s">
        <v>6</v>
      </c>
      <c r="E2209" s="3" t="s">
        <v>45</v>
      </c>
      <c r="F2209" s="3">
        <v>86111.999999999898</v>
      </c>
    </row>
    <row r="2210" spans="1:6" x14ac:dyDescent="0.3">
      <c r="A2210" s="1" t="s">
        <v>13</v>
      </c>
      <c r="B2210" s="1" t="s">
        <v>51</v>
      </c>
      <c r="C2210" s="2" t="s">
        <v>12</v>
      </c>
      <c r="D2210" s="1" t="s">
        <v>6</v>
      </c>
      <c r="E2210" s="1" t="s">
        <v>46</v>
      </c>
      <c r="F2210" s="1">
        <v>53802</v>
      </c>
    </row>
    <row r="2211" spans="1:6" x14ac:dyDescent="0.3">
      <c r="A2211" s="3" t="s">
        <v>13</v>
      </c>
      <c r="B2211" s="3" t="s">
        <v>51</v>
      </c>
      <c r="C2211" s="4" t="s">
        <v>12</v>
      </c>
      <c r="D2211" s="3" t="s">
        <v>6</v>
      </c>
      <c r="E2211" s="3" t="s">
        <v>47</v>
      </c>
      <c r="F2211" s="3">
        <v>11880</v>
      </c>
    </row>
    <row r="2212" spans="1:6" x14ac:dyDescent="0.3">
      <c r="A2212" s="1" t="s">
        <v>13</v>
      </c>
      <c r="B2212" s="1" t="s">
        <v>51</v>
      </c>
      <c r="C2212" s="2" t="s">
        <v>12</v>
      </c>
      <c r="D2212" s="1" t="s">
        <v>6</v>
      </c>
      <c r="E2212" s="1" t="s">
        <v>48</v>
      </c>
      <c r="F2212" s="1">
        <v>150322.19999999899</v>
      </c>
    </row>
    <row r="2213" spans="1:6" x14ac:dyDescent="0.3">
      <c r="A2213" s="3" t="s">
        <v>13</v>
      </c>
      <c r="B2213" s="3" t="s">
        <v>51</v>
      </c>
      <c r="C2213" s="4" t="s">
        <v>12</v>
      </c>
      <c r="D2213" s="3" t="s">
        <v>6</v>
      </c>
      <c r="E2213" s="3" t="s">
        <v>49</v>
      </c>
      <c r="F2213" s="3">
        <v>-1.5084099777034501</v>
      </c>
    </row>
    <row r="2214" spans="1:6" x14ac:dyDescent="0.3">
      <c r="A2214" s="1" t="s">
        <v>13</v>
      </c>
      <c r="B2214" s="1" t="s">
        <v>51</v>
      </c>
      <c r="C2214" s="2" t="s">
        <v>12</v>
      </c>
      <c r="D2214" s="1" t="s">
        <v>9</v>
      </c>
      <c r="E2214" s="1" t="s">
        <v>44</v>
      </c>
      <c r="F2214" s="1">
        <v>-105146.69999999899</v>
      </c>
    </row>
    <row r="2215" spans="1:6" x14ac:dyDescent="0.3">
      <c r="A2215" s="3" t="s">
        <v>13</v>
      </c>
      <c r="B2215" s="3" t="s">
        <v>51</v>
      </c>
      <c r="C2215" s="4" t="s">
        <v>12</v>
      </c>
      <c r="D2215" s="3" t="s">
        <v>9</v>
      </c>
      <c r="E2215" s="3" t="s">
        <v>45</v>
      </c>
      <c r="F2215" s="3">
        <v>114817.5</v>
      </c>
    </row>
    <row r="2216" spans="1:6" x14ac:dyDescent="0.3">
      <c r="A2216" s="1" t="s">
        <v>13</v>
      </c>
      <c r="B2216" s="1" t="s">
        <v>51</v>
      </c>
      <c r="C2216" s="2" t="s">
        <v>12</v>
      </c>
      <c r="D2216" s="1" t="s">
        <v>9</v>
      </c>
      <c r="E2216" s="1" t="s">
        <v>46</v>
      </c>
      <c r="F2216" s="1">
        <v>53802</v>
      </c>
    </row>
    <row r="2217" spans="1:6" x14ac:dyDescent="0.3">
      <c r="A2217" s="3" t="s">
        <v>13</v>
      </c>
      <c r="B2217" s="3" t="s">
        <v>51</v>
      </c>
      <c r="C2217" s="4" t="s">
        <v>12</v>
      </c>
      <c r="D2217" s="3" t="s">
        <v>9</v>
      </c>
      <c r="E2217" s="3" t="s">
        <v>47</v>
      </c>
      <c r="F2217" s="3">
        <v>15840</v>
      </c>
    </row>
    <row r="2218" spans="1:6" x14ac:dyDescent="0.3">
      <c r="A2218" s="1" t="s">
        <v>13</v>
      </c>
      <c r="B2218" s="1" t="s">
        <v>51</v>
      </c>
      <c r="C2218" s="2" t="s">
        <v>12</v>
      </c>
      <c r="D2218" s="1" t="s">
        <v>9</v>
      </c>
      <c r="E2218" s="1" t="s">
        <v>48</v>
      </c>
      <c r="F2218" s="1">
        <v>150322.19999999899</v>
      </c>
    </row>
    <row r="2219" spans="1:6" x14ac:dyDescent="0.3">
      <c r="A2219" s="3" t="s">
        <v>13</v>
      </c>
      <c r="B2219" s="3" t="s">
        <v>51</v>
      </c>
      <c r="C2219" s="4" t="s">
        <v>12</v>
      </c>
      <c r="D2219" s="3" t="s">
        <v>9</v>
      </c>
      <c r="E2219" s="3" t="s">
        <v>49</v>
      </c>
      <c r="F2219" s="3">
        <v>-0.91577242145143301</v>
      </c>
    </row>
    <row r="2220" spans="1:6" x14ac:dyDescent="0.3">
      <c r="A2220" s="1" t="s">
        <v>13</v>
      </c>
      <c r="B2220" s="1" t="s">
        <v>51</v>
      </c>
      <c r="C2220" s="2" t="s">
        <v>12</v>
      </c>
      <c r="D2220" s="1" t="s">
        <v>11</v>
      </c>
      <c r="E2220" s="1" t="s">
        <v>44</v>
      </c>
      <c r="F2220" s="1">
        <v>-80401.2</v>
      </c>
    </row>
    <row r="2221" spans="1:6" x14ac:dyDescent="0.3">
      <c r="A2221" s="3" t="s">
        <v>13</v>
      </c>
      <c r="B2221" s="3" t="s">
        <v>51</v>
      </c>
      <c r="C2221" s="4" t="s">
        <v>12</v>
      </c>
      <c r="D2221" s="3" t="s">
        <v>11</v>
      </c>
      <c r="E2221" s="3" t="s">
        <v>45</v>
      </c>
      <c r="F2221" s="3">
        <v>143522.99999999901</v>
      </c>
    </row>
    <row r="2222" spans="1:6" x14ac:dyDescent="0.3">
      <c r="A2222" s="1" t="s">
        <v>13</v>
      </c>
      <c r="B2222" s="1" t="s">
        <v>51</v>
      </c>
      <c r="C2222" s="2" t="s">
        <v>12</v>
      </c>
      <c r="D2222" s="1" t="s">
        <v>11</v>
      </c>
      <c r="E2222" s="1" t="s">
        <v>46</v>
      </c>
      <c r="F2222" s="1">
        <v>53802</v>
      </c>
    </row>
    <row r="2223" spans="1:6" x14ac:dyDescent="0.3">
      <c r="A2223" s="3" t="s">
        <v>13</v>
      </c>
      <c r="B2223" s="3" t="s">
        <v>51</v>
      </c>
      <c r="C2223" s="4" t="s">
        <v>12</v>
      </c>
      <c r="D2223" s="3" t="s">
        <v>11</v>
      </c>
      <c r="E2223" s="3" t="s">
        <v>47</v>
      </c>
      <c r="F2223" s="3">
        <v>19800</v>
      </c>
    </row>
    <row r="2224" spans="1:6" x14ac:dyDescent="0.3">
      <c r="A2224" s="1" t="s">
        <v>13</v>
      </c>
      <c r="B2224" s="1" t="s">
        <v>51</v>
      </c>
      <c r="C2224" s="2" t="s">
        <v>12</v>
      </c>
      <c r="D2224" s="1" t="s">
        <v>11</v>
      </c>
      <c r="E2224" s="1" t="s">
        <v>48</v>
      </c>
      <c r="F2224" s="1">
        <v>150322.19999999899</v>
      </c>
    </row>
    <row r="2225" spans="1:6" x14ac:dyDescent="0.3">
      <c r="A2225" s="3" t="s">
        <v>13</v>
      </c>
      <c r="B2225" s="3" t="s">
        <v>51</v>
      </c>
      <c r="C2225" s="4" t="s">
        <v>12</v>
      </c>
      <c r="D2225" s="3" t="s">
        <v>11</v>
      </c>
      <c r="E2225" s="3" t="s">
        <v>49</v>
      </c>
      <c r="F2225" s="3">
        <v>-0.56019732029012703</v>
      </c>
    </row>
    <row r="2226" spans="1:6" x14ac:dyDescent="0.3">
      <c r="A2226" s="1" t="s">
        <v>13</v>
      </c>
      <c r="B2226" s="1" t="s">
        <v>51</v>
      </c>
      <c r="C2226" s="2" t="s">
        <v>12</v>
      </c>
      <c r="D2226" s="1" t="s">
        <v>1</v>
      </c>
      <c r="E2226" s="1" t="s">
        <v>44</v>
      </c>
      <c r="F2226" s="1">
        <v>48797.999999999898</v>
      </c>
    </row>
    <row r="2227" spans="1:6" x14ac:dyDescent="0.3">
      <c r="A2227" s="3" t="s">
        <v>13</v>
      </c>
      <c r="B2227" s="3" t="s">
        <v>51</v>
      </c>
      <c r="C2227" s="4" t="s">
        <v>12</v>
      </c>
      <c r="D2227" s="3" t="s">
        <v>1</v>
      </c>
      <c r="E2227" s="3" t="s">
        <v>45</v>
      </c>
      <c r="F2227" s="3">
        <v>48797.999999999898</v>
      </c>
    </row>
    <row r="2228" spans="1:6" x14ac:dyDescent="0.3">
      <c r="A2228" s="1" t="s">
        <v>13</v>
      </c>
      <c r="B2228" s="1" t="s">
        <v>51</v>
      </c>
      <c r="C2228" s="2" t="s">
        <v>12</v>
      </c>
      <c r="D2228" s="1" t="s">
        <v>1</v>
      </c>
      <c r="E2228" s="1" t="s">
        <v>49</v>
      </c>
      <c r="F2228" s="1">
        <v>1</v>
      </c>
    </row>
    <row r="2229" spans="1:6" x14ac:dyDescent="0.3">
      <c r="A2229" s="3" t="s">
        <v>13</v>
      </c>
      <c r="B2229" s="3" t="s">
        <v>51</v>
      </c>
      <c r="C2229" s="4" t="s">
        <v>12</v>
      </c>
      <c r="D2229" s="3" t="s">
        <v>6</v>
      </c>
      <c r="E2229" s="3" t="s">
        <v>44</v>
      </c>
      <c r="F2229" s="3">
        <v>73196.999999999898</v>
      </c>
    </row>
    <row r="2230" spans="1:6" x14ac:dyDescent="0.3">
      <c r="A2230" s="1" t="s">
        <v>13</v>
      </c>
      <c r="B2230" s="1" t="s">
        <v>51</v>
      </c>
      <c r="C2230" s="2" t="s">
        <v>12</v>
      </c>
      <c r="D2230" s="1" t="s">
        <v>6</v>
      </c>
      <c r="E2230" s="1" t="s">
        <v>45</v>
      </c>
      <c r="F2230" s="1">
        <v>73196.999999999898</v>
      </c>
    </row>
    <row r="2231" spans="1:6" x14ac:dyDescent="0.3">
      <c r="A2231" s="3" t="s">
        <v>13</v>
      </c>
      <c r="B2231" s="3" t="s">
        <v>51</v>
      </c>
      <c r="C2231" s="4" t="s">
        <v>12</v>
      </c>
      <c r="D2231" s="3" t="s">
        <v>6</v>
      </c>
      <c r="E2231" s="3" t="s">
        <v>49</v>
      </c>
      <c r="F2231" s="3">
        <v>1</v>
      </c>
    </row>
    <row r="2232" spans="1:6" x14ac:dyDescent="0.3">
      <c r="A2232" s="1" t="s">
        <v>13</v>
      </c>
      <c r="B2232" s="1" t="s">
        <v>51</v>
      </c>
      <c r="C2232" s="2" t="s">
        <v>12</v>
      </c>
      <c r="D2232" s="1" t="s">
        <v>9</v>
      </c>
      <c r="E2232" s="1" t="s">
        <v>44</v>
      </c>
      <c r="F2232" s="1">
        <v>97595.999999999898</v>
      </c>
    </row>
    <row r="2233" spans="1:6" x14ac:dyDescent="0.3">
      <c r="A2233" s="3" t="s">
        <v>13</v>
      </c>
      <c r="B2233" s="3" t="s">
        <v>51</v>
      </c>
      <c r="C2233" s="4" t="s">
        <v>12</v>
      </c>
      <c r="D2233" s="3" t="s">
        <v>9</v>
      </c>
      <c r="E2233" s="3" t="s">
        <v>45</v>
      </c>
      <c r="F2233" s="3">
        <v>97595.999999999898</v>
      </c>
    </row>
    <row r="2234" spans="1:6" x14ac:dyDescent="0.3">
      <c r="A2234" s="1" t="s">
        <v>13</v>
      </c>
      <c r="B2234" s="1" t="s">
        <v>51</v>
      </c>
      <c r="C2234" s="2" t="s">
        <v>12</v>
      </c>
      <c r="D2234" s="1" t="s">
        <v>9</v>
      </c>
      <c r="E2234" s="1" t="s">
        <v>49</v>
      </c>
      <c r="F2234" s="1">
        <v>1</v>
      </c>
    </row>
    <row r="2235" spans="1:6" x14ac:dyDescent="0.3">
      <c r="A2235" s="3" t="s">
        <v>13</v>
      </c>
      <c r="B2235" s="3" t="s">
        <v>51</v>
      </c>
      <c r="C2235" s="4" t="s">
        <v>12</v>
      </c>
      <c r="D2235" s="3" t="s">
        <v>11</v>
      </c>
      <c r="E2235" s="3" t="s">
        <v>44</v>
      </c>
      <c r="F2235" s="3">
        <v>121995</v>
      </c>
    </row>
    <row r="2236" spans="1:6" x14ac:dyDescent="0.3">
      <c r="A2236" s="1" t="s">
        <v>13</v>
      </c>
      <c r="B2236" s="1" t="s">
        <v>51</v>
      </c>
      <c r="C2236" s="2" t="s">
        <v>12</v>
      </c>
      <c r="D2236" s="1" t="s">
        <v>11</v>
      </c>
      <c r="E2236" s="1" t="s">
        <v>45</v>
      </c>
      <c r="F2236" s="1">
        <v>121995</v>
      </c>
    </row>
    <row r="2237" spans="1:6" x14ac:dyDescent="0.3">
      <c r="A2237" s="3" t="s">
        <v>13</v>
      </c>
      <c r="B2237" s="3" t="s">
        <v>51</v>
      </c>
      <c r="C2237" s="4" t="s">
        <v>12</v>
      </c>
      <c r="D2237" s="3" t="s">
        <v>11</v>
      </c>
      <c r="E2237" s="3" t="s">
        <v>49</v>
      </c>
      <c r="F2237" s="3">
        <v>1</v>
      </c>
    </row>
    <row r="2238" spans="1:6" x14ac:dyDescent="0.3">
      <c r="A2238" s="1" t="s">
        <v>13</v>
      </c>
      <c r="B2238" s="1" t="s">
        <v>51</v>
      </c>
      <c r="C2238" s="2" t="s">
        <v>12</v>
      </c>
      <c r="D2238" s="1" t="s">
        <v>1</v>
      </c>
      <c r="E2238" s="1" t="s">
        <v>44</v>
      </c>
      <c r="F2238" s="1">
        <v>-31500.959999999999</v>
      </c>
    </row>
    <row r="2239" spans="1:6" x14ac:dyDescent="0.3">
      <c r="A2239" s="3" t="s">
        <v>13</v>
      </c>
      <c r="B2239" s="3" t="s">
        <v>51</v>
      </c>
      <c r="C2239" s="4" t="s">
        <v>12</v>
      </c>
      <c r="D2239" s="3" t="s">
        <v>1</v>
      </c>
      <c r="E2239" s="3" t="s">
        <v>45</v>
      </c>
      <c r="F2239" s="3">
        <v>22446</v>
      </c>
    </row>
    <row r="2240" spans="1:6" x14ac:dyDescent="0.3">
      <c r="A2240" s="1" t="s">
        <v>13</v>
      </c>
      <c r="B2240" s="1" t="s">
        <v>51</v>
      </c>
      <c r="C2240" s="2" t="s">
        <v>12</v>
      </c>
      <c r="D2240" s="1" t="s">
        <v>1</v>
      </c>
      <c r="E2240" s="1" t="s">
        <v>46</v>
      </c>
      <c r="F2240" s="1">
        <v>3809.2799999999902</v>
      </c>
    </row>
    <row r="2241" spans="1:6" x14ac:dyDescent="0.3">
      <c r="A2241" s="3" t="s">
        <v>13</v>
      </c>
      <c r="B2241" s="3" t="s">
        <v>51</v>
      </c>
      <c r="C2241" s="4" t="s">
        <v>12</v>
      </c>
      <c r="D2241" s="3" t="s">
        <v>1</v>
      </c>
      <c r="E2241" s="3" t="s">
        <v>47</v>
      </c>
      <c r="F2241" s="3">
        <v>31.6799999999999</v>
      </c>
    </row>
    <row r="2242" spans="1:6" x14ac:dyDescent="0.3">
      <c r="A2242" s="1" t="s">
        <v>13</v>
      </c>
      <c r="B2242" s="1" t="s">
        <v>51</v>
      </c>
      <c r="C2242" s="2" t="s">
        <v>12</v>
      </c>
      <c r="D2242" s="1" t="s">
        <v>1</v>
      </c>
      <c r="E2242" s="1" t="s">
        <v>48</v>
      </c>
      <c r="F2242" s="1">
        <v>50106</v>
      </c>
    </row>
    <row r="2243" spans="1:6" x14ac:dyDescent="0.3">
      <c r="A2243" s="3" t="s">
        <v>13</v>
      </c>
      <c r="B2243" s="3" t="s">
        <v>51</v>
      </c>
      <c r="C2243" s="4" t="s">
        <v>12</v>
      </c>
      <c r="D2243" s="3" t="s">
        <v>1</v>
      </c>
      <c r="E2243" s="3" t="s">
        <v>49</v>
      </c>
      <c r="F2243" s="3">
        <v>-1.4034108527131699</v>
      </c>
    </row>
    <row r="2244" spans="1:6" x14ac:dyDescent="0.3">
      <c r="A2244" s="1" t="s">
        <v>13</v>
      </c>
      <c r="B2244" s="1" t="s">
        <v>51</v>
      </c>
      <c r="C2244" s="2" t="s">
        <v>12</v>
      </c>
      <c r="D2244" s="1" t="s">
        <v>6</v>
      </c>
      <c r="E2244" s="1" t="s">
        <v>44</v>
      </c>
      <c r="F2244" s="1">
        <v>-31500.959999999999</v>
      </c>
    </row>
    <row r="2245" spans="1:6" x14ac:dyDescent="0.3">
      <c r="A2245" s="3" t="s">
        <v>13</v>
      </c>
      <c r="B2245" s="3" t="s">
        <v>51</v>
      </c>
      <c r="C2245" s="4" t="s">
        <v>12</v>
      </c>
      <c r="D2245" s="3" t="s">
        <v>6</v>
      </c>
      <c r="E2245" s="3" t="s">
        <v>45</v>
      </c>
      <c r="F2245" s="3">
        <v>22446</v>
      </c>
    </row>
    <row r="2246" spans="1:6" x14ac:dyDescent="0.3">
      <c r="A2246" s="1" t="s">
        <v>13</v>
      </c>
      <c r="B2246" s="1" t="s">
        <v>51</v>
      </c>
      <c r="C2246" s="2" t="s">
        <v>12</v>
      </c>
      <c r="D2246" s="1" t="s">
        <v>6</v>
      </c>
      <c r="E2246" s="1" t="s">
        <v>46</v>
      </c>
      <c r="F2246" s="1">
        <v>3809.2799999999902</v>
      </c>
    </row>
    <row r="2247" spans="1:6" x14ac:dyDescent="0.3">
      <c r="A2247" s="3" t="s">
        <v>13</v>
      </c>
      <c r="B2247" s="3" t="s">
        <v>51</v>
      </c>
      <c r="C2247" s="4" t="s">
        <v>12</v>
      </c>
      <c r="D2247" s="3" t="s">
        <v>6</v>
      </c>
      <c r="E2247" s="3" t="s">
        <v>47</v>
      </c>
      <c r="F2247" s="3">
        <v>31.6799999999999</v>
      </c>
    </row>
    <row r="2248" spans="1:6" x14ac:dyDescent="0.3">
      <c r="A2248" s="1" t="s">
        <v>13</v>
      </c>
      <c r="B2248" s="1" t="s">
        <v>51</v>
      </c>
      <c r="C2248" s="2" t="s">
        <v>12</v>
      </c>
      <c r="D2248" s="1" t="s">
        <v>6</v>
      </c>
      <c r="E2248" s="1" t="s">
        <v>48</v>
      </c>
      <c r="F2248" s="1">
        <v>50106</v>
      </c>
    </row>
    <row r="2249" spans="1:6" x14ac:dyDescent="0.3">
      <c r="A2249" s="3" t="s">
        <v>13</v>
      </c>
      <c r="B2249" s="3" t="s">
        <v>51</v>
      </c>
      <c r="C2249" s="4" t="s">
        <v>12</v>
      </c>
      <c r="D2249" s="3" t="s">
        <v>6</v>
      </c>
      <c r="E2249" s="3" t="s">
        <v>49</v>
      </c>
      <c r="F2249" s="3">
        <v>-1.4034108527131699</v>
      </c>
    </row>
    <row r="2250" spans="1:6" x14ac:dyDescent="0.3">
      <c r="A2250" s="1" t="s">
        <v>13</v>
      </c>
      <c r="B2250" s="1" t="s">
        <v>51</v>
      </c>
      <c r="C2250" s="2" t="s">
        <v>12</v>
      </c>
      <c r="D2250" s="1" t="s">
        <v>9</v>
      </c>
      <c r="E2250" s="1" t="s">
        <v>44</v>
      </c>
      <c r="F2250" s="1">
        <v>-16535.46</v>
      </c>
    </row>
    <row r="2251" spans="1:6" x14ac:dyDescent="0.3">
      <c r="A2251" s="3" t="s">
        <v>13</v>
      </c>
      <c r="B2251" s="3" t="s">
        <v>51</v>
      </c>
      <c r="C2251" s="4" t="s">
        <v>12</v>
      </c>
      <c r="D2251" s="3" t="s">
        <v>9</v>
      </c>
      <c r="E2251" s="3" t="s">
        <v>45</v>
      </c>
      <c r="F2251" s="3">
        <v>37411.5</v>
      </c>
    </row>
    <row r="2252" spans="1:6" x14ac:dyDescent="0.3">
      <c r="A2252" s="1" t="s">
        <v>13</v>
      </c>
      <c r="B2252" s="1" t="s">
        <v>51</v>
      </c>
      <c r="C2252" s="2" t="s">
        <v>12</v>
      </c>
      <c r="D2252" s="1" t="s">
        <v>9</v>
      </c>
      <c r="E2252" s="1" t="s">
        <v>46</v>
      </c>
      <c r="F2252" s="1">
        <v>3809.2799999999902</v>
      </c>
    </row>
    <row r="2253" spans="1:6" x14ac:dyDescent="0.3">
      <c r="A2253" s="3" t="s">
        <v>13</v>
      </c>
      <c r="B2253" s="3" t="s">
        <v>51</v>
      </c>
      <c r="C2253" s="4" t="s">
        <v>12</v>
      </c>
      <c r="D2253" s="3" t="s">
        <v>9</v>
      </c>
      <c r="E2253" s="3" t="s">
        <v>47</v>
      </c>
      <c r="F2253" s="3">
        <v>31.6799999999999</v>
      </c>
    </row>
    <row r="2254" spans="1:6" x14ac:dyDescent="0.3">
      <c r="A2254" s="1" t="s">
        <v>13</v>
      </c>
      <c r="B2254" s="1" t="s">
        <v>51</v>
      </c>
      <c r="C2254" s="2" t="s">
        <v>12</v>
      </c>
      <c r="D2254" s="1" t="s">
        <v>9</v>
      </c>
      <c r="E2254" s="1" t="s">
        <v>48</v>
      </c>
      <c r="F2254" s="1">
        <v>50106</v>
      </c>
    </row>
    <row r="2255" spans="1:6" x14ac:dyDescent="0.3">
      <c r="A2255" s="3" t="s">
        <v>13</v>
      </c>
      <c r="B2255" s="3" t="s">
        <v>51</v>
      </c>
      <c r="C2255" s="4" t="s">
        <v>12</v>
      </c>
      <c r="D2255" s="3" t="s">
        <v>9</v>
      </c>
      <c r="E2255" s="3" t="s">
        <v>49</v>
      </c>
      <c r="F2255" s="3">
        <v>-0.44198869331622598</v>
      </c>
    </row>
    <row r="2256" spans="1:6" x14ac:dyDescent="0.3">
      <c r="A2256" s="1" t="s">
        <v>13</v>
      </c>
      <c r="B2256" s="1" t="s">
        <v>51</v>
      </c>
      <c r="C2256" s="2" t="s">
        <v>12</v>
      </c>
      <c r="D2256" s="1" t="s">
        <v>11</v>
      </c>
      <c r="E2256" s="1" t="s">
        <v>44</v>
      </c>
      <c r="F2256" s="1">
        <v>-9052.7099999999991</v>
      </c>
    </row>
    <row r="2257" spans="1:6" x14ac:dyDescent="0.3">
      <c r="A2257" s="3" t="s">
        <v>13</v>
      </c>
      <c r="B2257" s="3" t="s">
        <v>51</v>
      </c>
      <c r="C2257" s="4" t="s">
        <v>12</v>
      </c>
      <c r="D2257" s="3" t="s">
        <v>11</v>
      </c>
      <c r="E2257" s="3" t="s">
        <v>45</v>
      </c>
      <c r="F2257" s="3">
        <v>44894.249999999898</v>
      </c>
    </row>
    <row r="2258" spans="1:6" x14ac:dyDescent="0.3">
      <c r="A2258" s="1" t="s">
        <v>13</v>
      </c>
      <c r="B2258" s="1" t="s">
        <v>51</v>
      </c>
      <c r="C2258" s="2" t="s">
        <v>12</v>
      </c>
      <c r="D2258" s="1" t="s">
        <v>11</v>
      </c>
      <c r="E2258" s="1" t="s">
        <v>46</v>
      </c>
      <c r="F2258" s="1">
        <v>3809.2799999999902</v>
      </c>
    </row>
    <row r="2259" spans="1:6" x14ac:dyDescent="0.3">
      <c r="A2259" s="3" t="s">
        <v>13</v>
      </c>
      <c r="B2259" s="3" t="s">
        <v>51</v>
      </c>
      <c r="C2259" s="4" t="s">
        <v>12</v>
      </c>
      <c r="D2259" s="3" t="s">
        <v>11</v>
      </c>
      <c r="E2259" s="3" t="s">
        <v>47</v>
      </c>
      <c r="F2259" s="3">
        <v>31.6799999999999</v>
      </c>
    </row>
    <row r="2260" spans="1:6" x14ac:dyDescent="0.3">
      <c r="A2260" s="1" t="s">
        <v>13</v>
      </c>
      <c r="B2260" s="1" t="s">
        <v>51</v>
      </c>
      <c r="C2260" s="2" t="s">
        <v>12</v>
      </c>
      <c r="D2260" s="1" t="s">
        <v>11</v>
      </c>
      <c r="E2260" s="1" t="s">
        <v>48</v>
      </c>
      <c r="F2260" s="1">
        <v>50106</v>
      </c>
    </row>
    <row r="2261" spans="1:6" x14ac:dyDescent="0.3">
      <c r="A2261" s="3" t="s">
        <v>13</v>
      </c>
      <c r="B2261" s="3" t="s">
        <v>51</v>
      </c>
      <c r="C2261" s="4" t="s">
        <v>12</v>
      </c>
      <c r="D2261" s="3" t="s">
        <v>11</v>
      </c>
      <c r="E2261" s="3" t="s">
        <v>49</v>
      </c>
      <c r="F2261" s="3">
        <v>-0.201645199552281</v>
      </c>
    </row>
    <row r="2262" spans="1:6" x14ac:dyDescent="0.3">
      <c r="A2262" s="1" t="s">
        <v>13</v>
      </c>
      <c r="B2262" s="1" t="s">
        <v>52</v>
      </c>
      <c r="C2262" s="2" t="s">
        <v>12</v>
      </c>
      <c r="D2262" s="1" t="s">
        <v>1</v>
      </c>
      <c r="E2262" s="1" t="s">
        <v>44</v>
      </c>
      <c r="F2262" s="1">
        <v>98500</v>
      </c>
    </row>
    <row r="2263" spans="1:6" x14ac:dyDescent="0.3">
      <c r="A2263" s="3" t="s">
        <v>13</v>
      </c>
      <c r="B2263" s="3" t="s">
        <v>52</v>
      </c>
      <c r="C2263" s="4" t="s">
        <v>12</v>
      </c>
      <c r="D2263" s="3" t="s">
        <v>1</v>
      </c>
      <c r="E2263" s="3" t="s">
        <v>45</v>
      </c>
      <c r="F2263" s="3">
        <v>98500</v>
      </c>
    </row>
    <row r="2264" spans="1:6" x14ac:dyDescent="0.3">
      <c r="A2264" s="1" t="s">
        <v>13</v>
      </c>
      <c r="B2264" s="1" t="s">
        <v>52</v>
      </c>
      <c r="C2264" s="2" t="s">
        <v>12</v>
      </c>
      <c r="D2264" s="1" t="s">
        <v>1</v>
      </c>
      <c r="E2264" s="1" t="s">
        <v>49</v>
      </c>
      <c r="F2264" s="1">
        <v>1</v>
      </c>
    </row>
    <row r="2265" spans="1:6" x14ac:dyDescent="0.3">
      <c r="A2265" s="3" t="s">
        <v>13</v>
      </c>
      <c r="B2265" s="3" t="s">
        <v>52</v>
      </c>
      <c r="C2265" s="4" t="s">
        <v>12</v>
      </c>
      <c r="D2265" s="3" t="s">
        <v>6</v>
      </c>
      <c r="E2265" s="3" t="s">
        <v>44</v>
      </c>
      <c r="F2265" s="3">
        <v>84500</v>
      </c>
    </row>
    <row r="2266" spans="1:6" x14ac:dyDescent="0.3">
      <c r="A2266" s="1" t="s">
        <v>13</v>
      </c>
      <c r="B2266" s="1" t="s">
        <v>52</v>
      </c>
      <c r="C2266" s="2" t="s">
        <v>12</v>
      </c>
      <c r="D2266" s="1" t="s">
        <v>6</v>
      </c>
      <c r="E2266" s="1" t="s">
        <v>45</v>
      </c>
      <c r="F2266" s="1">
        <v>84500</v>
      </c>
    </row>
    <row r="2267" spans="1:6" x14ac:dyDescent="0.3">
      <c r="A2267" s="3" t="s">
        <v>13</v>
      </c>
      <c r="B2267" s="3" t="s">
        <v>52</v>
      </c>
      <c r="C2267" s="4" t="s">
        <v>12</v>
      </c>
      <c r="D2267" s="3" t="s">
        <v>6</v>
      </c>
      <c r="E2267" s="3" t="s">
        <v>49</v>
      </c>
      <c r="F2267" s="3">
        <v>1</v>
      </c>
    </row>
    <row r="2268" spans="1:6" x14ac:dyDescent="0.3">
      <c r="A2268" s="1" t="s">
        <v>13</v>
      </c>
      <c r="B2268" s="1" t="s">
        <v>52</v>
      </c>
      <c r="C2268" s="2" t="s">
        <v>12</v>
      </c>
      <c r="D2268" s="1" t="s">
        <v>9</v>
      </c>
      <c r="E2268" s="1" t="s">
        <v>44</v>
      </c>
      <c r="F2268" s="1">
        <v>98500</v>
      </c>
    </row>
    <row r="2269" spans="1:6" x14ac:dyDescent="0.3">
      <c r="A2269" s="3" t="s">
        <v>13</v>
      </c>
      <c r="B2269" s="3" t="s">
        <v>52</v>
      </c>
      <c r="C2269" s="4" t="s">
        <v>12</v>
      </c>
      <c r="D2269" s="3" t="s">
        <v>9</v>
      </c>
      <c r="E2269" s="3" t="s">
        <v>45</v>
      </c>
      <c r="F2269" s="3">
        <v>98500</v>
      </c>
    </row>
    <row r="2270" spans="1:6" x14ac:dyDescent="0.3">
      <c r="A2270" s="1" t="s">
        <v>13</v>
      </c>
      <c r="B2270" s="1" t="s">
        <v>52</v>
      </c>
      <c r="C2270" s="2" t="s">
        <v>12</v>
      </c>
      <c r="D2270" s="1" t="s">
        <v>9</v>
      </c>
      <c r="E2270" s="1" t="s">
        <v>49</v>
      </c>
      <c r="F2270" s="1">
        <v>1</v>
      </c>
    </row>
    <row r="2271" spans="1:6" x14ac:dyDescent="0.3">
      <c r="A2271" s="3" t="s">
        <v>13</v>
      </c>
      <c r="B2271" s="3" t="s">
        <v>52</v>
      </c>
      <c r="C2271" s="4" t="s">
        <v>12</v>
      </c>
      <c r="D2271" s="3" t="s">
        <v>11</v>
      </c>
      <c r="E2271" s="3" t="s">
        <v>44</v>
      </c>
      <c r="F2271" s="3">
        <v>84500</v>
      </c>
    </row>
    <row r="2272" spans="1:6" x14ac:dyDescent="0.3">
      <c r="A2272" s="1" t="s">
        <v>13</v>
      </c>
      <c r="B2272" s="1" t="s">
        <v>52</v>
      </c>
      <c r="C2272" s="2" t="s">
        <v>12</v>
      </c>
      <c r="D2272" s="1" t="s">
        <v>11</v>
      </c>
      <c r="E2272" s="1" t="s">
        <v>45</v>
      </c>
      <c r="F2272" s="1">
        <v>84500</v>
      </c>
    </row>
    <row r="2273" spans="1:6" x14ac:dyDescent="0.3">
      <c r="A2273" s="3" t="s">
        <v>13</v>
      </c>
      <c r="B2273" s="3" t="s">
        <v>52</v>
      </c>
      <c r="C2273" s="4" t="s">
        <v>12</v>
      </c>
      <c r="D2273" s="3" t="s">
        <v>11</v>
      </c>
      <c r="E2273" s="3" t="s">
        <v>49</v>
      </c>
      <c r="F2273" s="3">
        <v>1</v>
      </c>
    </row>
    <row r="2274" spans="1:6" x14ac:dyDescent="0.3">
      <c r="A2274" s="1" t="s">
        <v>13</v>
      </c>
      <c r="B2274" s="1" t="s">
        <v>52</v>
      </c>
      <c r="C2274" s="2" t="s">
        <v>12</v>
      </c>
      <c r="D2274" s="1" t="s">
        <v>1</v>
      </c>
      <c r="E2274" s="1" t="s">
        <v>44</v>
      </c>
      <c r="F2274" s="1">
        <v>55189.62</v>
      </c>
    </row>
    <row r="2275" spans="1:6" x14ac:dyDescent="0.3">
      <c r="A2275" s="3" t="s">
        <v>13</v>
      </c>
      <c r="B2275" s="3" t="s">
        <v>52</v>
      </c>
      <c r="C2275" s="4" t="s">
        <v>12</v>
      </c>
      <c r="D2275" s="3" t="s">
        <v>1</v>
      </c>
      <c r="E2275" s="3" t="s">
        <v>45</v>
      </c>
      <c r="F2275" s="3">
        <v>78936.75</v>
      </c>
    </row>
    <row r="2276" spans="1:6" x14ac:dyDescent="0.3">
      <c r="A2276" s="1" t="s">
        <v>13</v>
      </c>
      <c r="B2276" s="1" t="s">
        <v>52</v>
      </c>
      <c r="C2276" s="2" t="s">
        <v>12</v>
      </c>
      <c r="D2276" s="1" t="s">
        <v>1</v>
      </c>
      <c r="E2276" s="1" t="s">
        <v>46</v>
      </c>
      <c r="F2276" s="1">
        <v>1706.88</v>
      </c>
    </row>
    <row r="2277" spans="1:6" x14ac:dyDescent="0.3">
      <c r="A2277" s="3" t="s">
        <v>13</v>
      </c>
      <c r="B2277" s="3" t="s">
        <v>52</v>
      </c>
      <c r="C2277" s="4" t="s">
        <v>12</v>
      </c>
      <c r="D2277" s="3" t="s">
        <v>1</v>
      </c>
      <c r="E2277" s="3" t="s">
        <v>47</v>
      </c>
      <c r="F2277" s="3">
        <v>5240.25</v>
      </c>
    </row>
    <row r="2278" spans="1:6" x14ac:dyDescent="0.3">
      <c r="A2278" s="1" t="s">
        <v>13</v>
      </c>
      <c r="B2278" s="1" t="s">
        <v>52</v>
      </c>
      <c r="C2278" s="2" t="s">
        <v>12</v>
      </c>
      <c r="D2278" s="1" t="s">
        <v>1</v>
      </c>
      <c r="E2278" s="1" t="s">
        <v>48</v>
      </c>
      <c r="F2278" s="1">
        <v>16800</v>
      </c>
    </row>
    <row r="2279" spans="1:6" x14ac:dyDescent="0.3">
      <c r="A2279" s="3" t="s">
        <v>13</v>
      </c>
      <c r="B2279" s="3" t="s">
        <v>52</v>
      </c>
      <c r="C2279" s="4" t="s">
        <v>12</v>
      </c>
      <c r="D2279" s="3" t="s">
        <v>1</v>
      </c>
      <c r="E2279" s="3" t="s">
        <v>49</v>
      </c>
      <c r="F2279" s="3">
        <v>0.69916255736396504</v>
      </c>
    </row>
    <row r="2280" spans="1:6" x14ac:dyDescent="0.3">
      <c r="A2280" s="1" t="s">
        <v>13</v>
      </c>
      <c r="B2280" s="1" t="s">
        <v>52</v>
      </c>
      <c r="C2280" s="2" t="s">
        <v>12</v>
      </c>
      <c r="D2280" s="1" t="s">
        <v>6</v>
      </c>
      <c r="E2280" s="1" t="s">
        <v>44</v>
      </c>
      <c r="F2280" s="1">
        <v>93153.839999999895</v>
      </c>
    </row>
    <row r="2281" spans="1:6" x14ac:dyDescent="0.3">
      <c r="A2281" s="3" t="s">
        <v>13</v>
      </c>
      <c r="B2281" s="3" t="s">
        <v>52</v>
      </c>
      <c r="C2281" s="4" t="s">
        <v>12</v>
      </c>
      <c r="D2281" s="3" t="s">
        <v>6</v>
      </c>
      <c r="E2281" s="3" t="s">
        <v>45</v>
      </c>
      <c r="F2281" s="3">
        <v>118406.25</v>
      </c>
    </row>
    <row r="2282" spans="1:6" x14ac:dyDescent="0.3">
      <c r="A2282" s="1" t="s">
        <v>13</v>
      </c>
      <c r="B2282" s="1" t="s">
        <v>52</v>
      </c>
      <c r="C2282" s="2" t="s">
        <v>12</v>
      </c>
      <c r="D2282" s="1" t="s">
        <v>6</v>
      </c>
      <c r="E2282" s="1" t="s">
        <v>46</v>
      </c>
      <c r="F2282" s="1">
        <v>3413.76</v>
      </c>
    </row>
    <row r="2283" spans="1:6" x14ac:dyDescent="0.3">
      <c r="A2283" s="3" t="s">
        <v>13</v>
      </c>
      <c r="B2283" s="3" t="s">
        <v>52</v>
      </c>
      <c r="C2283" s="4" t="s">
        <v>12</v>
      </c>
      <c r="D2283" s="3" t="s">
        <v>6</v>
      </c>
      <c r="E2283" s="3" t="s">
        <v>47</v>
      </c>
      <c r="F2283" s="3">
        <v>5038.6499999999896</v>
      </c>
    </row>
    <row r="2284" spans="1:6" x14ac:dyDescent="0.3">
      <c r="A2284" s="1" t="s">
        <v>13</v>
      </c>
      <c r="B2284" s="1" t="s">
        <v>52</v>
      </c>
      <c r="C2284" s="2" t="s">
        <v>12</v>
      </c>
      <c r="D2284" s="1" t="s">
        <v>6</v>
      </c>
      <c r="E2284" s="1" t="s">
        <v>48</v>
      </c>
      <c r="F2284" s="1">
        <v>16800</v>
      </c>
    </row>
    <row r="2285" spans="1:6" x14ac:dyDescent="0.3">
      <c r="A2285" s="3" t="s">
        <v>13</v>
      </c>
      <c r="B2285" s="3" t="s">
        <v>52</v>
      </c>
      <c r="C2285" s="4" t="s">
        <v>12</v>
      </c>
      <c r="D2285" s="3" t="s">
        <v>6</v>
      </c>
      <c r="E2285" s="3" t="s">
        <v>49</v>
      </c>
      <c r="F2285" s="3">
        <v>0.78673076801266795</v>
      </c>
    </row>
    <row r="2286" spans="1:6" x14ac:dyDescent="0.3">
      <c r="A2286" s="1" t="s">
        <v>13</v>
      </c>
      <c r="B2286" s="1" t="s">
        <v>52</v>
      </c>
      <c r="C2286" s="2" t="s">
        <v>12</v>
      </c>
      <c r="D2286" s="1" t="s">
        <v>9</v>
      </c>
      <c r="E2286" s="1" t="s">
        <v>44</v>
      </c>
      <c r="F2286" s="1">
        <v>132217.89000000001</v>
      </c>
    </row>
    <row r="2287" spans="1:6" x14ac:dyDescent="0.3">
      <c r="A2287" s="3" t="s">
        <v>13</v>
      </c>
      <c r="B2287" s="3" t="s">
        <v>52</v>
      </c>
      <c r="C2287" s="4" t="s">
        <v>12</v>
      </c>
      <c r="D2287" s="3" t="s">
        <v>9</v>
      </c>
      <c r="E2287" s="3" t="s">
        <v>45</v>
      </c>
      <c r="F2287" s="3">
        <v>157873.5</v>
      </c>
    </row>
    <row r="2288" spans="1:6" x14ac:dyDescent="0.3">
      <c r="A2288" s="1" t="s">
        <v>13</v>
      </c>
      <c r="B2288" s="1" t="s">
        <v>52</v>
      </c>
      <c r="C2288" s="2" t="s">
        <v>12</v>
      </c>
      <c r="D2288" s="1" t="s">
        <v>9</v>
      </c>
      <c r="E2288" s="1" t="s">
        <v>46</v>
      </c>
      <c r="F2288" s="1">
        <v>3413.76</v>
      </c>
    </row>
    <row r="2289" spans="1:6" x14ac:dyDescent="0.3">
      <c r="A2289" s="3" t="s">
        <v>13</v>
      </c>
      <c r="B2289" s="3" t="s">
        <v>52</v>
      </c>
      <c r="C2289" s="4" t="s">
        <v>12</v>
      </c>
      <c r="D2289" s="3" t="s">
        <v>9</v>
      </c>
      <c r="E2289" s="3" t="s">
        <v>47</v>
      </c>
      <c r="F2289" s="3">
        <v>5441.8499999999904</v>
      </c>
    </row>
    <row r="2290" spans="1:6" x14ac:dyDescent="0.3">
      <c r="A2290" s="1" t="s">
        <v>13</v>
      </c>
      <c r="B2290" s="1" t="s">
        <v>52</v>
      </c>
      <c r="C2290" s="2" t="s">
        <v>12</v>
      </c>
      <c r="D2290" s="1" t="s">
        <v>9</v>
      </c>
      <c r="E2290" s="1" t="s">
        <v>48</v>
      </c>
      <c r="F2290" s="1">
        <v>16800</v>
      </c>
    </row>
    <row r="2291" spans="1:6" x14ac:dyDescent="0.3">
      <c r="A2291" s="3" t="s">
        <v>13</v>
      </c>
      <c r="B2291" s="3" t="s">
        <v>52</v>
      </c>
      <c r="C2291" s="4" t="s">
        <v>12</v>
      </c>
      <c r="D2291" s="3" t="s">
        <v>9</v>
      </c>
      <c r="E2291" s="3" t="s">
        <v>49</v>
      </c>
      <c r="F2291" s="3">
        <v>0.83749261275641496</v>
      </c>
    </row>
    <row r="2292" spans="1:6" x14ac:dyDescent="0.3">
      <c r="A2292" s="1" t="s">
        <v>13</v>
      </c>
      <c r="B2292" s="1" t="s">
        <v>52</v>
      </c>
      <c r="C2292" s="2" t="s">
        <v>12</v>
      </c>
      <c r="D2292" s="1" t="s">
        <v>11</v>
      </c>
      <c r="E2292" s="1" t="s">
        <v>44</v>
      </c>
      <c r="F2292" s="1">
        <v>170277.53999999899</v>
      </c>
    </row>
    <row r="2293" spans="1:6" x14ac:dyDescent="0.3">
      <c r="A2293" s="3" t="s">
        <v>13</v>
      </c>
      <c r="B2293" s="3" t="s">
        <v>52</v>
      </c>
      <c r="C2293" s="4" t="s">
        <v>12</v>
      </c>
      <c r="D2293" s="3" t="s">
        <v>11</v>
      </c>
      <c r="E2293" s="3" t="s">
        <v>45</v>
      </c>
      <c r="F2293" s="3">
        <v>197343</v>
      </c>
    </row>
    <row r="2294" spans="1:6" x14ac:dyDescent="0.3">
      <c r="A2294" s="1" t="s">
        <v>13</v>
      </c>
      <c r="B2294" s="1" t="s">
        <v>52</v>
      </c>
      <c r="C2294" s="2" t="s">
        <v>12</v>
      </c>
      <c r="D2294" s="1" t="s">
        <v>11</v>
      </c>
      <c r="E2294" s="1" t="s">
        <v>46</v>
      </c>
      <c r="F2294" s="1">
        <v>3413.76</v>
      </c>
    </row>
    <row r="2295" spans="1:6" x14ac:dyDescent="0.3">
      <c r="A2295" s="3" t="s">
        <v>13</v>
      </c>
      <c r="B2295" s="3" t="s">
        <v>52</v>
      </c>
      <c r="C2295" s="4" t="s">
        <v>12</v>
      </c>
      <c r="D2295" s="3" t="s">
        <v>11</v>
      </c>
      <c r="E2295" s="3" t="s">
        <v>47</v>
      </c>
      <c r="F2295" s="3">
        <v>6851.6999999999898</v>
      </c>
    </row>
    <row r="2296" spans="1:6" x14ac:dyDescent="0.3">
      <c r="A2296" s="1" t="s">
        <v>13</v>
      </c>
      <c r="B2296" s="1" t="s">
        <v>52</v>
      </c>
      <c r="C2296" s="2" t="s">
        <v>12</v>
      </c>
      <c r="D2296" s="1" t="s">
        <v>11</v>
      </c>
      <c r="E2296" s="1" t="s">
        <v>48</v>
      </c>
      <c r="F2296" s="1">
        <v>16800</v>
      </c>
    </row>
    <row r="2297" spans="1:6" x14ac:dyDescent="0.3">
      <c r="A2297" s="3" t="s">
        <v>13</v>
      </c>
      <c r="B2297" s="3" t="s">
        <v>52</v>
      </c>
      <c r="C2297" s="4" t="s">
        <v>12</v>
      </c>
      <c r="D2297" s="3" t="s">
        <v>11</v>
      </c>
      <c r="E2297" s="3" t="s">
        <v>49</v>
      </c>
      <c r="F2297" s="3">
        <v>0.86285067116644598</v>
      </c>
    </row>
    <row r="2298" spans="1:6" x14ac:dyDescent="0.3">
      <c r="A2298" s="1" t="s">
        <v>13</v>
      </c>
      <c r="B2298" s="1" t="s">
        <v>52</v>
      </c>
      <c r="C2298" s="2" t="s">
        <v>12</v>
      </c>
      <c r="D2298" s="1" t="s">
        <v>1</v>
      </c>
      <c r="E2298" s="1" t="s">
        <v>44</v>
      </c>
      <c r="F2298" s="1">
        <v>124510</v>
      </c>
    </row>
    <row r="2299" spans="1:6" x14ac:dyDescent="0.3">
      <c r="A2299" s="3" t="s">
        <v>13</v>
      </c>
      <c r="B2299" s="3" t="s">
        <v>52</v>
      </c>
      <c r="C2299" s="4" t="s">
        <v>12</v>
      </c>
      <c r="D2299" s="3" t="s">
        <v>1</v>
      </c>
      <c r="E2299" s="3" t="s">
        <v>45</v>
      </c>
      <c r="F2299" s="3">
        <v>124510</v>
      </c>
    </row>
    <row r="2300" spans="1:6" x14ac:dyDescent="0.3">
      <c r="A2300" s="1" t="s">
        <v>13</v>
      </c>
      <c r="B2300" s="1" t="s">
        <v>52</v>
      </c>
      <c r="C2300" s="2" t="s">
        <v>12</v>
      </c>
      <c r="D2300" s="1" t="s">
        <v>1</v>
      </c>
      <c r="E2300" s="1" t="s">
        <v>49</v>
      </c>
      <c r="F2300" s="1">
        <v>1</v>
      </c>
    </row>
    <row r="2301" spans="1:6" x14ac:dyDescent="0.3">
      <c r="A2301" s="3" t="s">
        <v>13</v>
      </c>
      <c r="B2301" s="3" t="s">
        <v>52</v>
      </c>
      <c r="C2301" s="4" t="s">
        <v>12</v>
      </c>
      <c r="D2301" s="3" t="s">
        <v>6</v>
      </c>
      <c r="E2301" s="3" t="s">
        <v>44</v>
      </c>
      <c r="F2301" s="3">
        <v>252473</v>
      </c>
    </row>
    <row r="2302" spans="1:6" x14ac:dyDescent="0.3">
      <c r="A2302" s="1" t="s">
        <v>13</v>
      </c>
      <c r="B2302" s="1" t="s">
        <v>52</v>
      </c>
      <c r="C2302" s="2" t="s">
        <v>12</v>
      </c>
      <c r="D2302" s="1" t="s">
        <v>6</v>
      </c>
      <c r="E2302" s="1" t="s">
        <v>45</v>
      </c>
      <c r="F2302" s="1">
        <v>252473</v>
      </c>
    </row>
    <row r="2303" spans="1:6" x14ac:dyDescent="0.3">
      <c r="A2303" s="3" t="s">
        <v>13</v>
      </c>
      <c r="B2303" s="3" t="s">
        <v>52</v>
      </c>
      <c r="C2303" s="4" t="s">
        <v>12</v>
      </c>
      <c r="D2303" s="3" t="s">
        <v>6</v>
      </c>
      <c r="E2303" s="3" t="s">
        <v>49</v>
      </c>
      <c r="F2303" s="3">
        <v>1</v>
      </c>
    </row>
    <row r="2304" spans="1:6" x14ac:dyDescent="0.3">
      <c r="A2304" s="1" t="s">
        <v>13</v>
      </c>
      <c r="B2304" s="1" t="s">
        <v>52</v>
      </c>
      <c r="C2304" s="2" t="s">
        <v>12</v>
      </c>
      <c r="D2304" s="1" t="s">
        <v>9</v>
      </c>
      <c r="E2304" s="1" t="s">
        <v>44</v>
      </c>
      <c r="F2304" s="1">
        <v>360510</v>
      </c>
    </row>
    <row r="2305" spans="1:6" x14ac:dyDescent="0.3">
      <c r="A2305" s="3" t="s">
        <v>13</v>
      </c>
      <c r="B2305" s="3" t="s">
        <v>52</v>
      </c>
      <c r="C2305" s="4" t="s">
        <v>12</v>
      </c>
      <c r="D2305" s="3" t="s">
        <v>9</v>
      </c>
      <c r="E2305" s="3" t="s">
        <v>45</v>
      </c>
      <c r="F2305" s="3">
        <v>360510</v>
      </c>
    </row>
    <row r="2306" spans="1:6" x14ac:dyDescent="0.3">
      <c r="A2306" s="1" t="s">
        <v>13</v>
      </c>
      <c r="B2306" s="1" t="s">
        <v>52</v>
      </c>
      <c r="C2306" s="2" t="s">
        <v>12</v>
      </c>
      <c r="D2306" s="1" t="s">
        <v>9</v>
      </c>
      <c r="E2306" s="1" t="s">
        <v>49</v>
      </c>
      <c r="F2306" s="1">
        <v>1</v>
      </c>
    </row>
    <row r="2307" spans="1:6" x14ac:dyDescent="0.3">
      <c r="A2307" s="3" t="s">
        <v>13</v>
      </c>
      <c r="B2307" s="3" t="s">
        <v>52</v>
      </c>
      <c r="C2307" s="4" t="s">
        <v>12</v>
      </c>
      <c r="D2307" s="3" t="s">
        <v>11</v>
      </c>
      <c r="E2307" s="3" t="s">
        <v>44</v>
      </c>
      <c r="F2307" s="3">
        <v>1440903</v>
      </c>
    </row>
    <row r="2308" spans="1:6" x14ac:dyDescent="0.3">
      <c r="A2308" s="1" t="s">
        <v>13</v>
      </c>
      <c r="B2308" s="1" t="s">
        <v>52</v>
      </c>
      <c r="C2308" s="2" t="s">
        <v>12</v>
      </c>
      <c r="D2308" s="1" t="s">
        <v>11</v>
      </c>
      <c r="E2308" s="1" t="s">
        <v>45</v>
      </c>
      <c r="F2308" s="1">
        <v>1440903</v>
      </c>
    </row>
    <row r="2309" spans="1:6" x14ac:dyDescent="0.3">
      <c r="A2309" s="3" t="s">
        <v>13</v>
      </c>
      <c r="B2309" s="3" t="s">
        <v>52</v>
      </c>
      <c r="C2309" s="4" t="s">
        <v>12</v>
      </c>
      <c r="D2309" s="3" t="s">
        <v>11</v>
      </c>
      <c r="E2309" s="3" t="s">
        <v>49</v>
      </c>
      <c r="F2309" s="3">
        <v>1</v>
      </c>
    </row>
    <row r="2310" spans="1:6" x14ac:dyDescent="0.3">
      <c r="A2310" s="1" t="s">
        <v>13</v>
      </c>
      <c r="B2310" s="1" t="s">
        <v>52</v>
      </c>
      <c r="C2310" s="2" t="s">
        <v>12</v>
      </c>
      <c r="D2310" s="1" t="s">
        <v>1</v>
      </c>
      <c r="E2310" s="1" t="s">
        <v>44</v>
      </c>
      <c r="F2310" s="1">
        <v>-15524.4</v>
      </c>
    </row>
    <row r="2311" spans="1:6" x14ac:dyDescent="0.3">
      <c r="A2311" s="3" t="s">
        <v>13</v>
      </c>
      <c r="B2311" s="3" t="s">
        <v>52</v>
      </c>
      <c r="C2311" s="4" t="s">
        <v>12</v>
      </c>
      <c r="D2311" s="3" t="s">
        <v>1</v>
      </c>
      <c r="E2311" s="3" t="s">
        <v>45</v>
      </c>
      <c r="F2311" s="3">
        <v>36310.499999999898</v>
      </c>
    </row>
    <row r="2312" spans="1:6" x14ac:dyDescent="0.3">
      <c r="A2312" s="1" t="s">
        <v>13</v>
      </c>
      <c r="B2312" s="1" t="s">
        <v>52</v>
      </c>
      <c r="C2312" s="2" t="s">
        <v>12</v>
      </c>
      <c r="D2312" s="1" t="s">
        <v>1</v>
      </c>
      <c r="E2312" s="1" t="s">
        <v>47</v>
      </c>
      <c r="F2312" s="1">
        <v>1728.8999999999901</v>
      </c>
    </row>
    <row r="2313" spans="1:6" x14ac:dyDescent="0.3">
      <c r="A2313" s="3" t="s">
        <v>13</v>
      </c>
      <c r="B2313" s="3" t="s">
        <v>52</v>
      </c>
      <c r="C2313" s="4" t="s">
        <v>12</v>
      </c>
      <c r="D2313" s="3" t="s">
        <v>1</v>
      </c>
      <c r="E2313" s="3" t="s">
        <v>48</v>
      </c>
      <c r="F2313" s="3">
        <v>50106</v>
      </c>
    </row>
    <row r="2314" spans="1:6" x14ac:dyDescent="0.3">
      <c r="A2314" s="1" t="s">
        <v>13</v>
      </c>
      <c r="B2314" s="1" t="s">
        <v>52</v>
      </c>
      <c r="C2314" s="2" t="s">
        <v>12</v>
      </c>
      <c r="D2314" s="1" t="s">
        <v>1</v>
      </c>
      <c r="E2314" s="1" t="s">
        <v>49</v>
      </c>
      <c r="F2314" s="1">
        <v>-0.42754575122898297</v>
      </c>
    </row>
    <row r="2315" spans="1:6" x14ac:dyDescent="0.3">
      <c r="A2315" s="3" t="s">
        <v>13</v>
      </c>
      <c r="B2315" s="3" t="s">
        <v>52</v>
      </c>
      <c r="C2315" s="4" t="s">
        <v>12</v>
      </c>
      <c r="D2315" s="3" t="s">
        <v>6</v>
      </c>
      <c r="E2315" s="3" t="s">
        <v>44</v>
      </c>
      <c r="F2315" s="3">
        <v>-15457.8</v>
      </c>
    </row>
    <row r="2316" spans="1:6" x14ac:dyDescent="0.3">
      <c r="A2316" s="1" t="s">
        <v>13</v>
      </c>
      <c r="B2316" s="1" t="s">
        <v>52</v>
      </c>
      <c r="C2316" s="2" t="s">
        <v>12</v>
      </c>
      <c r="D2316" s="1" t="s">
        <v>6</v>
      </c>
      <c r="E2316" s="1" t="s">
        <v>45</v>
      </c>
      <c r="F2316" s="1">
        <v>36310.499999999898</v>
      </c>
    </row>
    <row r="2317" spans="1:6" x14ac:dyDescent="0.3">
      <c r="A2317" s="3" t="s">
        <v>13</v>
      </c>
      <c r="B2317" s="3" t="s">
        <v>52</v>
      </c>
      <c r="C2317" s="4" t="s">
        <v>12</v>
      </c>
      <c r="D2317" s="3" t="s">
        <v>6</v>
      </c>
      <c r="E2317" s="3" t="s">
        <v>47</v>
      </c>
      <c r="F2317" s="3">
        <v>1662.29999999999</v>
      </c>
    </row>
    <row r="2318" spans="1:6" x14ac:dyDescent="0.3">
      <c r="A2318" s="1" t="s">
        <v>13</v>
      </c>
      <c r="B2318" s="1" t="s">
        <v>52</v>
      </c>
      <c r="C2318" s="2" t="s">
        <v>12</v>
      </c>
      <c r="D2318" s="1" t="s">
        <v>6</v>
      </c>
      <c r="E2318" s="1" t="s">
        <v>48</v>
      </c>
      <c r="F2318" s="1">
        <v>50106</v>
      </c>
    </row>
    <row r="2319" spans="1:6" x14ac:dyDescent="0.3">
      <c r="A2319" s="3" t="s">
        <v>13</v>
      </c>
      <c r="B2319" s="3" t="s">
        <v>52</v>
      </c>
      <c r="C2319" s="4" t="s">
        <v>12</v>
      </c>
      <c r="D2319" s="3" t="s">
        <v>6</v>
      </c>
      <c r="E2319" s="3" t="s">
        <v>49</v>
      </c>
      <c r="F2319" s="3">
        <v>-0.42571157103317198</v>
      </c>
    </row>
    <row r="2320" spans="1:6" x14ac:dyDescent="0.3">
      <c r="A2320" s="1" t="s">
        <v>13</v>
      </c>
      <c r="B2320" s="1" t="s">
        <v>52</v>
      </c>
      <c r="C2320" s="2" t="s">
        <v>12</v>
      </c>
      <c r="D2320" s="1" t="s">
        <v>9</v>
      </c>
      <c r="E2320" s="1" t="s">
        <v>44</v>
      </c>
      <c r="F2320" s="1">
        <v>8617.0499999999902</v>
      </c>
    </row>
    <row r="2321" spans="1:6" x14ac:dyDescent="0.3">
      <c r="A2321" s="3" t="s">
        <v>13</v>
      </c>
      <c r="B2321" s="3" t="s">
        <v>52</v>
      </c>
      <c r="C2321" s="4" t="s">
        <v>12</v>
      </c>
      <c r="D2321" s="3" t="s">
        <v>9</v>
      </c>
      <c r="E2321" s="3" t="s">
        <v>45</v>
      </c>
      <c r="F2321" s="3">
        <v>60518.999999999898</v>
      </c>
    </row>
    <row r="2322" spans="1:6" x14ac:dyDescent="0.3">
      <c r="A2322" s="1" t="s">
        <v>13</v>
      </c>
      <c r="B2322" s="1" t="s">
        <v>52</v>
      </c>
      <c r="C2322" s="2" t="s">
        <v>12</v>
      </c>
      <c r="D2322" s="1" t="s">
        <v>9</v>
      </c>
      <c r="E2322" s="1" t="s">
        <v>47</v>
      </c>
      <c r="F2322" s="1">
        <v>1795.94999999999</v>
      </c>
    </row>
    <row r="2323" spans="1:6" x14ac:dyDescent="0.3">
      <c r="A2323" s="3" t="s">
        <v>13</v>
      </c>
      <c r="B2323" s="3" t="s">
        <v>52</v>
      </c>
      <c r="C2323" s="4" t="s">
        <v>12</v>
      </c>
      <c r="D2323" s="3" t="s">
        <v>9</v>
      </c>
      <c r="E2323" s="3" t="s">
        <v>48</v>
      </c>
      <c r="F2323" s="3">
        <v>50106</v>
      </c>
    </row>
    <row r="2324" spans="1:6" x14ac:dyDescent="0.3">
      <c r="A2324" s="1" t="s">
        <v>13</v>
      </c>
      <c r="B2324" s="1" t="s">
        <v>52</v>
      </c>
      <c r="C2324" s="2" t="s">
        <v>12</v>
      </c>
      <c r="D2324" s="1" t="s">
        <v>9</v>
      </c>
      <c r="E2324" s="1" t="s">
        <v>49</v>
      </c>
      <c r="F2324" s="1">
        <v>0.142385862291181</v>
      </c>
    </row>
    <row r="2325" spans="1:6" x14ac:dyDescent="0.3">
      <c r="A2325" s="3" t="s">
        <v>13</v>
      </c>
      <c r="B2325" s="3" t="s">
        <v>52</v>
      </c>
      <c r="C2325" s="4" t="s">
        <v>12</v>
      </c>
      <c r="D2325" s="3" t="s">
        <v>11</v>
      </c>
      <c r="E2325" s="3" t="s">
        <v>44</v>
      </c>
      <c r="F2325" s="3">
        <v>20255.999999999902</v>
      </c>
    </row>
    <row r="2326" spans="1:6" x14ac:dyDescent="0.3">
      <c r="A2326" s="1" t="s">
        <v>13</v>
      </c>
      <c r="B2326" s="1" t="s">
        <v>52</v>
      </c>
      <c r="C2326" s="2" t="s">
        <v>12</v>
      </c>
      <c r="D2326" s="1" t="s">
        <v>11</v>
      </c>
      <c r="E2326" s="1" t="s">
        <v>45</v>
      </c>
      <c r="F2326" s="1">
        <v>72623.249999999898</v>
      </c>
    </row>
    <row r="2327" spans="1:6" x14ac:dyDescent="0.3">
      <c r="A2327" s="3" t="s">
        <v>13</v>
      </c>
      <c r="B2327" s="3" t="s">
        <v>52</v>
      </c>
      <c r="C2327" s="4" t="s">
        <v>12</v>
      </c>
      <c r="D2327" s="3" t="s">
        <v>11</v>
      </c>
      <c r="E2327" s="3" t="s">
        <v>47</v>
      </c>
      <c r="F2327" s="3">
        <v>2261.25</v>
      </c>
    </row>
    <row r="2328" spans="1:6" x14ac:dyDescent="0.3">
      <c r="A2328" s="1" t="s">
        <v>13</v>
      </c>
      <c r="B2328" s="1" t="s">
        <v>52</v>
      </c>
      <c r="C2328" s="2" t="s">
        <v>12</v>
      </c>
      <c r="D2328" s="1" t="s">
        <v>11</v>
      </c>
      <c r="E2328" s="1" t="s">
        <v>48</v>
      </c>
      <c r="F2328" s="1">
        <v>50106</v>
      </c>
    </row>
    <row r="2329" spans="1:6" x14ac:dyDescent="0.3">
      <c r="A2329" s="3" t="s">
        <v>13</v>
      </c>
      <c r="B2329" s="3" t="s">
        <v>52</v>
      </c>
      <c r="C2329" s="4" t="s">
        <v>12</v>
      </c>
      <c r="D2329" s="3" t="s">
        <v>11</v>
      </c>
      <c r="E2329" s="3" t="s">
        <v>49</v>
      </c>
      <c r="F2329" s="3">
        <v>0.27891894124815297</v>
      </c>
    </row>
    <row r="2330" spans="1:6" x14ac:dyDescent="0.3">
      <c r="A2330" s="1" t="s">
        <v>13</v>
      </c>
      <c r="B2330" s="1" t="s">
        <v>52</v>
      </c>
      <c r="C2330" s="2" t="s">
        <v>12</v>
      </c>
      <c r="D2330" s="1" t="s">
        <v>1</v>
      </c>
      <c r="E2330" s="1" t="s">
        <v>44</v>
      </c>
      <c r="F2330" s="1">
        <v>-24912.9899999999</v>
      </c>
    </row>
    <row r="2331" spans="1:6" x14ac:dyDescent="0.3">
      <c r="A2331" s="3" t="s">
        <v>13</v>
      </c>
      <c r="B2331" s="3" t="s">
        <v>52</v>
      </c>
      <c r="C2331" s="4" t="s">
        <v>12</v>
      </c>
      <c r="D2331" s="3" t="s">
        <v>1</v>
      </c>
      <c r="E2331" s="3" t="s">
        <v>45</v>
      </c>
      <c r="F2331" s="3">
        <v>78936.75</v>
      </c>
    </row>
    <row r="2332" spans="1:6" x14ac:dyDescent="0.3">
      <c r="A2332" s="1" t="s">
        <v>13</v>
      </c>
      <c r="B2332" s="1" t="s">
        <v>52</v>
      </c>
      <c r="C2332" s="2" t="s">
        <v>12</v>
      </c>
      <c r="D2332" s="1" t="s">
        <v>1</v>
      </c>
      <c r="E2332" s="1" t="s">
        <v>46</v>
      </c>
      <c r="F2332" s="1">
        <v>1904.6399999999901</v>
      </c>
    </row>
    <row r="2333" spans="1:6" x14ac:dyDescent="0.3">
      <c r="A2333" s="3" t="s">
        <v>13</v>
      </c>
      <c r="B2333" s="3" t="s">
        <v>52</v>
      </c>
      <c r="C2333" s="4" t="s">
        <v>12</v>
      </c>
      <c r="D2333" s="3" t="s">
        <v>1</v>
      </c>
      <c r="E2333" s="3" t="s">
        <v>47</v>
      </c>
      <c r="F2333" s="3">
        <v>1728.8999999999901</v>
      </c>
    </row>
    <row r="2334" spans="1:6" x14ac:dyDescent="0.3">
      <c r="A2334" s="1" t="s">
        <v>13</v>
      </c>
      <c r="B2334" s="1" t="s">
        <v>52</v>
      </c>
      <c r="C2334" s="2" t="s">
        <v>12</v>
      </c>
      <c r="D2334" s="1" t="s">
        <v>1</v>
      </c>
      <c r="E2334" s="1" t="s">
        <v>48</v>
      </c>
      <c r="F2334" s="1">
        <v>100216.19999999899</v>
      </c>
    </row>
    <row r="2335" spans="1:6" x14ac:dyDescent="0.3">
      <c r="A2335" s="3" t="s">
        <v>13</v>
      </c>
      <c r="B2335" s="3" t="s">
        <v>52</v>
      </c>
      <c r="C2335" s="4" t="s">
        <v>12</v>
      </c>
      <c r="D2335" s="3" t="s">
        <v>1</v>
      </c>
      <c r="E2335" s="3" t="s">
        <v>49</v>
      </c>
      <c r="F2335" s="3">
        <v>-0.31560698914003898</v>
      </c>
    </row>
    <row r="2336" spans="1:6" x14ac:dyDescent="0.3">
      <c r="A2336" s="1" t="s">
        <v>13</v>
      </c>
      <c r="B2336" s="1" t="s">
        <v>52</v>
      </c>
      <c r="C2336" s="2" t="s">
        <v>12</v>
      </c>
      <c r="D2336" s="1" t="s">
        <v>6</v>
      </c>
      <c r="E2336" s="1" t="s">
        <v>44</v>
      </c>
      <c r="F2336" s="1">
        <v>-25481.269999999899</v>
      </c>
    </row>
    <row r="2337" spans="1:6" x14ac:dyDescent="0.3">
      <c r="A2337" s="3" t="s">
        <v>13</v>
      </c>
      <c r="B2337" s="3" t="s">
        <v>52</v>
      </c>
      <c r="C2337" s="4" t="s">
        <v>12</v>
      </c>
      <c r="D2337" s="3" t="s">
        <v>6</v>
      </c>
      <c r="E2337" s="3" t="s">
        <v>45</v>
      </c>
      <c r="F2337" s="3">
        <v>78936.75</v>
      </c>
    </row>
    <row r="2338" spans="1:6" x14ac:dyDescent="0.3">
      <c r="A2338" s="1" t="s">
        <v>13</v>
      </c>
      <c r="B2338" s="1" t="s">
        <v>52</v>
      </c>
      <c r="C2338" s="2" t="s">
        <v>12</v>
      </c>
      <c r="D2338" s="1" t="s">
        <v>6</v>
      </c>
      <c r="E2338" s="1" t="s">
        <v>46</v>
      </c>
      <c r="F2338" s="1">
        <v>2539.52</v>
      </c>
    </row>
    <row r="2339" spans="1:6" x14ac:dyDescent="0.3">
      <c r="A2339" s="3" t="s">
        <v>13</v>
      </c>
      <c r="B2339" s="3" t="s">
        <v>52</v>
      </c>
      <c r="C2339" s="4" t="s">
        <v>12</v>
      </c>
      <c r="D2339" s="3" t="s">
        <v>6</v>
      </c>
      <c r="E2339" s="3" t="s">
        <v>47</v>
      </c>
      <c r="F2339" s="3">
        <v>1662.29999999999</v>
      </c>
    </row>
    <row r="2340" spans="1:6" x14ac:dyDescent="0.3">
      <c r="A2340" s="1" t="s">
        <v>13</v>
      </c>
      <c r="B2340" s="1" t="s">
        <v>52</v>
      </c>
      <c r="C2340" s="2" t="s">
        <v>12</v>
      </c>
      <c r="D2340" s="1" t="s">
        <v>6</v>
      </c>
      <c r="E2340" s="1" t="s">
        <v>48</v>
      </c>
      <c r="F2340" s="1">
        <v>100216.19999999899</v>
      </c>
    </row>
    <row r="2341" spans="1:6" x14ac:dyDescent="0.3">
      <c r="A2341" s="3" t="s">
        <v>13</v>
      </c>
      <c r="B2341" s="3" t="s">
        <v>52</v>
      </c>
      <c r="C2341" s="4" t="s">
        <v>12</v>
      </c>
      <c r="D2341" s="3" t="s">
        <v>6</v>
      </c>
      <c r="E2341" s="3" t="s">
        <v>49</v>
      </c>
      <c r="F2341" s="3">
        <v>-0.32280617076330098</v>
      </c>
    </row>
    <row r="2342" spans="1:6" x14ac:dyDescent="0.3">
      <c r="A2342" s="1" t="s">
        <v>13</v>
      </c>
      <c r="B2342" s="1" t="s">
        <v>52</v>
      </c>
      <c r="C2342" s="2" t="s">
        <v>12</v>
      </c>
      <c r="D2342" s="1" t="s">
        <v>9</v>
      </c>
      <c r="E2342" s="1" t="s">
        <v>44</v>
      </c>
      <c r="F2342" s="1">
        <v>-26884.679999999898</v>
      </c>
    </row>
    <row r="2343" spans="1:6" x14ac:dyDescent="0.3">
      <c r="A2343" s="3" t="s">
        <v>13</v>
      </c>
      <c r="B2343" s="3" t="s">
        <v>52</v>
      </c>
      <c r="C2343" s="4" t="s">
        <v>12</v>
      </c>
      <c r="D2343" s="3" t="s">
        <v>9</v>
      </c>
      <c r="E2343" s="3" t="s">
        <v>45</v>
      </c>
      <c r="F2343" s="3">
        <v>78936.75</v>
      </c>
    </row>
    <row r="2344" spans="1:6" x14ac:dyDescent="0.3">
      <c r="A2344" s="1" t="s">
        <v>13</v>
      </c>
      <c r="B2344" s="1" t="s">
        <v>52</v>
      </c>
      <c r="C2344" s="2" t="s">
        <v>12</v>
      </c>
      <c r="D2344" s="1" t="s">
        <v>9</v>
      </c>
      <c r="E2344" s="1" t="s">
        <v>46</v>
      </c>
      <c r="F2344" s="1">
        <v>3809.2799999999902</v>
      </c>
    </row>
    <row r="2345" spans="1:6" x14ac:dyDescent="0.3">
      <c r="A2345" s="3" t="s">
        <v>13</v>
      </c>
      <c r="B2345" s="3" t="s">
        <v>52</v>
      </c>
      <c r="C2345" s="4" t="s">
        <v>12</v>
      </c>
      <c r="D2345" s="3" t="s">
        <v>9</v>
      </c>
      <c r="E2345" s="3" t="s">
        <v>47</v>
      </c>
      <c r="F2345" s="3">
        <v>1795.94999999999</v>
      </c>
    </row>
    <row r="2346" spans="1:6" x14ac:dyDescent="0.3">
      <c r="A2346" s="1" t="s">
        <v>13</v>
      </c>
      <c r="B2346" s="1" t="s">
        <v>52</v>
      </c>
      <c r="C2346" s="2" t="s">
        <v>12</v>
      </c>
      <c r="D2346" s="1" t="s">
        <v>9</v>
      </c>
      <c r="E2346" s="1" t="s">
        <v>48</v>
      </c>
      <c r="F2346" s="1">
        <v>100216.19999999899</v>
      </c>
    </row>
    <row r="2347" spans="1:6" x14ac:dyDescent="0.3">
      <c r="A2347" s="3" t="s">
        <v>13</v>
      </c>
      <c r="B2347" s="3" t="s">
        <v>52</v>
      </c>
      <c r="C2347" s="4" t="s">
        <v>12</v>
      </c>
      <c r="D2347" s="3" t="s">
        <v>9</v>
      </c>
      <c r="E2347" s="3" t="s">
        <v>49</v>
      </c>
      <c r="F2347" s="3">
        <v>-0.34058508869442899</v>
      </c>
    </row>
    <row r="2348" spans="1:6" x14ac:dyDescent="0.3">
      <c r="A2348" s="1" t="s">
        <v>13</v>
      </c>
      <c r="B2348" s="1" t="s">
        <v>52</v>
      </c>
      <c r="C2348" s="2" t="s">
        <v>12</v>
      </c>
      <c r="D2348" s="1" t="s">
        <v>11</v>
      </c>
      <c r="E2348" s="1" t="s">
        <v>44</v>
      </c>
      <c r="F2348" s="1">
        <v>-27349.979999999901</v>
      </c>
    </row>
    <row r="2349" spans="1:6" x14ac:dyDescent="0.3">
      <c r="A2349" s="3" t="s">
        <v>13</v>
      </c>
      <c r="B2349" s="3" t="s">
        <v>52</v>
      </c>
      <c r="C2349" s="4" t="s">
        <v>12</v>
      </c>
      <c r="D2349" s="3" t="s">
        <v>11</v>
      </c>
      <c r="E2349" s="3" t="s">
        <v>45</v>
      </c>
      <c r="F2349" s="3">
        <v>78936.75</v>
      </c>
    </row>
    <row r="2350" spans="1:6" x14ac:dyDescent="0.3">
      <c r="A2350" s="1" t="s">
        <v>13</v>
      </c>
      <c r="B2350" s="1" t="s">
        <v>52</v>
      </c>
      <c r="C2350" s="2" t="s">
        <v>12</v>
      </c>
      <c r="D2350" s="1" t="s">
        <v>11</v>
      </c>
      <c r="E2350" s="1" t="s">
        <v>46</v>
      </c>
      <c r="F2350" s="1">
        <v>3809.2799999999902</v>
      </c>
    </row>
    <row r="2351" spans="1:6" x14ac:dyDescent="0.3">
      <c r="A2351" s="3" t="s">
        <v>13</v>
      </c>
      <c r="B2351" s="3" t="s">
        <v>52</v>
      </c>
      <c r="C2351" s="4" t="s">
        <v>12</v>
      </c>
      <c r="D2351" s="3" t="s">
        <v>11</v>
      </c>
      <c r="E2351" s="3" t="s">
        <v>47</v>
      </c>
      <c r="F2351" s="3">
        <v>2261.25</v>
      </c>
    </row>
    <row r="2352" spans="1:6" x14ac:dyDescent="0.3">
      <c r="A2352" s="1" t="s">
        <v>13</v>
      </c>
      <c r="B2352" s="1" t="s">
        <v>52</v>
      </c>
      <c r="C2352" s="2" t="s">
        <v>12</v>
      </c>
      <c r="D2352" s="1" t="s">
        <v>11</v>
      </c>
      <c r="E2352" s="1" t="s">
        <v>48</v>
      </c>
      <c r="F2352" s="1">
        <v>100216.19999999899</v>
      </c>
    </row>
    <row r="2353" spans="1:6" x14ac:dyDescent="0.3">
      <c r="A2353" s="3" t="s">
        <v>13</v>
      </c>
      <c r="B2353" s="3" t="s">
        <v>52</v>
      </c>
      <c r="C2353" s="4" t="s">
        <v>12</v>
      </c>
      <c r="D2353" s="3" t="s">
        <v>11</v>
      </c>
      <c r="E2353" s="3" t="s">
        <v>49</v>
      </c>
      <c r="F2353" s="3">
        <v>-0.34647968151716402</v>
      </c>
    </row>
    <row r="2354" spans="1:6" x14ac:dyDescent="0.3">
      <c r="A2354" s="1" t="s">
        <v>13</v>
      </c>
      <c r="B2354" s="1" t="s">
        <v>52</v>
      </c>
      <c r="C2354" s="2" t="s">
        <v>12</v>
      </c>
      <c r="D2354" s="1" t="s">
        <v>1</v>
      </c>
      <c r="E2354" s="1" t="s">
        <v>44</v>
      </c>
      <c r="F2354" s="1">
        <v>190091</v>
      </c>
    </row>
    <row r="2355" spans="1:6" x14ac:dyDescent="0.3">
      <c r="A2355" s="3" t="s">
        <v>13</v>
      </c>
      <c r="B2355" s="3" t="s">
        <v>52</v>
      </c>
      <c r="C2355" s="4" t="s">
        <v>12</v>
      </c>
      <c r="D2355" s="3" t="s">
        <v>1</v>
      </c>
      <c r="E2355" s="3" t="s">
        <v>45</v>
      </c>
      <c r="F2355" s="3">
        <v>190091</v>
      </c>
    </row>
    <row r="2356" spans="1:6" x14ac:dyDescent="0.3">
      <c r="A2356" s="1" t="s">
        <v>13</v>
      </c>
      <c r="B2356" s="1" t="s">
        <v>52</v>
      </c>
      <c r="C2356" s="2" t="s">
        <v>12</v>
      </c>
      <c r="D2356" s="1" t="s">
        <v>1</v>
      </c>
      <c r="E2356" s="1" t="s">
        <v>49</v>
      </c>
      <c r="F2356" s="1">
        <v>1</v>
      </c>
    </row>
    <row r="2357" spans="1:6" x14ac:dyDescent="0.3">
      <c r="A2357" s="3" t="s">
        <v>13</v>
      </c>
      <c r="B2357" s="3" t="s">
        <v>52</v>
      </c>
      <c r="C2357" s="4" t="s">
        <v>12</v>
      </c>
      <c r="D2357" s="3" t="s">
        <v>6</v>
      </c>
      <c r="E2357" s="3" t="s">
        <v>44</v>
      </c>
      <c r="F2357" s="3">
        <v>114960</v>
      </c>
    </row>
    <row r="2358" spans="1:6" x14ac:dyDescent="0.3">
      <c r="A2358" s="1" t="s">
        <v>13</v>
      </c>
      <c r="B2358" s="1" t="s">
        <v>52</v>
      </c>
      <c r="C2358" s="2" t="s">
        <v>12</v>
      </c>
      <c r="D2358" s="1" t="s">
        <v>6</v>
      </c>
      <c r="E2358" s="1" t="s">
        <v>45</v>
      </c>
      <c r="F2358" s="1">
        <v>114960</v>
      </c>
    </row>
    <row r="2359" spans="1:6" x14ac:dyDescent="0.3">
      <c r="A2359" s="3" t="s">
        <v>13</v>
      </c>
      <c r="B2359" s="3" t="s">
        <v>52</v>
      </c>
      <c r="C2359" s="4" t="s">
        <v>12</v>
      </c>
      <c r="D2359" s="3" t="s">
        <v>6</v>
      </c>
      <c r="E2359" s="3" t="s">
        <v>49</v>
      </c>
      <c r="F2359" s="3">
        <v>1</v>
      </c>
    </row>
    <row r="2360" spans="1:6" x14ac:dyDescent="0.3">
      <c r="A2360" s="1" t="s">
        <v>13</v>
      </c>
      <c r="B2360" s="1" t="s">
        <v>52</v>
      </c>
      <c r="C2360" s="2" t="s">
        <v>12</v>
      </c>
      <c r="D2360" s="1" t="s">
        <v>9</v>
      </c>
      <c r="E2360" s="1" t="s">
        <v>44</v>
      </c>
      <c r="F2360" s="1">
        <v>259111</v>
      </c>
    </row>
    <row r="2361" spans="1:6" x14ac:dyDescent="0.3">
      <c r="A2361" s="3" t="s">
        <v>13</v>
      </c>
      <c r="B2361" s="3" t="s">
        <v>52</v>
      </c>
      <c r="C2361" s="4" t="s">
        <v>12</v>
      </c>
      <c r="D2361" s="3" t="s">
        <v>9</v>
      </c>
      <c r="E2361" s="3" t="s">
        <v>45</v>
      </c>
      <c r="F2361" s="3">
        <v>259111</v>
      </c>
    </row>
    <row r="2362" spans="1:6" x14ac:dyDescent="0.3">
      <c r="A2362" s="1" t="s">
        <v>13</v>
      </c>
      <c r="B2362" s="1" t="s">
        <v>52</v>
      </c>
      <c r="C2362" s="2" t="s">
        <v>12</v>
      </c>
      <c r="D2362" s="1" t="s">
        <v>9</v>
      </c>
      <c r="E2362" s="1" t="s">
        <v>49</v>
      </c>
      <c r="F2362" s="1">
        <v>1</v>
      </c>
    </row>
    <row r="2363" spans="1:6" x14ac:dyDescent="0.3">
      <c r="A2363" s="3" t="s">
        <v>13</v>
      </c>
      <c r="B2363" s="3" t="s">
        <v>52</v>
      </c>
      <c r="C2363" s="4" t="s">
        <v>12</v>
      </c>
      <c r="D2363" s="3" t="s">
        <v>11</v>
      </c>
      <c r="E2363" s="3" t="s">
        <v>44</v>
      </c>
      <c r="F2363" s="3">
        <v>146960</v>
      </c>
    </row>
    <row r="2364" spans="1:6" x14ac:dyDescent="0.3">
      <c r="A2364" s="1" t="s">
        <v>13</v>
      </c>
      <c r="B2364" s="1" t="s">
        <v>52</v>
      </c>
      <c r="C2364" s="2" t="s">
        <v>12</v>
      </c>
      <c r="D2364" s="1" t="s">
        <v>11</v>
      </c>
      <c r="E2364" s="1" t="s">
        <v>45</v>
      </c>
      <c r="F2364" s="1">
        <v>146960</v>
      </c>
    </row>
    <row r="2365" spans="1:6" x14ac:dyDescent="0.3">
      <c r="A2365" s="3" t="s">
        <v>13</v>
      </c>
      <c r="B2365" s="3" t="s">
        <v>52</v>
      </c>
      <c r="C2365" s="4" t="s">
        <v>12</v>
      </c>
      <c r="D2365" s="3" t="s">
        <v>11</v>
      </c>
      <c r="E2365" s="3" t="s">
        <v>49</v>
      </c>
      <c r="F2365" s="3">
        <v>1</v>
      </c>
    </row>
    <row r="2366" spans="1:6" x14ac:dyDescent="0.3">
      <c r="A2366" s="1" t="s">
        <v>13</v>
      </c>
      <c r="B2366" s="1" t="s">
        <v>52</v>
      </c>
      <c r="C2366" s="2" t="s">
        <v>12</v>
      </c>
      <c r="D2366" s="1" t="s">
        <v>1</v>
      </c>
      <c r="E2366" s="1" t="s">
        <v>44</v>
      </c>
      <c r="F2366" s="1">
        <v>36598.499999999898</v>
      </c>
    </row>
    <row r="2367" spans="1:6" x14ac:dyDescent="0.3">
      <c r="A2367" s="3" t="s">
        <v>13</v>
      </c>
      <c r="B2367" s="3" t="s">
        <v>52</v>
      </c>
      <c r="C2367" s="4" t="s">
        <v>12</v>
      </c>
      <c r="D2367" s="3" t="s">
        <v>1</v>
      </c>
      <c r="E2367" s="3" t="s">
        <v>45</v>
      </c>
      <c r="F2367" s="3">
        <v>36598.499999999898</v>
      </c>
    </row>
    <row r="2368" spans="1:6" x14ac:dyDescent="0.3">
      <c r="A2368" s="1" t="s">
        <v>13</v>
      </c>
      <c r="B2368" s="1" t="s">
        <v>52</v>
      </c>
      <c r="C2368" s="2" t="s">
        <v>12</v>
      </c>
      <c r="D2368" s="1" t="s">
        <v>1</v>
      </c>
      <c r="E2368" s="1" t="s">
        <v>49</v>
      </c>
      <c r="F2368" s="1">
        <v>1</v>
      </c>
    </row>
    <row r="2369" spans="1:6" x14ac:dyDescent="0.3">
      <c r="A2369" s="3" t="s">
        <v>13</v>
      </c>
      <c r="B2369" s="3" t="s">
        <v>52</v>
      </c>
      <c r="C2369" s="4" t="s">
        <v>12</v>
      </c>
      <c r="D2369" s="3" t="s">
        <v>6</v>
      </c>
      <c r="E2369" s="3" t="s">
        <v>44</v>
      </c>
      <c r="F2369" s="3">
        <v>36598.499999999898</v>
      </c>
    </row>
    <row r="2370" spans="1:6" x14ac:dyDescent="0.3">
      <c r="A2370" s="1" t="s">
        <v>13</v>
      </c>
      <c r="B2370" s="1" t="s">
        <v>52</v>
      </c>
      <c r="C2370" s="2" t="s">
        <v>12</v>
      </c>
      <c r="D2370" s="1" t="s">
        <v>6</v>
      </c>
      <c r="E2370" s="1" t="s">
        <v>45</v>
      </c>
      <c r="F2370" s="1">
        <v>36598.499999999898</v>
      </c>
    </row>
    <row r="2371" spans="1:6" x14ac:dyDescent="0.3">
      <c r="A2371" s="3" t="s">
        <v>13</v>
      </c>
      <c r="B2371" s="3" t="s">
        <v>52</v>
      </c>
      <c r="C2371" s="4" t="s">
        <v>12</v>
      </c>
      <c r="D2371" s="3" t="s">
        <v>6</v>
      </c>
      <c r="E2371" s="3" t="s">
        <v>49</v>
      </c>
      <c r="F2371" s="3">
        <v>1</v>
      </c>
    </row>
    <row r="2372" spans="1:6" x14ac:dyDescent="0.3">
      <c r="A2372" s="1" t="s">
        <v>13</v>
      </c>
      <c r="B2372" s="1" t="s">
        <v>52</v>
      </c>
      <c r="C2372" s="2" t="s">
        <v>12</v>
      </c>
      <c r="D2372" s="1" t="s">
        <v>9</v>
      </c>
      <c r="E2372" s="1" t="s">
        <v>44</v>
      </c>
      <c r="F2372" s="1">
        <v>36598.499999999898</v>
      </c>
    </row>
    <row r="2373" spans="1:6" x14ac:dyDescent="0.3">
      <c r="A2373" s="3" t="s">
        <v>13</v>
      </c>
      <c r="B2373" s="3" t="s">
        <v>52</v>
      </c>
      <c r="C2373" s="4" t="s">
        <v>12</v>
      </c>
      <c r="D2373" s="3" t="s">
        <v>9</v>
      </c>
      <c r="E2373" s="3" t="s">
        <v>45</v>
      </c>
      <c r="F2373" s="3">
        <v>36598.499999999898</v>
      </c>
    </row>
    <row r="2374" spans="1:6" x14ac:dyDescent="0.3">
      <c r="A2374" s="1" t="s">
        <v>13</v>
      </c>
      <c r="B2374" s="1" t="s">
        <v>52</v>
      </c>
      <c r="C2374" s="2" t="s">
        <v>12</v>
      </c>
      <c r="D2374" s="1" t="s">
        <v>9</v>
      </c>
      <c r="E2374" s="1" t="s">
        <v>49</v>
      </c>
      <c r="F2374" s="1">
        <v>1</v>
      </c>
    </row>
    <row r="2375" spans="1:6" x14ac:dyDescent="0.3">
      <c r="A2375" s="3" t="s">
        <v>13</v>
      </c>
      <c r="B2375" s="3" t="s">
        <v>52</v>
      </c>
      <c r="C2375" s="4" t="s">
        <v>12</v>
      </c>
      <c r="D2375" s="3" t="s">
        <v>11</v>
      </c>
      <c r="E2375" s="3" t="s">
        <v>44</v>
      </c>
      <c r="F2375" s="3">
        <v>36598.499999999898</v>
      </c>
    </row>
    <row r="2376" spans="1:6" x14ac:dyDescent="0.3">
      <c r="A2376" s="1" t="s">
        <v>13</v>
      </c>
      <c r="B2376" s="1" t="s">
        <v>52</v>
      </c>
      <c r="C2376" s="2" t="s">
        <v>12</v>
      </c>
      <c r="D2376" s="1" t="s">
        <v>11</v>
      </c>
      <c r="E2376" s="1" t="s">
        <v>45</v>
      </c>
      <c r="F2376" s="1">
        <v>36598.499999999898</v>
      </c>
    </row>
    <row r="2377" spans="1:6" x14ac:dyDescent="0.3">
      <c r="A2377" s="3" t="s">
        <v>13</v>
      </c>
      <c r="B2377" s="3" t="s">
        <v>52</v>
      </c>
      <c r="C2377" s="4" t="s">
        <v>12</v>
      </c>
      <c r="D2377" s="3" t="s">
        <v>11</v>
      </c>
      <c r="E2377" s="3" t="s">
        <v>49</v>
      </c>
      <c r="F2377" s="3">
        <v>1</v>
      </c>
    </row>
    <row r="2378" spans="1:6" x14ac:dyDescent="0.3">
      <c r="A2378" s="1" t="s">
        <v>13</v>
      </c>
      <c r="B2378" s="1" t="s">
        <v>52</v>
      </c>
      <c r="C2378" s="2" t="s">
        <v>12</v>
      </c>
      <c r="D2378" s="1" t="s">
        <v>1</v>
      </c>
      <c r="E2378" s="1" t="s">
        <v>44</v>
      </c>
      <c r="F2378" s="1">
        <v>160611</v>
      </c>
    </row>
    <row r="2379" spans="1:6" x14ac:dyDescent="0.3">
      <c r="A2379" s="3" t="s">
        <v>13</v>
      </c>
      <c r="B2379" s="3" t="s">
        <v>52</v>
      </c>
      <c r="C2379" s="4" t="s">
        <v>12</v>
      </c>
      <c r="D2379" s="3" t="s">
        <v>1</v>
      </c>
      <c r="E2379" s="3" t="s">
        <v>45</v>
      </c>
      <c r="F2379" s="3">
        <v>160611</v>
      </c>
    </row>
    <row r="2380" spans="1:6" x14ac:dyDescent="0.3">
      <c r="A2380" s="1" t="s">
        <v>13</v>
      </c>
      <c r="B2380" s="1" t="s">
        <v>52</v>
      </c>
      <c r="C2380" s="2" t="s">
        <v>12</v>
      </c>
      <c r="D2380" s="1" t="s">
        <v>1</v>
      </c>
      <c r="E2380" s="1" t="s">
        <v>49</v>
      </c>
      <c r="F2380" s="1">
        <v>1</v>
      </c>
    </row>
    <row r="2381" spans="1:6" x14ac:dyDescent="0.3">
      <c r="A2381" s="3" t="s">
        <v>13</v>
      </c>
      <c r="B2381" s="3" t="s">
        <v>52</v>
      </c>
      <c r="C2381" s="4" t="s">
        <v>12</v>
      </c>
      <c r="D2381" s="3" t="s">
        <v>6</v>
      </c>
      <c r="E2381" s="3" t="s">
        <v>44</v>
      </c>
      <c r="F2381" s="3">
        <v>62460</v>
      </c>
    </row>
    <row r="2382" spans="1:6" x14ac:dyDescent="0.3">
      <c r="A2382" s="1" t="s">
        <v>13</v>
      </c>
      <c r="B2382" s="1" t="s">
        <v>52</v>
      </c>
      <c r="C2382" s="2" t="s">
        <v>12</v>
      </c>
      <c r="D2382" s="1" t="s">
        <v>6</v>
      </c>
      <c r="E2382" s="1" t="s">
        <v>45</v>
      </c>
      <c r="F2382" s="1">
        <v>62460</v>
      </c>
    </row>
    <row r="2383" spans="1:6" x14ac:dyDescent="0.3">
      <c r="A2383" s="3" t="s">
        <v>13</v>
      </c>
      <c r="B2383" s="3" t="s">
        <v>52</v>
      </c>
      <c r="C2383" s="4" t="s">
        <v>12</v>
      </c>
      <c r="D2383" s="3" t="s">
        <v>6</v>
      </c>
      <c r="E2383" s="3" t="s">
        <v>49</v>
      </c>
      <c r="F2383" s="3">
        <v>1</v>
      </c>
    </row>
    <row r="2384" spans="1:6" x14ac:dyDescent="0.3">
      <c r="A2384" s="1" t="s">
        <v>13</v>
      </c>
      <c r="B2384" s="1" t="s">
        <v>52</v>
      </c>
      <c r="C2384" s="2" t="s">
        <v>12</v>
      </c>
      <c r="D2384" s="1" t="s">
        <v>9</v>
      </c>
      <c r="E2384" s="1" t="s">
        <v>44</v>
      </c>
      <c r="F2384" s="1">
        <v>160611</v>
      </c>
    </row>
    <row r="2385" spans="1:6" x14ac:dyDescent="0.3">
      <c r="A2385" s="3" t="s">
        <v>13</v>
      </c>
      <c r="B2385" s="3" t="s">
        <v>52</v>
      </c>
      <c r="C2385" s="4" t="s">
        <v>12</v>
      </c>
      <c r="D2385" s="3" t="s">
        <v>9</v>
      </c>
      <c r="E2385" s="3" t="s">
        <v>45</v>
      </c>
      <c r="F2385" s="3">
        <v>160611</v>
      </c>
    </row>
    <row r="2386" spans="1:6" x14ac:dyDescent="0.3">
      <c r="A2386" s="1" t="s">
        <v>13</v>
      </c>
      <c r="B2386" s="1" t="s">
        <v>52</v>
      </c>
      <c r="C2386" s="2" t="s">
        <v>12</v>
      </c>
      <c r="D2386" s="1" t="s">
        <v>9</v>
      </c>
      <c r="E2386" s="1" t="s">
        <v>49</v>
      </c>
      <c r="F2386" s="1">
        <v>1</v>
      </c>
    </row>
    <row r="2387" spans="1:6" x14ac:dyDescent="0.3">
      <c r="A2387" s="3" t="s">
        <v>13</v>
      </c>
      <c r="B2387" s="3" t="s">
        <v>52</v>
      </c>
      <c r="C2387" s="4" t="s">
        <v>12</v>
      </c>
      <c r="D2387" s="3" t="s">
        <v>11</v>
      </c>
      <c r="E2387" s="3" t="s">
        <v>44</v>
      </c>
      <c r="F2387" s="3">
        <v>62460</v>
      </c>
    </row>
    <row r="2388" spans="1:6" x14ac:dyDescent="0.3">
      <c r="A2388" s="1" t="s">
        <v>13</v>
      </c>
      <c r="B2388" s="1" t="s">
        <v>52</v>
      </c>
      <c r="C2388" s="2" t="s">
        <v>12</v>
      </c>
      <c r="D2388" s="1" t="s">
        <v>11</v>
      </c>
      <c r="E2388" s="1" t="s">
        <v>45</v>
      </c>
      <c r="F2388" s="1">
        <v>62460</v>
      </c>
    </row>
    <row r="2389" spans="1:6" x14ac:dyDescent="0.3">
      <c r="A2389" s="3" t="s">
        <v>13</v>
      </c>
      <c r="B2389" s="3" t="s">
        <v>52</v>
      </c>
      <c r="C2389" s="4" t="s">
        <v>12</v>
      </c>
      <c r="D2389" s="3" t="s">
        <v>11</v>
      </c>
      <c r="E2389" s="3" t="s">
        <v>49</v>
      </c>
      <c r="F2389" s="3">
        <v>1</v>
      </c>
    </row>
    <row r="2390" spans="1:6" x14ac:dyDescent="0.3">
      <c r="A2390" s="1" t="s">
        <v>13</v>
      </c>
      <c r="B2390" s="1" t="s">
        <v>52</v>
      </c>
      <c r="C2390" s="2" t="s">
        <v>12</v>
      </c>
      <c r="D2390" s="1" t="s">
        <v>1</v>
      </c>
      <c r="E2390" s="1" t="s">
        <v>44</v>
      </c>
      <c r="F2390" s="1">
        <v>-17154.3</v>
      </c>
    </row>
    <row r="2391" spans="1:6" x14ac:dyDescent="0.3">
      <c r="A2391" s="3" t="s">
        <v>13</v>
      </c>
      <c r="B2391" s="3" t="s">
        <v>52</v>
      </c>
      <c r="C2391" s="4" t="s">
        <v>12</v>
      </c>
      <c r="D2391" s="3" t="s">
        <v>1</v>
      </c>
      <c r="E2391" s="3" t="s">
        <v>45</v>
      </c>
      <c r="F2391" s="3">
        <v>38272.5</v>
      </c>
    </row>
    <row r="2392" spans="1:6" x14ac:dyDescent="0.3">
      <c r="A2392" s="1" t="s">
        <v>13</v>
      </c>
      <c r="B2392" s="1" t="s">
        <v>52</v>
      </c>
      <c r="C2392" s="2" t="s">
        <v>12</v>
      </c>
      <c r="D2392" s="1" t="s">
        <v>1</v>
      </c>
      <c r="E2392" s="1" t="s">
        <v>47</v>
      </c>
      <c r="F2392" s="1">
        <v>5320.7999999999902</v>
      </c>
    </row>
    <row r="2393" spans="1:6" x14ac:dyDescent="0.3">
      <c r="A2393" s="3" t="s">
        <v>13</v>
      </c>
      <c r="B2393" s="3" t="s">
        <v>52</v>
      </c>
      <c r="C2393" s="4" t="s">
        <v>12</v>
      </c>
      <c r="D2393" s="3" t="s">
        <v>1</v>
      </c>
      <c r="E2393" s="3" t="s">
        <v>48</v>
      </c>
      <c r="F2393" s="3">
        <v>50106</v>
      </c>
    </row>
    <row r="2394" spans="1:6" x14ac:dyDescent="0.3">
      <c r="A2394" s="1" t="s">
        <v>13</v>
      </c>
      <c r="B2394" s="1" t="s">
        <v>52</v>
      </c>
      <c r="C2394" s="2" t="s">
        <v>12</v>
      </c>
      <c r="D2394" s="1" t="s">
        <v>1</v>
      </c>
      <c r="E2394" s="1" t="s">
        <v>49</v>
      </c>
      <c r="F2394" s="1">
        <v>-0.44821477562218298</v>
      </c>
    </row>
    <row r="2395" spans="1:6" x14ac:dyDescent="0.3">
      <c r="A2395" s="3" t="s">
        <v>13</v>
      </c>
      <c r="B2395" s="3" t="s">
        <v>52</v>
      </c>
      <c r="C2395" s="4" t="s">
        <v>12</v>
      </c>
      <c r="D2395" s="3" t="s">
        <v>6</v>
      </c>
      <c r="E2395" s="3" t="s">
        <v>44</v>
      </c>
      <c r="F2395" s="3">
        <v>2186.6999999999898</v>
      </c>
    </row>
    <row r="2396" spans="1:6" x14ac:dyDescent="0.3">
      <c r="A2396" s="1" t="s">
        <v>13</v>
      </c>
      <c r="B2396" s="1" t="s">
        <v>52</v>
      </c>
      <c r="C2396" s="2" t="s">
        <v>12</v>
      </c>
      <c r="D2396" s="1" t="s">
        <v>6</v>
      </c>
      <c r="E2396" s="1" t="s">
        <v>45</v>
      </c>
      <c r="F2396" s="1">
        <v>57408.75</v>
      </c>
    </row>
    <row r="2397" spans="1:6" x14ac:dyDescent="0.3">
      <c r="A2397" s="3" t="s">
        <v>13</v>
      </c>
      <c r="B2397" s="3" t="s">
        <v>52</v>
      </c>
      <c r="C2397" s="4" t="s">
        <v>12</v>
      </c>
      <c r="D2397" s="3" t="s">
        <v>6</v>
      </c>
      <c r="E2397" s="3" t="s">
        <v>47</v>
      </c>
      <c r="F2397" s="3">
        <v>5116.0499999999902</v>
      </c>
    </row>
    <row r="2398" spans="1:6" x14ac:dyDescent="0.3">
      <c r="A2398" s="1" t="s">
        <v>13</v>
      </c>
      <c r="B2398" s="1" t="s">
        <v>52</v>
      </c>
      <c r="C2398" s="2" t="s">
        <v>12</v>
      </c>
      <c r="D2398" s="1" t="s">
        <v>6</v>
      </c>
      <c r="E2398" s="1" t="s">
        <v>48</v>
      </c>
      <c r="F2398" s="1">
        <v>50106</v>
      </c>
    </row>
    <row r="2399" spans="1:6" x14ac:dyDescent="0.3">
      <c r="A2399" s="3" t="s">
        <v>13</v>
      </c>
      <c r="B2399" s="3" t="s">
        <v>52</v>
      </c>
      <c r="C2399" s="4" t="s">
        <v>12</v>
      </c>
      <c r="D2399" s="3" t="s">
        <v>6</v>
      </c>
      <c r="E2399" s="3" t="s">
        <v>49</v>
      </c>
      <c r="F2399" s="3">
        <v>3.8090012410999997E-2</v>
      </c>
    </row>
    <row r="2400" spans="1:6" x14ac:dyDescent="0.3">
      <c r="A2400" s="1" t="s">
        <v>13</v>
      </c>
      <c r="B2400" s="1" t="s">
        <v>52</v>
      </c>
      <c r="C2400" s="2" t="s">
        <v>12</v>
      </c>
      <c r="D2400" s="1" t="s">
        <v>9</v>
      </c>
      <c r="E2400" s="1" t="s">
        <v>44</v>
      </c>
      <c r="F2400" s="1">
        <v>-12492.449999999901</v>
      </c>
    </row>
    <row r="2401" spans="1:6" x14ac:dyDescent="0.3">
      <c r="A2401" s="3" t="s">
        <v>13</v>
      </c>
      <c r="B2401" s="3" t="s">
        <v>52</v>
      </c>
      <c r="C2401" s="4" t="s">
        <v>12</v>
      </c>
      <c r="D2401" s="3" t="s">
        <v>9</v>
      </c>
      <c r="E2401" s="3" t="s">
        <v>45</v>
      </c>
      <c r="F2401" s="3">
        <v>76545</v>
      </c>
    </row>
    <row r="2402" spans="1:6" x14ac:dyDescent="0.3">
      <c r="A2402" s="1" t="s">
        <v>13</v>
      </c>
      <c r="B2402" s="1" t="s">
        <v>52</v>
      </c>
      <c r="C2402" s="2" t="s">
        <v>12</v>
      </c>
      <c r="D2402" s="1" t="s">
        <v>9</v>
      </c>
      <c r="E2402" s="1" t="s">
        <v>47</v>
      </c>
      <c r="F2402" s="1">
        <v>5524.6499999999896</v>
      </c>
    </row>
    <row r="2403" spans="1:6" x14ac:dyDescent="0.3">
      <c r="A2403" s="3" t="s">
        <v>13</v>
      </c>
      <c r="B2403" s="3" t="s">
        <v>52</v>
      </c>
      <c r="C2403" s="4" t="s">
        <v>12</v>
      </c>
      <c r="D2403" s="3" t="s">
        <v>9</v>
      </c>
      <c r="E2403" s="3" t="s">
        <v>48</v>
      </c>
      <c r="F2403" s="3">
        <v>83512.799999999901</v>
      </c>
    </row>
    <row r="2404" spans="1:6" x14ac:dyDescent="0.3">
      <c r="A2404" s="1" t="s">
        <v>13</v>
      </c>
      <c r="B2404" s="1" t="s">
        <v>52</v>
      </c>
      <c r="C2404" s="2" t="s">
        <v>12</v>
      </c>
      <c r="D2404" s="1" t="s">
        <v>9</v>
      </c>
      <c r="E2404" s="1" t="s">
        <v>49</v>
      </c>
      <c r="F2404" s="1">
        <v>-0.16320399764844201</v>
      </c>
    </row>
    <row r="2405" spans="1:6" x14ac:dyDescent="0.3">
      <c r="A2405" s="3" t="s">
        <v>13</v>
      </c>
      <c r="B2405" s="3" t="s">
        <v>52</v>
      </c>
      <c r="C2405" s="4" t="s">
        <v>12</v>
      </c>
      <c r="D2405" s="3" t="s">
        <v>11</v>
      </c>
      <c r="E2405" s="3" t="s">
        <v>44</v>
      </c>
      <c r="F2405" s="3">
        <v>-11492.3999999999</v>
      </c>
    </row>
    <row r="2406" spans="1:6" x14ac:dyDescent="0.3">
      <c r="A2406" s="1" t="s">
        <v>13</v>
      </c>
      <c r="B2406" s="1" t="s">
        <v>52</v>
      </c>
      <c r="C2406" s="2" t="s">
        <v>12</v>
      </c>
      <c r="D2406" s="1" t="s">
        <v>11</v>
      </c>
      <c r="E2406" s="1" t="s">
        <v>45</v>
      </c>
      <c r="F2406" s="1">
        <v>95681.25</v>
      </c>
    </row>
    <row r="2407" spans="1:6" x14ac:dyDescent="0.3">
      <c r="A2407" s="3" t="s">
        <v>13</v>
      </c>
      <c r="B2407" s="3" t="s">
        <v>52</v>
      </c>
      <c r="C2407" s="4" t="s">
        <v>12</v>
      </c>
      <c r="D2407" s="3" t="s">
        <v>11</v>
      </c>
      <c r="E2407" s="3" t="s">
        <v>47</v>
      </c>
      <c r="F2407" s="3">
        <v>6957.4499999999898</v>
      </c>
    </row>
    <row r="2408" spans="1:6" x14ac:dyDescent="0.3">
      <c r="A2408" s="1" t="s">
        <v>13</v>
      </c>
      <c r="B2408" s="1" t="s">
        <v>52</v>
      </c>
      <c r="C2408" s="2" t="s">
        <v>12</v>
      </c>
      <c r="D2408" s="1" t="s">
        <v>11</v>
      </c>
      <c r="E2408" s="1" t="s">
        <v>48</v>
      </c>
      <c r="F2408" s="1">
        <v>100216.19999999899</v>
      </c>
    </row>
    <row r="2409" spans="1:6" x14ac:dyDescent="0.3">
      <c r="A2409" s="3" t="s">
        <v>13</v>
      </c>
      <c r="B2409" s="3" t="s">
        <v>52</v>
      </c>
      <c r="C2409" s="4" t="s">
        <v>12</v>
      </c>
      <c r="D2409" s="3" t="s">
        <v>11</v>
      </c>
      <c r="E2409" s="3" t="s">
        <v>49</v>
      </c>
      <c r="F2409" s="3">
        <v>-0.12011130707426999</v>
      </c>
    </row>
    <row r="2410" spans="1:6" x14ac:dyDescent="0.3">
      <c r="A2410" s="1" t="s">
        <v>17</v>
      </c>
      <c r="B2410" s="1" t="s">
        <v>43</v>
      </c>
      <c r="C2410" s="2" t="s">
        <v>7</v>
      </c>
      <c r="D2410" s="1" t="s">
        <v>1</v>
      </c>
      <c r="E2410" s="1" t="s">
        <v>44</v>
      </c>
      <c r="F2410" s="1">
        <v>225986.9436</v>
      </c>
    </row>
    <row r="2411" spans="1:6" x14ac:dyDescent="0.3">
      <c r="A2411" s="3" t="s">
        <v>17</v>
      </c>
      <c r="B2411" s="3" t="s">
        <v>43</v>
      </c>
      <c r="C2411" s="4" t="s">
        <v>7</v>
      </c>
      <c r="D2411" s="3" t="s">
        <v>1</v>
      </c>
      <c r="E2411" s="3" t="s">
        <v>45</v>
      </c>
      <c r="F2411" s="3">
        <v>233887.5</v>
      </c>
    </row>
    <row r="2412" spans="1:6" x14ac:dyDescent="0.3">
      <c r="A2412" s="1" t="s">
        <v>17</v>
      </c>
      <c r="B2412" s="1" t="s">
        <v>43</v>
      </c>
      <c r="C2412" s="2" t="s">
        <v>7</v>
      </c>
      <c r="D2412" s="1" t="s">
        <v>1</v>
      </c>
      <c r="E2412" s="1" t="s">
        <v>47</v>
      </c>
      <c r="F2412" s="1">
        <v>1300.5563999999899</v>
      </c>
    </row>
    <row r="2413" spans="1:6" x14ac:dyDescent="0.3">
      <c r="A2413" s="3" t="s">
        <v>17</v>
      </c>
      <c r="B2413" s="3" t="s">
        <v>43</v>
      </c>
      <c r="C2413" s="4" t="s">
        <v>7</v>
      </c>
      <c r="D2413" s="3" t="s">
        <v>1</v>
      </c>
      <c r="E2413" s="3" t="s">
        <v>48</v>
      </c>
      <c r="F2413" s="3">
        <v>6600</v>
      </c>
    </row>
    <row r="2414" spans="1:6" x14ac:dyDescent="0.3">
      <c r="A2414" s="1" t="s">
        <v>17</v>
      </c>
      <c r="B2414" s="1" t="s">
        <v>43</v>
      </c>
      <c r="C2414" s="2" t="s">
        <v>7</v>
      </c>
      <c r="D2414" s="1" t="s">
        <v>1</v>
      </c>
      <c r="E2414" s="1" t="s">
        <v>49</v>
      </c>
      <c r="F2414" s="1">
        <v>0.96622069841269798</v>
      </c>
    </row>
    <row r="2415" spans="1:6" x14ac:dyDescent="0.3">
      <c r="A2415" s="3" t="s">
        <v>17</v>
      </c>
      <c r="B2415" s="3" t="s">
        <v>43</v>
      </c>
      <c r="C2415" s="4" t="s">
        <v>7</v>
      </c>
      <c r="D2415" s="3" t="s">
        <v>6</v>
      </c>
      <c r="E2415" s="3" t="s">
        <v>44</v>
      </c>
      <c r="F2415" s="3">
        <v>339680.71500000003</v>
      </c>
    </row>
    <row r="2416" spans="1:6" x14ac:dyDescent="0.3">
      <c r="A2416" s="1" t="s">
        <v>17</v>
      </c>
      <c r="B2416" s="1" t="s">
        <v>43</v>
      </c>
      <c r="C2416" s="2" t="s">
        <v>7</v>
      </c>
      <c r="D2416" s="1" t="s">
        <v>6</v>
      </c>
      <c r="E2416" s="1" t="s">
        <v>45</v>
      </c>
      <c r="F2416" s="1">
        <v>350831.25</v>
      </c>
    </row>
    <row r="2417" spans="1:6" x14ac:dyDescent="0.3">
      <c r="A2417" s="3" t="s">
        <v>17</v>
      </c>
      <c r="B2417" s="3" t="s">
        <v>43</v>
      </c>
      <c r="C2417" s="4" t="s">
        <v>7</v>
      </c>
      <c r="D2417" s="3" t="s">
        <v>6</v>
      </c>
      <c r="E2417" s="3" t="s">
        <v>47</v>
      </c>
      <c r="F2417" s="3">
        <v>1250.5349999999901</v>
      </c>
    </row>
    <row r="2418" spans="1:6" x14ac:dyDescent="0.3">
      <c r="A2418" s="1" t="s">
        <v>17</v>
      </c>
      <c r="B2418" s="1" t="s">
        <v>43</v>
      </c>
      <c r="C2418" s="2" t="s">
        <v>7</v>
      </c>
      <c r="D2418" s="1" t="s">
        <v>6</v>
      </c>
      <c r="E2418" s="1" t="s">
        <v>48</v>
      </c>
      <c r="F2418" s="1">
        <v>9900</v>
      </c>
    </row>
    <row r="2419" spans="1:6" x14ac:dyDescent="0.3">
      <c r="A2419" s="3" t="s">
        <v>17</v>
      </c>
      <c r="B2419" s="3" t="s">
        <v>43</v>
      </c>
      <c r="C2419" s="4" t="s">
        <v>7</v>
      </c>
      <c r="D2419" s="3" t="s">
        <v>6</v>
      </c>
      <c r="E2419" s="3" t="s">
        <v>49</v>
      </c>
      <c r="F2419" s="3">
        <v>0.968216813639035</v>
      </c>
    </row>
    <row r="2420" spans="1:6" x14ac:dyDescent="0.3">
      <c r="A2420" s="1" t="s">
        <v>17</v>
      </c>
      <c r="B2420" s="1" t="s">
        <v>43</v>
      </c>
      <c r="C2420" s="2" t="s">
        <v>7</v>
      </c>
      <c r="D2420" s="1" t="s">
        <v>9</v>
      </c>
      <c r="E2420" s="1" t="s">
        <v>44</v>
      </c>
      <c r="F2420" s="1">
        <v>453224.42219999898</v>
      </c>
    </row>
    <row r="2421" spans="1:6" x14ac:dyDescent="0.3">
      <c r="A2421" s="3" t="s">
        <v>17</v>
      </c>
      <c r="B2421" s="3" t="s">
        <v>43</v>
      </c>
      <c r="C2421" s="4" t="s">
        <v>7</v>
      </c>
      <c r="D2421" s="3" t="s">
        <v>9</v>
      </c>
      <c r="E2421" s="3" t="s">
        <v>45</v>
      </c>
      <c r="F2421" s="3">
        <v>467775</v>
      </c>
    </row>
    <row r="2422" spans="1:6" x14ac:dyDescent="0.3">
      <c r="A2422" s="1" t="s">
        <v>17</v>
      </c>
      <c r="B2422" s="1" t="s">
        <v>43</v>
      </c>
      <c r="C2422" s="2" t="s">
        <v>7</v>
      </c>
      <c r="D2422" s="1" t="s">
        <v>9</v>
      </c>
      <c r="E2422" s="1" t="s">
        <v>47</v>
      </c>
      <c r="F2422" s="1">
        <v>1350.57779999999</v>
      </c>
    </row>
    <row r="2423" spans="1:6" x14ac:dyDescent="0.3">
      <c r="A2423" s="3" t="s">
        <v>17</v>
      </c>
      <c r="B2423" s="3" t="s">
        <v>43</v>
      </c>
      <c r="C2423" s="4" t="s">
        <v>7</v>
      </c>
      <c r="D2423" s="3" t="s">
        <v>9</v>
      </c>
      <c r="E2423" s="3" t="s">
        <v>48</v>
      </c>
      <c r="F2423" s="3">
        <v>13200</v>
      </c>
    </row>
    <row r="2424" spans="1:6" x14ac:dyDescent="0.3">
      <c r="A2424" s="1" t="s">
        <v>17</v>
      </c>
      <c r="B2424" s="1" t="s">
        <v>43</v>
      </c>
      <c r="C2424" s="2" t="s">
        <v>7</v>
      </c>
      <c r="D2424" s="1" t="s">
        <v>9</v>
      </c>
      <c r="E2424" s="1" t="s">
        <v>49</v>
      </c>
      <c r="F2424" s="1">
        <v>0.96889406701939995</v>
      </c>
    </row>
    <row r="2425" spans="1:6" x14ac:dyDescent="0.3">
      <c r="A2425" s="3" t="s">
        <v>17</v>
      </c>
      <c r="B2425" s="3" t="s">
        <v>43</v>
      </c>
      <c r="C2425" s="4" t="s">
        <v>7</v>
      </c>
      <c r="D2425" s="3" t="s">
        <v>11</v>
      </c>
      <c r="E2425" s="3" t="s">
        <v>44</v>
      </c>
      <c r="F2425" s="3">
        <v>566518.02240000002</v>
      </c>
    </row>
    <row r="2426" spans="1:6" x14ac:dyDescent="0.3">
      <c r="A2426" s="1" t="s">
        <v>17</v>
      </c>
      <c r="B2426" s="1" t="s">
        <v>43</v>
      </c>
      <c r="C2426" s="2" t="s">
        <v>7</v>
      </c>
      <c r="D2426" s="1" t="s">
        <v>11</v>
      </c>
      <c r="E2426" s="1" t="s">
        <v>45</v>
      </c>
      <c r="F2426" s="1">
        <v>584718.75</v>
      </c>
    </row>
    <row r="2427" spans="1:6" x14ac:dyDescent="0.3">
      <c r="A2427" s="3" t="s">
        <v>17</v>
      </c>
      <c r="B2427" s="3" t="s">
        <v>43</v>
      </c>
      <c r="C2427" s="4" t="s">
        <v>7</v>
      </c>
      <c r="D2427" s="3" t="s">
        <v>11</v>
      </c>
      <c r="E2427" s="3" t="s">
        <v>47</v>
      </c>
      <c r="F2427" s="3">
        <v>1700.7275999999899</v>
      </c>
    </row>
    <row r="2428" spans="1:6" x14ac:dyDescent="0.3">
      <c r="A2428" s="1" t="s">
        <v>17</v>
      </c>
      <c r="B2428" s="1" t="s">
        <v>43</v>
      </c>
      <c r="C2428" s="2" t="s">
        <v>7</v>
      </c>
      <c r="D2428" s="1" t="s">
        <v>11</v>
      </c>
      <c r="E2428" s="1" t="s">
        <v>48</v>
      </c>
      <c r="F2428" s="1">
        <v>16500</v>
      </c>
    </row>
    <row r="2429" spans="1:6" x14ac:dyDescent="0.3">
      <c r="A2429" s="3" t="s">
        <v>17</v>
      </c>
      <c r="B2429" s="3" t="s">
        <v>43</v>
      </c>
      <c r="C2429" s="4" t="s">
        <v>7</v>
      </c>
      <c r="D2429" s="3" t="s">
        <v>11</v>
      </c>
      <c r="E2429" s="3" t="s">
        <v>49</v>
      </c>
      <c r="F2429" s="3">
        <v>0.96887268007054606</v>
      </c>
    </row>
    <row r="2430" spans="1:6" x14ac:dyDescent="0.3">
      <c r="A2430" s="1" t="s">
        <v>17</v>
      </c>
      <c r="B2430" s="1" t="s">
        <v>43</v>
      </c>
      <c r="C2430" s="2" t="s">
        <v>7</v>
      </c>
      <c r="D2430" s="1" t="s">
        <v>1</v>
      </c>
      <c r="E2430" s="1" t="s">
        <v>44</v>
      </c>
      <c r="F2430" s="1">
        <v>85263.75</v>
      </c>
    </row>
    <row r="2431" spans="1:6" x14ac:dyDescent="0.3">
      <c r="A2431" s="3" t="s">
        <v>17</v>
      </c>
      <c r="B2431" s="3" t="s">
        <v>43</v>
      </c>
      <c r="C2431" s="4" t="s">
        <v>7</v>
      </c>
      <c r="D2431" s="3" t="s">
        <v>1</v>
      </c>
      <c r="E2431" s="3" t="s">
        <v>45</v>
      </c>
      <c r="F2431" s="3">
        <v>107588.25</v>
      </c>
    </row>
    <row r="2432" spans="1:6" x14ac:dyDescent="0.3">
      <c r="A2432" s="1" t="s">
        <v>17</v>
      </c>
      <c r="B2432" s="1" t="s">
        <v>43</v>
      </c>
      <c r="C2432" s="2" t="s">
        <v>7</v>
      </c>
      <c r="D2432" s="1" t="s">
        <v>1</v>
      </c>
      <c r="E2432" s="1" t="s">
        <v>47</v>
      </c>
      <c r="F2432" s="1">
        <v>2640</v>
      </c>
    </row>
    <row r="2433" spans="1:6" x14ac:dyDescent="0.3">
      <c r="A2433" s="3" t="s">
        <v>17</v>
      </c>
      <c r="B2433" s="3" t="s">
        <v>43</v>
      </c>
      <c r="C2433" s="4" t="s">
        <v>7</v>
      </c>
      <c r="D2433" s="3" t="s">
        <v>1</v>
      </c>
      <c r="E2433" s="3" t="s">
        <v>48</v>
      </c>
      <c r="F2433" s="3">
        <v>19684.5</v>
      </c>
    </row>
    <row r="2434" spans="1:6" x14ac:dyDescent="0.3">
      <c r="A2434" s="1" t="s">
        <v>17</v>
      </c>
      <c r="B2434" s="1" t="s">
        <v>43</v>
      </c>
      <c r="C2434" s="2" t="s">
        <v>7</v>
      </c>
      <c r="D2434" s="1" t="s">
        <v>1</v>
      </c>
      <c r="E2434" s="1" t="s">
        <v>49</v>
      </c>
      <c r="F2434" s="1">
        <v>0.79250057510926997</v>
      </c>
    </row>
    <row r="2435" spans="1:6" x14ac:dyDescent="0.3">
      <c r="A2435" s="3" t="s">
        <v>17</v>
      </c>
      <c r="B2435" s="3" t="s">
        <v>43</v>
      </c>
      <c r="C2435" s="4" t="s">
        <v>7</v>
      </c>
      <c r="D2435" s="3" t="s">
        <v>6</v>
      </c>
      <c r="E2435" s="3" t="s">
        <v>44</v>
      </c>
      <c r="F2435" s="3">
        <v>83943.75</v>
      </c>
    </row>
    <row r="2436" spans="1:6" x14ac:dyDescent="0.3">
      <c r="A2436" s="1" t="s">
        <v>17</v>
      </c>
      <c r="B2436" s="1" t="s">
        <v>43</v>
      </c>
      <c r="C2436" s="2" t="s">
        <v>7</v>
      </c>
      <c r="D2436" s="1" t="s">
        <v>6</v>
      </c>
      <c r="E2436" s="1" t="s">
        <v>45</v>
      </c>
      <c r="F2436" s="1">
        <v>107588.25</v>
      </c>
    </row>
    <row r="2437" spans="1:6" x14ac:dyDescent="0.3">
      <c r="A2437" s="3" t="s">
        <v>17</v>
      </c>
      <c r="B2437" s="3" t="s">
        <v>43</v>
      </c>
      <c r="C2437" s="4" t="s">
        <v>7</v>
      </c>
      <c r="D2437" s="3" t="s">
        <v>6</v>
      </c>
      <c r="E2437" s="3" t="s">
        <v>47</v>
      </c>
      <c r="F2437" s="3">
        <v>3960</v>
      </c>
    </row>
    <row r="2438" spans="1:6" x14ac:dyDescent="0.3">
      <c r="A2438" s="1" t="s">
        <v>17</v>
      </c>
      <c r="B2438" s="1" t="s">
        <v>43</v>
      </c>
      <c r="C2438" s="2" t="s">
        <v>7</v>
      </c>
      <c r="D2438" s="1" t="s">
        <v>6</v>
      </c>
      <c r="E2438" s="1" t="s">
        <v>48</v>
      </c>
      <c r="F2438" s="1">
        <v>19684.5</v>
      </c>
    </row>
    <row r="2439" spans="1:6" x14ac:dyDescent="0.3">
      <c r="A2439" s="3" t="s">
        <v>17</v>
      </c>
      <c r="B2439" s="3" t="s">
        <v>43</v>
      </c>
      <c r="C2439" s="4" t="s">
        <v>7</v>
      </c>
      <c r="D2439" s="3" t="s">
        <v>6</v>
      </c>
      <c r="E2439" s="3" t="s">
        <v>49</v>
      </c>
      <c r="F2439" s="3">
        <v>0.78023157733302595</v>
      </c>
    </row>
    <row r="2440" spans="1:6" x14ac:dyDescent="0.3">
      <c r="A2440" s="1" t="s">
        <v>17</v>
      </c>
      <c r="B2440" s="1" t="s">
        <v>43</v>
      </c>
      <c r="C2440" s="2" t="s">
        <v>7</v>
      </c>
      <c r="D2440" s="1" t="s">
        <v>9</v>
      </c>
      <c r="E2440" s="1" t="s">
        <v>44</v>
      </c>
      <c r="F2440" s="1">
        <v>141225.149999999</v>
      </c>
    </row>
    <row r="2441" spans="1:6" x14ac:dyDescent="0.3">
      <c r="A2441" s="3" t="s">
        <v>17</v>
      </c>
      <c r="B2441" s="3" t="s">
        <v>43</v>
      </c>
      <c r="C2441" s="4" t="s">
        <v>7</v>
      </c>
      <c r="D2441" s="3" t="s">
        <v>9</v>
      </c>
      <c r="E2441" s="3" t="s">
        <v>45</v>
      </c>
      <c r="F2441" s="3">
        <v>179313.75</v>
      </c>
    </row>
    <row r="2442" spans="1:6" x14ac:dyDescent="0.3">
      <c r="A2442" s="1" t="s">
        <v>17</v>
      </c>
      <c r="B2442" s="1" t="s">
        <v>43</v>
      </c>
      <c r="C2442" s="2" t="s">
        <v>7</v>
      </c>
      <c r="D2442" s="1" t="s">
        <v>9</v>
      </c>
      <c r="E2442" s="1" t="s">
        <v>47</v>
      </c>
      <c r="F2442" s="1">
        <v>5280</v>
      </c>
    </row>
    <row r="2443" spans="1:6" x14ac:dyDescent="0.3">
      <c r="A2443" s="3" t="s">
        <v>17</v>
      </c>
      <c r="B2443" s="3" t="s">
        <v>43</v>
      </c>
      <c r="C2443" s="4" t="s">
        <v>7</v>
      </c>
      <c r="D2443" s="3" t="s">
        <v>9</v>
      </c>
      <c r="E2443" s="3" t="s">
        <v>48</v>
      </c>
      <c r="F2443" s="3">
        <v>32808.599999999897</v>
      </c>
    </row>
    <row r="2444" spans="1:6" x14ac:dyDescent="0.3">
      <c r="A2444" s="1" t="s">
        <v>17</v>
      </c>
      <c r="B2444" s="1" t="s">
        <v>43</v>
      </c>
      <c r="C2444" s="2" t="s">
        <v>7</v>
      </c>
      <c r="D2444" s="1" t="s">
        <v>9</v>
      </c>
      <c r="E2444" s="1" t="s">
        <v>49</v>
      </c>
      <c r="F2444" s="1">
        <v>0.78758684149988401</v>
      </c>
    </row>
    <row r="2445" spans="1:6" x14ac:dyDescent="0.3">
      <c r="A2445" s="3" t="s">
        <v>17</v>
      </c>
      <c r="B2445" s="3" t="s">
        <v>43</v>
      </c>
      <c r="C2445" s="4" t="s">
        <v>7</v>
      </c>
      <c r="D2445" s="3" t="s">
        <v>11</v>
      </c>
      <c r="E2445" s="3" t="s">
        <v>44</v>
      </c>
      <c r="F2445" s="3">
        <v>169205.84999999899</v>
      </c>
    </row>
    <row r="2446" spans="1:6" x14ac:dyDescent="0.3">
      <c r="A2446" s="1" t="s">
        <v>17</v>
      </c>
      <c r="B2446" s="1" t="s">
        <v>43</v>
      </c>
      <c r="C2446" s="2" t="s">
        <v>7</v>
      </c>
      <c r="D2446" s="1" t="s">
        <v>11</v>
      </c>
      <c r="E2446" s="1" t="s">
        <v>45</v>
      </c>
      <c r="F2446" s="1">
        <v>215176.5</v>
      </c>
    </row>
    <row r="2447" spans="1:6" x14ac:dyDescent="0.3">
      <c r="A2447" s="3" t="s">
        <v>17</v>
      </c>
      <c r="B2447" s="3" t="s">
        <v>43</v>
      </c>
      <c r="C2447" s="4" t="s">
        <v>7</v>
      </c>
      <c r="D2447" s="3" t="s">
        <v>11</v>
      </c>
      <c r="E2447" s="3" t="s">
        <v>47</v>
      </c>
      <c r="F2447" s="3">
        <v>6600</v>
      </c>
    </row>
    <row r="2448" spans="1:6" x14ac:dyDescent="0.3">
      <c r="A2448" s="1" t="s">
        <v>17</v>
      </c>
      <c r="B2448" s="1" t="s">
        <v>43</v>
      </c>
      <c r="C2448" s="2" t="s">
        <v>7</v>
      </c>
      <c r="D2448" s="1" t="s">
        <v>11</v>
      </c>
      <c r="E2448" s="1" t="s">
        <v>48</v>
      </c>
      <c r="F2448" s="1">
        <v>39370.6499999999</v>
      </c>
    </row>
    <row r="2449" spans="1:6" x14ac:dyDescent="0.3">
      <c r="A2449" s="3" t="s">
        <v>17</v>
      </c>
      <c r="B2449" s="3" t="s">
        <v>43</v>
      </c>
      <c r="C2449" s="4" t="s">
        <v>7</v>
      </c>
      <c r="D2449" s="3" t="s">
        <v>11</v>
      </c>
      <c r="E2449" s="3" t="s">
        <v>49</v>
      </c>
      <c r="F2449" s="3">
        <v>0.78635840809753799</v>
      </c>
    </row>
    <row r="2450" spans="1:6" x14ac:dyDescent="0.3">
      <c r="A2450" s="1" t="s">
        <v>17</v>
      </c>
      <c r="B2450" s="1" t="s">
        <v>43</v>
      </c>
      <c r="C2450" s="2" t="s">
        <v>7</v>
      </c>
      <c r="D2450" s="1" t="s">
        <v>1</v>
      </c>
      <c r="E2450" s="1" t="s">
        <v>44</v>
      </c>
      <c r="F2450" s="1">
        <v>194506.28999999899</v>
      </c>
    </row>
    <row r="2451" spans="1:6" x14ac:dyDescent="0.3">
      <c r="A2451" s="3" t="s">
        <v>17</v>
      </c>
      <c r="B2451" s="3" t="s">
        <v>43</v>
      </c>
      <c r="C2451" s="4" t="s">
        <v>7</v>
      </c>
      <c r="D2451" s="3" t="s">
        <v>1</v>
      </c>
      <c r="E2451" s="3" t="s">
        <v>45</v>
      </c>
      <c r="F2451" s="3">
        <v>233887.5</v>
      </c>
    </row>
    <row r="2452" spans="1:6" x14ac:dyDescent="0.3">
      <c r="A2452" s="1" t="s">
        <v>17</v>
      </c>
      <c r="B2452" s="1" t="s">
        <v>43</v>
      </c>
      <c r="C2452" s="2" t="s">
        <v>7</v>
      </c>
      <c r="D2452" s="1" t="s">
        <v>1</v>
      </c>
      <c r="E2452" s="1" t="s">
        <v>47</v>
      </c>
      <c r="F2452" s="1">
        <v>10.559999999999899</v>
      </c>
    </row>
    <row r="2453" spans="1:6" x14ac:dyDescent="0.3">
      <c r="A2453" s="3" t="s">
        <v>17</v>
      </c>
      <c r="B2453" s="3" t="s">
        <v>43</v>
      </c>
      <c r="C2453" s="4" t="s">
        <v>7</v>
      </c>
      <c r="D2453" s="3" t="s">
        <v>1</v>
      </c>
      <c r="E2453" s="3" t="s">
        <v>48</v>
      </c>
      <c r="F2453" s="3">
        <v>39370.6499999999</v>
      </c>
    </row>
    <row r="2454" spans="1:6" x14ac:dyDescent="0.3">
      <c r="A2454" s="1" t="s">
        <v>17</v>
      </c>
      <c r="B2454" s="1" t="s">
        <v>43</v>
      </c>
      <c r="C2454" s="2" t="s">
        <v>7</v>
      </c>
      <c r="D2454" s="1" t="s">
        <v>1</v>
      </c>
      <c r="E2454" s="1" t="s">
        <v>49</v>
      </c>
      <c r="F2454" s="1">
        <v>0.83162328042328004</v>
      </c>
    </row>
    <row r="2455" spans="1:6" x14ac:dyDescent="0.3">
      <c r="A2455" s="3" t="s">
        <v>17</v>
      </c>
      <c r="B2455" s="3" t="s">
        <v>43</v>
      </c>
      <c r="C2455" s="4" t="s">
        <v>7</v>
      </c>
      <c r="D2455" s="3" t="s">
        <v>6</v>
      </c>
      <c r="E2455" s="3" t="s">
        <v>44</v>
      </c>
      <c r="F2455" s="3">
        <v>194506.28999999899</v>
      </c>
    </row>
    <row r="2456" spans="1:6" x14ac:dyDescent="0.3">
      <c r="A2456" s="1" t="s">
        <v>17</v>
      </c>
      <c r="B2456" s="1" t="s">
        <v>43</v>
      </c>
      <c r="C2456" s="2" t="s">
        <v>7</v>
      </c>
      <c r="D2456" s="1" t="s">
        <v>6</v>
      </c>
      <c r="E2456" s="1" t="s">
        <v>45</v>
      </c>
      <c r="F2456" s="1">
        <v>233887.5</v>
      </c>
    </row>
    <row r="2457" spans="1:6" x14ac:dyDescent="0.3">
      <c r="A2457" s="3" t="s">
        <v>17</v>
      </c>
      <c r="B2457" s="3" t="s">
        <v>43</v>
      </c>
      <c r="C2457" s="4" t="s">
        <v>7</v>
      </c>
      <c r="D2457" s="3" t="s">
        <v>6</v>
      </c>
      <c r="E2457" s="3" t="s">
        <v>47</v>
      </c>
      <c r="F2457" s="3">
        <v>10.559999999999899</v>
      </c>
    </row>
    <row r="2458" spans="1:6" x14ac:dyDescent="0.3">
      <c r="A2458" s="1" t="s">
        <v>17</v>
      </c>
      <c r="B2458" s="1" t="s">
        <v>43</v>
      </c>
      <c r="C2458" s="2" t="s">
        <v>7</v>
      </c>
      <c r="D2458" s="1" t="s">
        <v>6</v>
      </c>
      <c r="E2458" s="1" t="s">
        <v>48</v>
      </c>
      <c r="F2458" s="1">
        <v>39370.6499999999</v>
      </c>
    </row>
    <row r="2459" spans="1:6" x14ac:dyDescent="0.3">
      <c r="A2459" s="3" t="s">
        <v>17</v>
      </c>
      <c r="B2459" s="3" t="s">
        <v>43</v>
      </c>
      <c r="C2459" s="4" t="s">
        <v>7</v>
      </c>
      <c r="D2459" s="3" t="s">
        <v>6</v>
      </c>
      <c r="E2459" s="3" t="s">
        <v>49</v>
      </c>
      <c r="F2459" s="3">
        <v>0.83162328042328004</v>
      </c>
    </row>
    <row r="2460" spans="1:6" x14ac:dyDescent="0.3">
      <c r="A2460" s="1" t="s">
        <v>17</v>
      </c>
      <c r="B2460" s="1" t="s">
        <v>43</v>
      </c>
      <c r="C2460" s="2" t="s">
        <v>7</v>
      </c>
      <c r="D2460" s="1" t="s">
        <v>9</v>
      </c>
      <c r="E2460" s="1" t="s">
        <v>44</v>
      </c>
      <c r="F2460" s="1">
        <v>194506.28999999899</v>
      </c>
    </row>
    <row r="2461" spans="1:6" x14ac:dyDescent="0.3">
      <c r="A2461" s="3" t="s">
        <v>17</v>
      </c>
      <c r="B2461" s="3" t="s">
        <v>43</v>
      </c>
      <c r="C2461" s="4" t="s">
        <v>7</v>
      </c>
      <c r="D2461" s="3" t="s">
        <v>9</v>
      </c>
      <c r="E2461" s="3" t="s">
        <v>45</v>
      </c>
      <c r="F2461" s="3">
        <v>233887.5</v>
      </c>
    </row>
    <row r="2462" spans="1:6" x14ac:dyDescent="0.3">
      <c r="A2462" s="1" t="s">
        <v>17</v>
      </c>
      <c r="B2462" s="1" t="s">
        <v>43</v>
      </c>
      <c r="C2462" s="2" t="s">
        <v>7</v>
      </c>
      <c r="D2462" s="1" t="s">
        <v>9</v>
      </c>
      <c r="E2462" s="1" t="s">
        <v>47</v>
      </c>
      <c r="F2462" s="1">
        <v>10.559999999999899</v>
      </c>
    </row>
    <row r="2463" spans="1:6" x14ac:dyDescent="0.3">
      <c r="A2463" s="3" t="s">
        <v>17</v>
      </c>
      <c r="B2463" s="3" t="s">
        <v>43</v>
      </c>
      <c r="C2463" s="4" t="s">
        <v>7</v>
      </c>
      <c r="D2463" s="3" t="s">
        <v>9</v>
      </c>
      <c r="E2463" s="3" t="s">
        <v>48</v>
      </c>
      <c r="F2463" s="3">
        <v>39370.6499999999</v>
      </c>
    </row>
    <row r="2464" spans="1:6" x14ac:dyDescent="0.3">
      <c r="A2464" s="1" t="s">
        <v>17</v>
      </c>
      <c r="B2464" s="1" t="s">
        <v>43</v>
      </c>
      <c r="C2464" s="2" t="s">
        <v>7</v>
      </c>
      <c r="D2464" s="1" t="s">
        <v>9</v>
      </c>
      <c r="E2464" s="1" t="s">
        <v>49</v>
      </c>
      <c r="F2464" s="1">
        <v>0.83162328042328004</v>
      </c>
    </row>
    <row r="2465" spans="1:6" x14ac:dyDescent="0.3">
      <c r="A2465" s="3" t="s">
        <v>17</v>
      </c>
      <c r="B2465" s="3" t="s">
        <v>43</v>
      </c>
      <c r="C2465" s="4" t="s">
        <v>7</v>
      </c>
      <c r="D2465" s="3" t="s">
        <v>11</v>
      </c>
      <c r="E2465" s="3" t="s">
        <v>44</v>
      </c>
      <c r="F2465" s="3">
        <v>194506.28999999899</v>
      </c>
    </row>
    <row r="2466" spans="1:6" x14ac:dyDescent="0.3">
      <c r="A2466" s="1" t="s">
        <v>17</v>
      </c>
      <c r="B2466" s="1" t="s">
        <v>43</v>
      </c>
      <c r="C2466" s="2" t="s">
        <v>7</v>
      </c>
      <c r="D2466" s="1" t="s">
        <v>11</v>
      </c>
      <c r="E2466" s="1" t="s">
        <v>45</v>
      </c>
      <c r="F2466" s="1">
        <v>233887.5</v>
      </c>
    </row>
    <row r="2467" spans="1:6" x14ac:dyDescent="0.3">
      <c r="A2467" s="3" t="s">
        <v>17</v>
      </c>
      <c r="B2467" s="3" t="s">
        <v>43</v>
      </c>
      <c r="C2467" s="4" t="s">
        <v>7</v>
      </c>
      <c r="D2467" s="3" t="s">
        <v>11</v>
      </c>
      <c r="E2467" s="3" t="s">
        <v>47</v>
      </c>
      <c r="F2467" s="3">
        <v>10.559999999999899</v>
      </c>
    </row>
    <row r="2468" spans="1:6" x14ac:dyDescent="0.3">
      <c r="A2468" s="1" t="s">
        <v>17</v>
      </c>
      <c r="B2468" s="1" t="s">
        <v>43</v>
      </c>
      <c r="C2468" s="2" t="s">
        <v>7</v>
      </c>
      <c r="D2468" s="1" t="s">
        <v>11</v>
      </c>
      <c r="E2468" s="1" t="s">
        <v>48</v>
      </c>
      <c r="F2468" s="1">
        <v>39370.6499999999</v>
      </c>
    </row>
    <row r="2469" spans="1:6" x14ac:dyDescent="0.3">
      <c r="A2469" s="3" t="s">
        <v>17</v>
      </c>
      <c r="B2469" s="3" t="s">
        <v>43</v>
      </c>
      <c r="C2469" s="4" t="s">
        <v>7</v>
      </c>
      <c r="D2469" s="3" t="s">
        <v>11</v>
      </c>
      <c r="E2469" s="3" t="s">
        <v>49</v>
      </c>
      <c r="F2469" s="3">
        <v>0.83162328042328004</v>
      </c>
    </row>
    <row r="2470" spans="1:6" x14ac:dyDescent="0.3">
      <c r="A2470" s="1" t="s">
        <v>17</v>
      </c>
      <c r="B2470" s="1" t="s">
        <v>43</v>
      </c>
      <c r="C2470" s="2" t="s">
        <v>7</v>
      </c>
      <c r="D2470" s="1" t="s">
        <v>1</v>
      </c>
      <c r="E2470" s="1" t="s">
        <v>44</v>
      </c>
      <c r="F2470" s="1">
        <v>198805.19999999899</v>
      </c>
    </row>
    <row r="2471" spans="1:6" x14ac:dyDescent="0.3">
      <c r="A2471" s="3" t="s">
        <v>17</v>
      </c>
      <c r="B2471" s="3" t="s">
        <v>43</v>
      </c>
      <c r="C2471" s="4" t="s">
        <v>7</v>
      </c>
      <c r="D2471" s="3" t="s">
        <v>1</v>
      </c>
      <c r="E2471" s="3" t="s">
        <v>45</v>
      </c>
      <c r="F2471" s="3">
        <v>198805.19999999899</v>
      </c>
    </row>
    <row r="2472" spans="1:6" x14ac:dyDescent="0.3">
      <c r="A2472" s="1" t="s">
        <v>17</v>
      </c>
      <c r="B2472" s="1" t="s">
        <v>43</v>
      </c>
      <c r="C2472" s="2" t="s">
        <v>7</v>
      </c>
      <c r="D2472" s="1" t="s">
        <v>1</v>
      </c>
      <c r="E2472" s="1" t="s">
        <v>49</v>
      </c>
      <c r="F2472" s="1">
        <v>1</v>
      </c>
    </row>
    <row r="2473" spans="1:6" x14ac:dyDescent="0.3">
      <c r="A2473" s="3" t="s">
        <v>17</v>
      </c>
      <c r="B2473" s="3" t="s">
        <v>43</v>
      </c>
      <c r="C2473" s="4" t="s">
        <v>7</v>
      </c>
      <c r="D2473" s="3" t="s">
        <v>6</v>
      </c>
      <c r="E2473" s="3" t="s">
        <v>44</v>
      </c>
      <c r="F2473" s="3">
        <v>198805.19999999899</v>
      </c>
    </row>
    <row r="2474" spans="1:6" x14ac:dyDescent="0.3">
      <c r="A2474" s="1" t="s">
        <v>17</v>
      </c>
      <c r="B2474" s="1" t="s">
        <v>43</v>
      </c>
      <c r="C2474" s="2" t="s">
        <v>7</v>
      </c>
      <c r="D2474" s="1" t="s">
        <v>6</v>
      </c>
      <c r="E2474" s="1" t="s">
        <v>45</v>
      </c>
      <c r="F2474" s="1">
        <v>198805.19999999899</v>
      </c>
    </row>
    <row r="2475" spans="1:6" x14ac:dyDescent="0.3">
      <c r="A2475" s="3" t="s">
        <v>17</v>
      </c>
      <c r="B2475" s="3" t="s">
        <v>43</v>
      </c>
      <c r="C2475" s="4" t="s">
        <v>7</v>
      </c>
      <c r="D2475" s="3" t="s">
        <v>6</v>
      </c>
      <c r="E2475" s="3" t="s">
        <v>49</v>
      </c>
      <c r="F2475" s="3">
        <v>1</v>
      </c>
    </row>
    <row r="2476" spans="1:6" x14ac:dyDescent="0.3">
      <c r="A2476" s="1" t="s">
        <v>17</v>
      </c>
      <c r="B2476" s="1" t="s">
        <v>43</v>
      </c>
      <c r="C2476" s="2" t="s">
        <v>7</v>
      </c>
      <c r="D2476" s="1" t="s">
        <v>9</v>
      </c>
      <c r="E2476" s="1" t="s">
        <v>44</v>
      </c>
      <c r="F2476" s="1">
        <v>198805.19999999899</v>
      </c>
    </row>
    <row r="2477" spans="1:6" x14ac:dyDescent="0.3">
      <c r="A2477" s="3" t="s">
        <v>17</v>
      </c>
      <c r="B2477" s="3" t="s">
        <v>43</v>
      </c>
      <c r="C2477" s="4" t="s">
        <v>7</v>
      </c>
      <c r="D2477" s="3" t="s">
        <v>9</v>
      </c>
      <c r="E2477" s="3" t="s">
        <v>45</v>
      </c>
      <c r="F2477" s="3">
        <v>198805.19999999899</v>
      </c>
    </row>
    <row r="2478" spans="1:6" x14ac:dyDescent="0.3">
      <c r="A2478" s="1" t="s">
        <v>17</v>
      </c>
      <c r="B2478" s="1" t="s">
        <v>43</v>
      </c>
      <c r="C2478" s="2" t="s">
        <v>7</v>
      </c>
      <c r="D2478" s="1" t="s">
        <v>9</v>
      </c>
      <c r="E2478" s="1" t="s">
        <v>49</v>
      </c>
      <c r="F2478" s="1">
        <v>1</v>
      </c>
    </row>
    <row r="2479" spans="1:6" x14ac:dyDescent="0.3">
      <c r="A2479" s="3" t="s">
        <v>17</v>
      </c>
      <c r="B2479" s="3" t="s">
        <v>43</v>
      </c>
      <c r="C2479" s="4" t="s">
        <v>7</v>
      </c>
      <c r="D2479" s="3" t="s">
        <v>11</v>
      </c>
      <c r="E2479" s="3" t="s">
        <v>44</v>
      </c>
      <c r="F2479" s="3">
        <v>198805.19999999899</v>
      </c>
    </row>
    <row r="2480" spans="1:6" x14ac:dyDescent="0.3">
      <c r="A2480" s="1" t="s">
        <v>17</v>
      </c>
      <c r="B2480" s="1" t="s">
        <v>43</v>
      </c>
      <c r="C2480" s="2" t="s">
        <v>7</v>
      </c>
      <c r="D2480" s="1" t="s">
        <v>11</v>
      </c>
      <c r="E2480" s="1" t="s">
        <v>45</v>
      </c>
      <c r="F2480" s="1">
        <v>198805.19999999899</v>
      </c>
    </row>
    <row r="2481" spans="1:6" x14ac:dyDescent="0.3">
      <c r="A2481" s="3" t="s">
        <v>17</v>
      </c>
      <c r="B2481" s="3" t="s">
        <v>43</v>
      </c>
      <c r="C2481" s="4" t="s">
        <v>7</v>
      </c>
      <c r="D2481" s="3" t="s">
        <v>11</v>
      </c>
      <c r="E2481" s="3" t="s">
        <v>49</v>
      </c>
      <c r="F2481" s="3">
        <v>1</v>
      </c>
    </row>
    <row r="2482" spans="1:6" x14ac:dyDescent="0.3">
      <c r="A2482" s="1" t="s">
        <v>17</v>
      </c>
      <c r="B2482" s="1" t="s">
        <v>43</v>
      </c>
      <c r="C2482" s="2" t="s">
        <v>7</v>
      </c>
      <c r="D2482" s="1" t="s">
        <v>1</v>
      </c>
      <c r="E2482" s="1" t="s">
        <v>44</v>
      </c>
      <c r="F2482" s="1">
        <v>58668.989999999903</v>
      </c>
    </row>
    <row r="2483" spans="1:6" x14ac:dyDescent="0.3">
      <c r="A2483" s="3" t="s">
        <v>17</v>
      </c>
      <c r="B2483" s="3" t="s">
        <v>43</v>
      </c>
      <c r="C2483" s="4" t="s">
        <v>7</v>
      </c>
      <c r="D2483" s="3" t="s">
        <v>1</v>
      </c>
      <c r="E2483" s="3" t="s">
        <v>45</v>
      </c>
      <c r="F2483" s="3">
        <v>105250.19999999899</v>
      </c>
    </row>
    <row r="2484" spans="1:6" x14ac:dyDescent="0.3">
      <c r="A2484" s="1" t="s">
        <v>17</v>
      </c>
      <c r="B2484" s="1" t="s">
        <v>43</v>
      </c>
      <c r="C2484" s="2" t="s">
        <v>7</v>
      </c>
      <c r="D2484" s="1" t="s">
        <v>1</v>
      </c>
      <c r="E2484" s="1" t="s">
        <v>46</v>
      </c>
      <c r="F2484" s="1">
        <v>7200</v>
      </c>
    </row>
    <row r="2485" spans="1:6" x14ac:dyDescent="0.3">
      <c r="A2485" s="3" t="s">
        <v>17</v>
      </c>
      <c r="B2485" s="3" t="s">
        <v>43</v>
      </c>
      <c r="C2485" s="4" t="s">
        <v>7</v>
      </c>
      <c r="D2485" s="3" t="s">
        <v>1</v>
      </c>
      <c r="E2485" s="3" t="s">
        <v>47</v>
      </c>
      <c r="F2485" s="3">
        <v>10.559999999999899</v>
      </c>
    </row>
    <row r="2486" spans="1:6" x14ac:dyDescent="0.3">
      <c r="A2486" s="1" t="s">
        <v>17</v>
      </c>
      <c r="B2486" s="1" t="s">
        <v>43</v>
      </c>
      <c r="C2486" s="2" t="s">
        <v>7</v>
      </c>
      <c r="D2486" s="1" t="s">
        <v>1</v>
      </c>
      <c r="E2486" s="1" t="s">
        <v>48</v>
      </c>
      <c r="F2486" s="1">
        <v>39370.6499999999</v>
      </c>
    </row>
    <row r="2487" spans="1:6" x14ac:dyDescent="0.3">
      <c r="A2487" s="3" t="s">
        <v>17</v>
      </c>
      <c r="B2487" s="3" t="s">
        <v>43</v>
      </c>
      <c r="C2487" s="4" t="s">
        <v>7</v>
      </c>
      <c r="D2487" s="3" t="s">
        <v>1</v>
      </c>
      <c r="E2487" s="3" t="s">
        <v>49</v>
      </c>
      <c r="F2487" s="3">
        <v>0.55742402389734103</v>
      </c>
    </row>
    <row r="2488" spans="1:6" x14ac:dyDescent="0.3">
      <c r="A2488" s="1" t="s">
        <v>17</v>
      </c>
      <c r="B2488" s="1" t="s">
        <v>43</v>
      </c>
      <c r="C2488" s="2" t="s">
        <v>7</v>
      </c>
      <c r="D2488" s="1" t="s">
        <v>6</v>
      </c>
      <c r="E2488" s="1" t="s">
        <v>44</v>
      </c>
      <c r="F2488" s="1">
        <v>107692.439999999</v>
      </c>
    </row>
    <row r="2489" spans="1:6" x14ac:dyDescent="0.3">
      <c r="A2489" s="3" t="s">
        <v>17</v>
      </c>
      <c r="B2489" s="3" t="s">
        <v>43</v>
      </c>
      <c r="C2489" s="4" t="s">
        <v>7</v>
      </c>
      <c r="D2489" s="3" t="s">
        <v>6</v>
      </c>
      <c r="E2489" s="3" t="s">
        <v>45</v>
      </c>
      <c r="F2489" s="3">
        <v>157873.649999999</v>
      </c>
    </row>
    <row r="2490" spans="1:6" x14ac:dyDescent="0.3">
      <c r="A2490" s="1" t="s">
        <v>17</v>
      </c>
      <c r="B2490" s="1" t="s">
        <v>43</v>
      </c>
      <c r="C2490" s="2" t="s">
        <v>7</v>
      </c>
      <c r="D2490" s="1" t="s">
        <v>6</v>
      </c>
      <c r="E2490" s="1" t="s">
        <v>46</v>
      </c>
      <c r="F2490" s="1">
        <v>10800</v>
      </c>
    </row>
    <row r="2491" spans="1:6" x14ac:dyDescent="0.3">
      <c r="A2491" s="3" t="s">
        <v>17</v>
      </c>
      <c r="B2491" s="3" t="s">
        <v>43</v>
      </c>
      <c r="C2491" s="4" t="s">
        <v>7</v>
      </c>
      <c r="D2491" s="3" t="s">
        <v>6</v>
      </c>
      <c r="E2491" s="3" t="s">
        <v>47</v>
      </c>
      <c r="F2491" s="3">
        <v>10.559999999999899</v>
      </c>
    </row>
    <row r="2492" spans="1:6" x14ac:dyDescent="0.3">
      <c r="A2492" s="1" t="s">
        <v>17</v>
      </c>
      <c r="B2492" s="1" t="s">
        <v>43</v>
      </c>
      <c r="C2492" s="2" t="s">
        <v>7</v>
      </c>
      <c r="D2492" s="1" t="s">
        <v>6</v>
      </c>
      <c r="E2492" s="1" t="s">
        <v>48</v>
      </c>
      <c r="F2492" s="1">
        <v>39370.6499999999</v>
      </c>
    </row>
    <row r="2493" spans="1:6" x14ac:dyDescent="0.3">
      <c r="A2493" s="3" t="s">
        <v>17</v>
      </c>
      <c r="B2493" s="3" t="s">
        <v>43</v>
      </c>
      <c r="C2493" s="4" t="s">
        <v>7</v>
      </c>
      <c r="D2493" s="3" t="s">
        <v>6</v>
      </c>
      <c r="E2493" s="3" t="s">
        <v>49</v>
      </c>
      <c r="F2493" s="3">
        <v>0.68214322022706098</v>
      </c>
    </row>
    <row r="2494" spans="1:6" x14ac:dyDescent="0.3">
      <c r="A2494" s="1" t="s">
        <v>17</v>
      </c>
      <c r="B2494" s="1" t="s">
        <v>43</v>
      </c>
      <c r="C2494" s="2" t="s">
        <v>7</v>
      </c>
      <c r="D2494" s="1" t="s">
        <v>9</v>
      </c>
      <c r="E2494" s="1" t="s">
        <v>44</v>
      </c>
      <c r="F2494" s="1">
        <v>156717.54</v>
      </c>
    </row>
    <row r="2495" spans="1:6" x14ac:dyDescent="0.3">
      <c r="A2495" s="3" t="s">
        <v>17</v>
      </c>
      <c r="B2495" s="3" t="s">
        <v>43</v>
      </c>
      <c r="C2495" s="4" t="s">
        <v>7</v>
      </c>
      <c r="D2495" s="3" t="s">
        <v>9</v>
      </c>
      <c r="E2495" s="3" t="s">
        <v>45</v>
      </c>
      <c r="F2495" s="3">
        <v>210498.75</v>
      </c>
    </row>
    <row r="2496" spans="1:6" x14ac:dyDescent="0.3">
      <c r="A2496" s="1" t="s">
        <v>17</v>
      </c>
      <c r="B2496" s="1" t="s">
        <v>43</v>
      </c>
      <c r="C2496" s="2" t="s">
        <v>7</v>
      </c>
      <c r="D2496" s="1" t="s">
        <v>9</v>
      </c>
      <c r="E2496" s="1" t="s">
        <v>46</v>
      </c>
      <c r="F2496" s="1">
        <v>14400</v>
      </c>
    </row>
    <row r="2497" spans="1:6" x14ac:dyDescent="0.3">
      <c r="A2497" s="3" t="s">
        <v>17</v>
      </c>
      <c r="B2497" s="3" t="s">
        <v>43</v>
      </c>
      <c r="C2497" s="4" t="s">
        <v>7</v>
      </c>
      <c r="D2497" s="3" t="s">
        <v>9</v>
      </c>
      <c r="E2497" s="3" t="s">
        <v>47</v>
      </c>
      <c r="F2497" s="3">
        <v>10.559999999999899</v>
      </c>
    </row>
    <row r="2498" spans="1:6" x14ac:dyDescent="0.3">
      <c r="A2498" s="1" t="s">
        <v>17</v>
      </c>
      <c r="B2498" s="1" t="s">
        <v>43</v>
      </c>
      <c r="C2498" s="2" t="s">
        <v>7</v>
      </c>
      <c r="D2498" s="1" t="s">
        <v>9</v>
      </c>
      <c r="E2498" s="1" t="s">
        <v>48</v>
      </c>
      <c r="F2498" s="1">
        <v>39370.6499999999</v>
      </c>
    </row>
    <row r="2499" spans="1:6" x14ac:dyDescent="0.3">
      <c r="A2499" s="3" t="s">
        <v>17</v>
      </c>
      <c r="B2499" s="3" t="s">
        <v>43</v>
      </c>
      <c r="C2499" s="4" t="s">
        <v>7</v>
      </c>
      <c r="D2499" s="3" t="s">
        <v>9</v>
      </c>
      <c r="E2499" s="3" t="s">
        <v>49</v>
      </c>
      <c r="F2499" s="3">
        <v>0.74450579872802103</v>
      </c>
    </row>
    <row r="2500" spans="1:6" x14ac:dyDescent="0.3">
      <c r="A2500" s="1" t="s">
        <v>17</v>
      </c>
      <c r="B2500" s="1" t="s">
        <v>43</v>
      </c>
      <c r="C2500" s="2" t="s">
        <v>7</v>
      </c>
      <c r="D2500" s="1" t="s">
        <v>11</v>
      </c>
      <c r="E2500" s="1" t="s">
        <v>44</v>
      </c>
      <c r="F2500" s="1">
        <v>205742.639999999</v>
      </c>
    </row>
    <row r="2501" spans="1:6" x14ac:dyDescent="0.3">
      <c r="A2501" s="3" t="s">
        <v>17</v>
      </c>
      <c r="B2501" s="3" t="s">
        <v>43</v>
      </c>
      <c r="C2501" s="4" t="s">
        <v>7</v>
      </c>
      <c r="D2501" s="3" t="s">
        <v>11</v>
      </c>
      <c r="E2501" s="3" t="s">
        <v>45</v>
      </c>
      <c r="F2501" s="3">
        <v>263123.84999999899</v>
      </c>
    </row>
    <row r="2502" spans="1:6" x14ac:dyDescent="0.3">
      <c r="A2502" s="1" t="s">
        <v>17</v>
      </c>
      <c r="B2502" s="1" t="s">
        <v>43</v>
      </c>
      <c r="C2502" s="2" t="s">
        <v>7</v>
      </c>
      <c r="D2502" s="1" t="s">
        <v>11</v>
      </c>
      <c r="E2502" s="1" t="s">
        <v>46</v>
      </c>
      <c r="F2502" s="1">
        <v>18000</v>
      </c>
    </row>
    <row r="2503" spans="1:6" x14ac:dyDescent="0.3">
      <c r="A2503" s="3" t="s">
        <v>17</v>
      </c>
      <c r="B2503" s="3" t="s">
        <v>43</v>
      </c>
      <c r="C2503" s="4" t="s">
        <v>7</v>
      </c>
      <c r="D2503" s="3" t="s">
        <v>11</v>
      </c>
      <c r="E2503" s="3" t="s">
        <v>47</v>
      </c>
      <c r="F2503" s="3">
        <v>10.559999999999899</v>
      </c>
    </row>
    <row r="2504" spans="1:6" x14ac:dyDescent="0.3">
      <c r="A2504" s="1" t="s">
        <v>17</v>
      </c>
      <c r="B2504" s="1" t="s">
        <v>43</v>
      </c>
      <c r="C2504" s="2" t="s">
        <v>7</v>
      </c>
      <c r="D2504" s="1" t="s">
        <v>11</v>
      </c>
      <c r="E2504" s="1" t="s">
        <v>48</v>
      </c>
      <c r="F2504" s="1">
        <v>39370.6499999999</v>
      </c>
    </row>
    <row r="2505" spans="1:6" x14ac:dyDescent="0.3">
      <c r="A2505" s="3" t="s">
        <v>17</v>
      </c>
      <c r="B2505" s="3" t="s">
        <v>43</v>
      </c>
      <c r="C2505" s="4" t="s">
        <v>7</v>
      </c>
      <c r="D2505" s="3" t="s">
        <v>11</v>
      </c>
      <c r="E2505" s="3" t="s">
        <v>49</v>
      </c>
      <c r="F2505" s="3">
        <v>0.78192318940301297</v>
      </c>
    </row>
    <row r="2506" spans="1:6" x14ac:dyDescent="0.3">
      <c r="A2506" s="1" t="s">
        <v>17</v>
      </c>
      <c r="B2506" s="1" t="s">
        <v>50</v>
      </c>
      <c r="C2506" s="2" t="s">
        <v>7</v>
      </c>
      <c r="D2506" s="1" t="s">
        <v>1</v>
      </c>
      <c r="E2506" s="1" t="s">
        <v>44</v>
      </c>
      <c r="F2506" s="1">
        <v>12600000</v>
      </c>
    </row>
    <row r="2507" spans="1:6" x14ac:dyDescent="0.3">
      <c r="A2507" s="3" t="s">
        <v>17</v>
      </c>
      <c r="B2507" s="3" t="s">
        <v>50</v>
      </c>
      <c r="C2507" s="4" t="s">
        <v>7</v>
      </c>
      <c r="D2507" s="3" t="s">
        <v>1</v>
      </c>
      <c r="E2507" s="3" t="s">
        <v>45</v>
      </c>
      <c r="F2507" s="3">
        <v>12600000</v>
      </c>
    </row>
    <row r="2508" spans="1:6" x14ac:dyDescent="0.3">
      <c r="A2508" s="1" t="s">
        <v>17</v>
      </c>
      <c r="B2508" s="1" t="s">
        <v>50</v>
      </c>
      <c r="C2508" s="2" t="s">
        <v>7</v>
      </c>
      <c r="D2508" s="1" t="s">
        <v>1</v>
      </c>
      <c r="E2508" s="1" t="s">
        <v>49</v>
      </c>
      <c r="F2508" s="1">
        <v>1</v>
      </c>
    </row>
    <row r="2509" spans="1:6" x14ac:dyDescent="0.3">
      <c r="A2509" s="3" t="s">
        <v>17</v>
      </c>
      <c r="B2509" s="3" t="s">
        <v>50</v>
      </c>
      <c r="C2509" s="4" t="s">
        <v>7</v>
      </c>
      <c r="D2509" s="3" t="s">
        <v>6</v>
      </c>
      <c r="E2509" s="3" t="s">
        <v>44</v>
      </c>
      <c r="F2509" s="3">
        <v>12000000</v>
      </c>
    </row>
    <row r="2510" spans="1:6" x14ac:dyDescent="0.3">
      <c r="A2510" s="1" t="s">
        <v>17</v>
      </c>
      <c r="B2510" s="1" t="s">
        <v>50</v>
      </c>
      <c r="C2510" s="2" t="s">
        <v>7</v>
      </c>
      <c r="D2510" s="1" t="s">
        <v>6</v>
      </c>
      <c r="E2510" s="1" t="s">
        <v>45</v>
      </c>
      <c r="F2510" s="1">
        <v>12000000</v>
      </c>
    </row>
    <row r="2511" spans="1:6" x14ac:dyDescent="0.3">
      <c r="A2511" s="3" t="s">
        <v>17</v>
      </c>
      <c r="B2511" s="3" t="s">
        <v>50</v>
      </c>
      <c r="C2511" s="4" t="s">
        <v>7</v>
      </c>
      <c r="D2511" s="3" t="s">
        <v>6</v>
      </c>
      <c r="E2511" s="3" t="s">
        <v>49</v>
      </c>
      <c r="F2511" s="3">
        <v>1</v>
      </c>
    </row>
    <row r="2512" spans="1:6" x14ac:dyDescent="0.3">
      <c r="A2512" s="1" t="s">
        <v>17</v>
      </c>
      <c r="B2512" s="1" t="s">
        <v>50</v>
      </c>
      <c r="C2512" s="2" t="s">
        <v>7</v>
      </c>
      <c r="D2512" s="1" t="s">
        <v>9</v>
      </c>
      <c r="E2512" s="1" t="s">
        <v>44</v>
      </c>
      <c r="F2512" s="1">
        <v>12400000</v>
      </c>
    </row>
    <row r="2513" spans="1:6" x14ac:dyDescent="0.3">
      <c r="A2513" s="3" t="s">
        <v>17</v>
      </c>
      <c r="B2513" s="3" t="s">
        <v>50</v>
      </c>
      <c r="C2513" s="4" t="s">
        <v>7</v>
      </c>
      <c r="D2513" s="3" t="s">
        <v>9</v>
      </c>
      <c r="E2513" s="3" t="s">
        <v>45</v>
      </c>
      <c r="F2513" s="3">
        <v>12400000</v>
      </c>
    </row>
    <row r="2514" spans="1:6" x14ac:dyDescent="0.3">
      <c r="A2514" s="1" t="s">
        <v>17</v>
      </c>
      <c r="B2514" s="1" t="s">
        <v>50</v>
      </c>
      <c r="C2514" s="2" t="s">
        <v>7</v>
      </c>
      <c r="D2514" s="1" t="s">
        <v>9</v>
      </c>
      <c r="E2514" s="1" t="s">
        <v>49</v>
      </c>
      <c r="F2514" s="1">
        <v>1</v>
      </c>
    </row>
    <row r="2515" spans="1:6" x14ac:dyDescent="0.3">
      <c r="A2515" s="3" t="s">
        <v>17</v>
      </c>
      <c r="B2515" s="3" t="s">
        <v>50</v>
      </c>
      <c r="C2515" s="4" t="s">
        <v>7</v>
      </c>
      <c r="D2515" s="3" t="s">
        <v>11</v>
      </c>
      <c r="E2515" s="3" t="s">
        <v>44</v>
      </c>
      <c r="F2515" s="3">
        <v>12600000</v>
      </c>
    </row>
    <row r="2516" spans="1:6" x14ac:dyDescent="0.3">
      <c r="A2516" s="1" t="s">
        <v>17</v>
      </c>
      <c r="B2516" s="1" t="s">
        <v>50</v>
      </c>
      <c r="C2516" s="2" t="s">
        <v>7</v>
      </c>
      <c r="D2516" s="1" t="s">
        <v>11</v>
      </c>
      <c r="E2516" s="1" t="s">
        <v>45</v>
      </c>
      <c r="F2516" s="1">
        <v>12600000</v>
      </c>
    </row>
    <row r="2517" spans="1:6" x14ac:dyDescent="0.3">
      <c r="A2517" s="3" t="s">
        <v>17</v>
      </c>
      <c r="B2517" s="3" t="s">
        <v>50</v>
      </c>
      <c r="C2517" s="4" t="s">
        <v>7</v>
      </c>
      <c r="D2517" s="3" t="s">
        <v>11</v>
      </c>
      <c r="E2517" s="3" t="s">
        <v>49</v>
      </c>
      <c r="F2517" s="3">
        <v>1</v>
      </c>
    </row>
    <row r="2518" spans="1:6" x14ac:dyDescent="0.3">
      <c r="A2518" s="1" t="s">
        <v>17</v>
      </c>
      <c r="B2518" s="1" t="s">
        <v>50</v>
      </c>
      <c r="C2518" s="2" t="s">
        <v>7</v>
      </c>
      <c r="D2518" s="1" t="s">
        <v>1</v>
      </c>
      <c r="E2518" s="1" t="s">
        <v>44</v>
      </c>
      <c r="F2518" s="1">
        <v>-38104.800000000003</v>
      </c>
    </row>
    <row r="2519" spans="1:6" x14ac:dyDescent="0.3">
      <c r="A2519" s="3" t="s">
        <v>17</v>
      </c>
      <c r="B2519" s="3" t="s">
        <v>50</v>
      </c>
      <c r="C2519" s="4" t="s">
        <v>7</v>
      </c>
      <c r="D2519" s="3" t="s">
        <v>1</v>
      </c>
      <c r="E2519" s="3" t="s">
        <v>45</v>
      </c>
      <c r="F2519" s="3">
        <v>105250.19999999899</v>
      </c>
    </row>
    <row r="2520" spans="1:6" x14ac:dyDescent="0.3">
      <c r="A2520" s="1" t="s">
        <v>17</v>
      </c>
      <c r="B2520" s="1" t="s">
        <v>50</v>
      </c>
      <c r="C2520" s="2" t="s">
        <v>7</v>
      </c>
      <c r="D2520" s="1" t="s">
        <v>1</v>
      </c>
      <c r="E2520" s="1" t="s">
        <v>46</v>
      </c>
      <c r="F2520" s="1">
        <v>54090</v>
      </c>
    </row>
    <row r="2521" spans="1:6" x14ac:dyDescent="0.3">
      <c r="A2521" s="3" t="s">
        <v>17</v>
      </c>
      <c r="B2521" s="3" t="s">
        <v>50</v>
      </c>
      <c r="C2521" s="4" t="s">
        <v>7</v>
      </c>
      <c r="D2521" s="3" t="s">
        <v>1</v>
      </c>
      <c r="E2521" s="3" t="s">
        <v>47</v>
      </c>
      <c r="F2521" s="3">
        <v>2640</v>
      </c>
    </row>
    <row r="2522" spans="1:6" x14ac:dyDescent="0.3">
      <c r="A2522" s="1" t="s">
        <v>17</v>
      </c>
      <c r="B2522" s="1" t="s">
        <v>50</v>
      </c>
      <c r="C2522" s="2" t="s">
        <v>7</v>
      </c>
      <c r="D2522" s="1" t="s">
        <v>1</v>
      </c>
      <c r="E2522" s="1" t="s">
        <v>48</v>
      </c>
      <c r="F2522" s="1">
        <v>86625</v>
      </c>
    </row>
    <row r="2523" spans="1:6" x14ac:dyDescent="0.3">
      <c r="A2523" s="3" t="s">
        <v>17</v>
      </c>
      <c r="B2523" s="3" t="s">
        <v>50</v>
      </c>
      <c r="C2523" s="4" t="s">
        <v>7</v>
      </c>
      <c r="D2523" s="3" t="s">
        <v>1</v>
      </c>
      <c r="E2523" s="3" t="s">
        <v>49</v>
      </c>
      <c r="F2523" s="3">
        <v>-0.36204016714457499</v>
      </c>
    </row>
    <row r="2524" spans="1:6" x14ac:dyDescent="0.3">
      <c r="A2524" s="1" t="s">
        <v>17</v>
      </c>
      <c r="B2524" s="1" t="s">
        <v>50</v>
      </c>
      <c r="C2524" s="2" t="s">
        <v>7</v>
      </c>
      <c r="D2524" s="1" t="s">
        <v>6</v>
      </c>
      <c r="E2524" s="1" t="s">
        <v>44</v>
      </c>
      <c r="F2524" s="1">
        <v>-39424.800000000003</v>
      </c>
    </row>
    <row r="2525" spans="1:6" x14ac:dyDescent="0.3">
      <c r="A2525" s="3" t="s">
        <v>17</v>
      </c>
      <c r="B2525" s="3" t="s">
        <v>50</v>
      </c>
      <c r="C2525" s="4" t="s">
        <v>7</v>
      </c>
      <c r="D2525" s="3" t="s">
        <v>6</v>
      </c>
      <c r="E2525" s="3" t="s">
        <v>45</v>
      </c>
      <c r="F2525" s="3">
        <v>105250.19999999899</v>
      </c>
    </row>
    <row r="2526" spans="1:6" x14ac:dyDescent="0.3">
      <c r="A2526" s="1" t="s">
        <v>17</v>
      </c>
      <c r="B2526" s="1" t="s">
        <v>50</v>
      </c>
      <c r="C2526" s="2" t="s">
        <v>7</v>
      </c>
      <c r="D2526" s="1" t="s">
        <v>6</v>
      </c>
      <c r="E2526" s="1" t="s">
        <v>46</v>
      </c>
      <c r="F2526" s="1">
        <v>54090</v>
      </c>
    </row>
    <row r="2527" spans="1:6" x14ac:dyDescent="0.3">
      <c r="A2527" s="3" t="s">
        <v>17</v>
      </c>
      <c r="B2527" s="3" t="s">
        <v>50</v>
      </c>
      <c r="C2527" s="4" t="s">
        <v>7</v>
      </c>
      <c r="D2527" s="3" t="s">
        <v>6</v>
      </c>
      <c r="E2527" s="3" t="s">
        <v>47</v>
      </c>
      <c r="F2527" s="3">
        <v>3960</v>
      </c>
    </row>
    <row r="2528" spans="1:6" x14ac:dyDescent="0.3">
      <c r="A2528" s="1" t="s">
        <v>17</v>
      </c>
      <c r="B2528" s="1" t="s">
        <v>50</v>
      </c>
      <c r="C2528" s="2" t="s">
        <v>7</v>
      </c>
      <c r="D2528" s="1" t="s">
        <v>6</v>
      </c>
      <c r="E2528" s="1" t="s">
        <v>48</v>
      </c>
      <c r="F2528" s="1">
        <v>86625</v>
      </c>
    </row>
    <row r="2529" spans="1:6" x14ac:dyDescent="0.3">
      <c r="A2529" s="3" t="s">
        <v>17</v>
      </c>
      <c r="B2529" s="3" t="s">
        <v>50</v>
      </c>
      <c r="C2529" s="4" t="s">
        <v>7</v>
      </c>
      <c r="D2529" s="3" t="s">
        <v>6</v>
      </c>
      <c r="E2529" s="3" t="s">
        <v>49</v>
      </c>
      <c r="F2529" s="3">
        <v>-0.37458171100862497</v>
      </c>
    </row>
    <row r="2530" spans="1:6" x14ac:dyDescent="0.3">
      <c r="A2530" s="1" t="s">
        <v>17</v>
      </c>
      <c r="B2530" s="1" t="s">
        <v>50</v>
      </c>
      <c r="C2530" s="2" t="s">
        <v>7</v>
      </c>
      <c r="D2530" s="1" t="s">
        <v>9</v>
      </c>
      <c r="E2530" s="1" t="s">
        <v>44</v>
      </c>
      <c r="F2530" s="1">
        <v>-76804.800000000003</v>
      </c>
    </row>
    <row r="2531" spans="1:6" x14ac:dyDescent="0.3">
      <c r="A2531" s="3" t="s">
        <v>17</v>
      </c>
      <c r="B2531" s="3" t="s">
        <v>50</v>
      </c>
      <c r="C2531" s="4" t="s">
        <v>7</v>
      </c>
      <c r="D2531" s="3" t="s">
        <v>9</v>
      </c>
      <c r="E2531" s="3" t="s">
        <v>45</v>
      </c>
      <c r="F2531" s="3">
        <v>105250.19999999899</v>
      </c>
    </row>
    <row r="2532" spans="1:6" x14ac:dyDescent="0.3">
      <c r="A2532" s="1" t="s">
        <v>17</v>
      </c>
      <c r="B2532" s="1" t="s">
        <v>50</v>
      </c>
      <c r="C2532" s="2" t="s">
        <v>7</v>
      </c>
      <c r="D2532" s="1" t="s">
        <v>9</v>
      </c>
      <c r="E2532" s="1" t="s">
        <v>46</v>
      </c>
      <c r="F2532" s="1">
        <v>90150</v>
      </c>
    </row>
    <row r="2533" spans="1:6" x14ac:dyDescent="0.3">
      <c r="A2533" s="3" t="s">
        <v>17</v>
      </c>
      <c r="B2533" s="3" t="s">
        <v>50</v>
      </c>
      <c r="C2533" s="4" t="s">
        <v>7</v>
      </c>
      <c r="D2533" s="3" t="s">
        <v>9</v>
      </c>
      <c r="E2533" s="3" t="s">
        <v>47</v>
      </c>
      <c r="F2533" s="3">
        <v>5280</v>
      </c>
    </row>
    <row r="2534" spans="1:6" x14ac:dyDescent="0.3">
      <c r="A2534" s="1" t="s">
        <v>17</v>
      </c>
      <c r="B2534" s="1" t="s">
        <v>50</v>
      </c>
      <c r="C2534" s="2" t="s">
        <v>7</v>
      </c>
      <c r="D2534" s="1" t="s">
        <v>9</v>
      </c>
      <c r="E2534" s="1" t="s">
        <v>48</v>
      </c>
      <c r="F2534" s="1">
        <v>86625</v>
      </c>
    </row>
    <row r="2535" spans="1:6" x14ac:dyDescent="0.3">
      <c r="A2535" s="3" t="s">
        <v>17</v>
      </c>
      <c r="B2535" s="3" t="s">
        <v>50</v>
      </c>
      <c r="C2535" s="4" t="s">
        <v>7</v>
      </c>
      <c r="D2535" s="3" t="s">
        <v>9</v>
      </c>
      <c r="E2535" s="3" t="s">
        <v>49</v>
      </c>
      <c r="F2535" s="3">
        <v>-0.72973543043148603</v>
      </c>
    </row>
    <row r="2536" spans="1:6" x14ac:dyDescent="0.3">
      <c r="A2536" s="1" t="s">
        <v>17</v>
      </c>
      <c r="B2536" s="1" t="s">
        <v>50</v>
      </c>
      <c r="C2536" s="2" t="s">
        <v>7</v>
      </c>
      <c r="D2536" s="1" t="s">
        <v>11</v>
      </c>
      <c r="E2536" s="1" t="s">
        <v>44</v>
      </c>
      <c r="F2536" s="1">
        <v>-96154.8</v>
      </c>
    </row>
    <row r="2537" spans="1:6" x14ac:dyDescent="0.3">
      <c r="A2537" s="3" t="s">
        <v>17</v>
      </c>
      <c r="B2537" s="3" t="s">
        <v>50</v>
      </c>
      <c r="C2537" s="4" t="s">
        <v>7</v>
      </c>
      <c r="D2537" s="3" t="s">
        <v>11</v>
      </c>
      <c r="E2537" s="3" t="s">
        <v>45</v>
      </c>
      <c r="F2537" s="3">
        <v>105250.19999999899</v>
      </c>
    </row>
    <row r="2538" spans="1:6" x14ac:dyDescent="0.3">
      <c r="A2538" s="1" t="s">
        <v>17</v>
      </c>
      <c r="B2538" s="1" t="s">
        <v>50</v>
      </c>
      <c r="C2538" s="2" t="s">
        <v>7</v>
      </c>
      <c r="D2538" s="1" t="s">
        <v>11</v>
      </c>
      <c r="E2538" s="1" t="s">
        <v>46</v>
      </c>
      <c r="F2538" s="1">
        <v>108180</v>
      </c>
    </row>
    <row r="2539" spans="1:6" x14ac:dyDescent="0.3">
      <c r="A2539" s="3" t="s">
        <v>17</v>
      </c>
      <c r="B2539" s="3" t="s">
        <v>50</v>
      </c>
      <c r="C2539" s="4" t="s">
        <v>7</v>
      </c>
      <c r="D2539" s="3" t="s">
        <v>11</v>
      </c>
      <c r="E2539" s="3" t="s">
        <v>47</v>
      </c>
      <c r="F2539" s="3">
        <v>6600</v>
      </c>
    </row>
    <row r="2540" spans="1:6" x14ac:dyDescent="0.3">
      <c r="A2540" s="1" t="s">
        <v>17</v>
      </c>
      <c r="B2540" s="1" t="s">
        <v>50</v>
      </c>
      <c r="C2540" s="2" t="s">
        <v>7</v>
      </c>
      <c r="D2540" s="1" t="s">
        <v>11</v>
      </c>
      <c r="E2540" s="1" t="s">
        <v>48</v>
      </c>
      <c r="F2540" s="1">
        <v>86625</v>
      </c>
    </row>
    <row r="2541" spans="1:6" x14ac:dyDescent="0.3">
      <c r="A2541" s="3" t="s">
        <v>17</v>
      </c>
      <c r="B2541" s="3" t="s">
        <v>50</v>
      </c>
      <c r="C2541" s="4" t="s">
        <v>7</v>
      </c>
      <c r="D2541" s="3" t="s">
        <v>11</v>
      </c>
      <c r="E2541" s="3" t="s">
        <v>49</v>
      </c>
      <c r="F2541" s="3">
        <v>-0.913583062074941</v>
      </c>
    </row>
    <row r="2542" spans="1:6" x14ac:dyDescent="0.3">
      <c r="A2542" s="1" t="s">
        <v>17</v>
      </c>
      <c r="B2542" s="1" t="s">
        <v>50</v>
      </c>
      <c r="C2542" s="2" t="s">
        <v>7</v>
      </c>
      <c r="D2542" s="1" t="s">
        <v>1</v>
      </c>
      <c r="E2542" s="1" t="s">
        <v>44</v>
      </c>
      <c r="F2542" s="1">
        <v>-693922.95999999903</v>
      </c>
    </row>
    <row r="2543" spans="1:6" x14ac:dyDescent="0.3">
      <c r="A2543" s="3" t="s">
        <v>17</v>
      </c>
      <c r="B2543" s="3" t="s">
        <v>50</v>
      </c>
      <c r="C2543" s="4" t="s">
        <v>7</v>
      </c>
      <c r="D2543" s="3" t="s">
        <v>1</v>
      </c>
      <c r="E2543" s="3" t="s">
        <v>45</v>
      </c>
      <c r="F2543" s="3">
        <v>89463</v>
      </c>
    </row>
    <row r="2544" spans="1:6" x14ac:dyDescent="0.3">
      <c r="A2544" s="1" t="s">
        <v>17</v>
      </c>
      <c r="B2544" s="1" t="s">
        <v>50</v>
      </c>
      <c r="C2544" s="2" t="s">
        <v>7</v>
      </c>
      <c r="D2544" s="1" t="s">
        <v>1</v>
      </c>
      <c r="E2544" s="1" t="s">
        <v>46</v>
      </c>
      <c r="F2544" s="1">
        <v>108180</v>
      </c>
    </row>
    <row r="2545" spans="1:6" x14ac:dyDescent="0.3">
      <c r="A2545" s="3" t="s">
        <v>17</v>
      </c>
      <c r="B2545" s="3" t="s">
        <v>50</v>
      </c>
      <c r="C2545" s="4" t="s">
        <v>7</v>
      </c>
      <c r="D2545" s="3" t="s">
        <v>1</v>
      </c>
      <c r="E2545" s="3" t="s">
        <v>47</v>
      </c>
      <c r="F2545" s="3">
        <v>10.559999999999899</v>
      </c>
    </row>
    <row r="2546" spans="1:6" x14ac:dyDescent="0.3">
      <c r="A2546" s="1" t="s">
        <v>17</v>
      </c>
      <c r="B2546" s="1" t="s">
        <v>50</v>
      </c>
      <c r="C2546" s="2" t="s">
        <v>7</v>
      </c>
      <c r="D2546" s="1" t="s">
        <v>1</v>
      </c>
      <c r="E2546" s="1" t="s">
        <v>48</v>
      </c>
      <c r="F2546" s="1">
        <v>675195.39999999898</v>
      </c>
    </row>
    <row r="2547" spans="1:6" x14ac:dyDescent="0.3">
      <c r="A2547" s="3" t="s">
        <v>17</v>
      </c>
      <c r="B2547" s="3" t="s">
        <v>50</v>
      </c>
      <c r="C2547" s="4" t="s">
        <v>7</v>
      </c>
      <c r="D2547" s="3" t="s">
        <v>1</v>
      </c>
      <c r="E2547" s="3" t="s">
        <v>49</v>
      </c>
      <c r="F2547" s="3">
        <v>-7.7565357745660197</v>
      </c>
    </row>
    <row r="2548" spans="1:6" x14ac:dyDescent="0.3">
      <c r="A2548" s="1" t="s">
        <v>17</v>
      </c>
      <c r="B2548" s="1" t="s">
        <v>50</v>
      </c>
      <c r="C2548" s="2" t="s">
        <v>7</v>
      </c>
      <c r="D2548" s="1" t="s">
        <v>6</v>
      </c>
      <c r="E2548" s="1" t="s">
        <v>44</v>
      </c>
      <c r="F2548" s="1">
        <v>-738759.51</v>
      </c>
    </row>
    <row r="2549" spans="1:6" x14ac:dyDescent="0.3">
      <c r="A2549" s="3" t="s">
        <v>17</v>
      </c>
      <c r="B2549" s="3" t="s">
        <v>50</v>
      </c>
      <c r="C2549" s="4" t="s">
        <v>7</v>
      </c>
      <c r="D2549" s="3" t="s">
        <v>6</v>
      </c>
      <c r="E2549" s="3" t="s">
        <v>45</v>
      </c>
      <c r="F2549" s="3">
        <v>134192.84999999899</v>
      </c>
    </row>
    <row r="2550" spans="1:6" x14ac:dyDescent="0.3">
      <c r="A2550" s="1" t="s">
        <v>17</v>
      </c>
      <c r="B2550" s="1" t="s">
        <v>50</v>
      </c>
      <c r="C2550" s="2" t="s">
        <v>7</v>
      </c>
      <c r="D2550" s="1" t="s">
        <v>6</v>
      </c>
      <c r="E2550" s="1" t="s">
        <v>46</v>
      </c>
      <c r="F2550" s="1">
        <v>108180</v>
      </c>
    </row>
    <row r="2551" spans="1:6" x14ac:dyDescent="0.3">
      <c r="A2551" s="3" t="s">
        <v>17</v>
      </c>
      <c r="B2551" s="3" t="s">
        <v>50</v>
      </c>
      <c r="C2551" s="4" t="s">
        <v>7</v>
      </c>
      <c r="D2551" s="3" t="s">
        <v>6</v>
      </c>
      <c r="E2551" s="3" t="s">
        <v>47</v>
      </c>
      <c r="F2551" s="3">
        <v>10.559999999999899</v>
      </c>
    </row>
    <row r="2552" spans="1:6" x14ac:dyDescent="0.3">
      <c r="A2552" s="1" t="s">
        <v>17</v>
      </c>
      <c r="B2552" s="1" t="s">
        <v>50</v>
      </c>
      <c r="C2552" s="2" t="s">
        <v>7</v>
      </c>
      <c r="D2552" s="1" t="s">
        <v>6</v>
      </c>
      <c r="E2552" s="1" t="s">
        <v>48</v>
      </c>
      <c r="F2552" s="1">
        <v>764761.799999999</v>
      </c>
    </row>
    <row r="2553" spans="1:6" x14ac:dyDescent="0.3">
      <c r="A2553" s="3" t="s">
        <v>17</v>
      </c>
      <c r="B2553" s="3" t="s">
        <v>50</v>
      </c>
      <c r="C2553" s="4" t="s">
        <v>7</v>
      </c>
      <c r="D2553" s="3" t="s">
        <v>6</v>
      </c>
      <c r="E2553" s="3" t="s">
        <v>49</v>
      </c>
      <c r="F2553" s="3">
        <v>-5.5052076917659898</v>
      </c>
    </row>
    <row r="2554" spans="1:6" x14ac:dyDescent="0.3">
      <c r="A2554" s="1" t="s">
        <v>17</v>
      </c>
      <c r="B2554" s="1" t="s">
        <v>50</v>
      </c>
      <c r="C2554" s="2" t="s">
        <v>7</v>
      </c>
      <c r="D2554" s="1" t="s">
        <v>9</v>
      </c>
      <c r="E2554" s="1" t="s">
        <v>44</v>
      </c>
      <c r="F2554" s="1">
        <v>-735367.11</v>
      </c>
    </row>
    <row r="2555" spans="1:6" x14ac:dyDescent="0.3">
      <c r="A2555" s="3" t="s">
        <v>17</v>
      </c>
      <c r="B2555" s="3" t="s">
        <v>50</v>
      </c>
      <c r="C2555" s="4" t="s">
        <v>7</v>
      </c>
      <c r="D2555" s="3" t="s">
        <v>9</v>
      </c>
      <c r="E2555" s="3" t="s">
        <v>45</v>
      </c>
      <c r="F2555" s="3">
        <v>178924.34999999899</v>
      </c>
    </row>
    <row r="2556" spans="1:6" x14ac:dyDescent="0.3">
      <c r="A2556" s="1" t="s">
        <v>17</v>
      </c>
      <c r="B2556" s="1" t="s">
        <v>50</v>
      </c>
      <c r="C2556" s="2" t="s">
        <v>7</v>
      </c>
      <c r="D2556" s="1" t="s">
        <v>9</v>
      </c>
      <c r="E2556" s="1" t="s">
        <v>46</v>
      </c>
      <c r="F2556" s="1">
        <v>108180</v>
      </c>
    </row>
    <row r="2557" spans="1:6" x14ac:dyDescent="0.3">
      <c r="A2557" s="3" t="s">
        <v>17</v>
      </c>
      <c r="B2557" s="3" t="s">
        <v>50</v>
      </c>
      <c r="C2557" s="4" t="s">
        <v>7</v>
      </c>
      <c r="D2557" s="3" t="s">
        <v>9</v>
      </c>
      <c r="E2557" s="3" t="s">
        <v>47</v>
      </c>
      <c r="F2557" s="3">
        <v>10.559999999999899</v>
      </c>
    </row>
    <row r="2558" spans="1:6" x14ac:dyDescent="0.3">
      <c r="A2558" s="1" t="s">
        <v>17</v>
      </c>
      <c r="B2558" s="1" t="s">
        <v>50</v>
      </c>
      <c r="C2558" s="2" t="s">
        <v>7</v>
      </c>
      <c r="D2558" s="1" t="s">
        <v>9</v>
      </c>
      <c r="E2558" s="1" t="s">
        <v>48</v>
      </c>
      <c r="F2558" s="1">
        <v>806100.9</v>
      </c>
    </row>
    <row r="2559" spans="1:6" x14ac:dyDescent="0.3">
      <c r="A2559" s="3" t="s">
        <v>17</v>
      </c>
      <c r="B2559" s="3" t="s">
        <v>50</v>
      </c>
      <c r="C2559" s="4" t="s">
        <v>7</v>
      </c>
      <c r="D2559" s="3" t="s">
        <v>9</v>
      </c>
      <c r="E2559" s="3" t="s">
        <v>49</v>
      </c>
      <c r="F2559" s="3">
        <v>-4.1099331086014796</v>
      </c>
    </row>
    <row r="2560" spans="1:6" x14ac:dyDescent="0.3">
      <c r="A2560" s="1" t="s">
        <v>17</v>
      </c>
      <c r="B2560" s="1" t="s">
        <v>50</v>
      </c>
      <c r="C2560" s="2" t="s">
        <v>7</v>
      </c>
      <c r="D2560" s="1" t="s">
        <v>11</v>
      </c>
      <c r="E2560" s="1" t="s">
        <v>44</v>
      </c>
      <c r="F2560" s="1">
        <v>-780202.01</v>
      </c>
    </row>
    <row r="2561" spans="1:6" x14ac:dyDescent="0.3">
      <c r="A2561" s="3" t="s">
        <v>17</v>
      </c>
      <c r="B2561" s="3" t="s">
        <v>50</v>
      </c>
      <c r="C2561" s="4" t="s">
        <v>7</v>
      </c>
      <c r="D2561" s="3" t="s">
        <v>11</v>
      </c>
      <c r="E2561" s="3" t="s">
        <v>45</v>
      </c>
      <c r="F2561" s="3">
        <v>223655.84999999899</v>
      </c>
    </row>
    <row r="2562" spans="1:6" x14ac:dyDescent="0.3">
      <c r="A2562" s="1" t="s">
        <v>17</v>
      </c>
      <c r="B2562" s="1" t="s">
        <v>50</v>
      </c>
      <c r="C2562" s="2" t="s">
        <v>7</v>
      </c>
      <c r="D2562" s="1" t="s">
        <v>11</v>
      </c>
      <c r="E2562" s="1" t="s">
        <v>46</v>
      </c>
      <c r="F2562" s="1">
        <v>108180</v>
      </c>
    </row>
    <row r="2563" spans="1:6" x14ac:dyDescent="0.3">
      <c r="A2563" s="3" t="s">
        <v>17</v>
      </c>
      <c r="B2563" s="3" t="s">
        <v>50</v>
      </c>
      <c r="C2563" s="4" t="s">
        <v>7</v>
      </c>
      <c r="D2563" s="3" t="s">
        <v>11</v>
      </c>
      <c r="E2563" s="3" t="s">
        <v>47</v>
      </c>
      <c r="F2563" s="3">
        <v>10.559999999999899</v>
      </c>
    </row>
    <row r="2564" spans="1:6" x14ac:dyDescent="0.3">
      <c r="A2564" s="1" t="s">
        <v>17</v>
      </c>
      <c r="B2564" s="1" t="s">
        <v>50</v>
      </c>
      <c r="C2564" s="2" t="s">
        <v>7</v>
      </c>
      <c r="D2564" s="1" t="s">
        <v>11</v>
      </c>
      <c r="E2564" s="1" t="s">
        <v>48</v>
      </c>
      <c r="F2564" s="1">
        <v>895667.3</v>
      </c>
    </row>
    <row r="2565" spans="1:6" x14ac:dyDescent="0.3">
      <c r="A2565" s="3" t="s">
        <v>17</v>
      </c>
      <c r="B2565" s="3" t="s">
        <v>50</v>
      </c>
      <c r="C2565" s="4" t="s">
        <v>7</v>
      </c>
      <c r="D2565" s="3" t="s">
        <v>11</v>
      </c>
      <c r="E2565" s="3" t="s">
        <v>49</v>
      </c>
      <c r="F2565" s="3">
        <v>-3.4884042156733202</v>
      </c>
    </row>
    <row r="2566" spans="1:6" x14ac:dyDescent="0.3">
      <c r="A2566" s="1" t="s">
        <v>17</v>
      </c>
      <c r="B2566" s="1" t="s">
        <v>50</v>
      </c>
      <c r="C2566" s="2" t="s">
        <v>7</v>
      </c>
      <c r="D2566" s="1" t="s">
        <v>1</v>
      </c>
      <c r="E2566" s="1" t="s">
        <v>44</v>
      </c>
      <c r="F2566" s="1">
        <v>-997175.09999999905</v>
      </c>
    </row>
    <row r="2567" spans="1:6" x14ac:dyDescent="0.3">
      <c r="A2567" s="3" t="s">
        <v>17</v>
      </c>
      <c r="B2567" s="3" t="s">
        <v>50</v>
      </c>
      <c r="C2567" s="4" t="s">
        <v>7</v>
      </c>
      <c r="D2567" s="3" t="s">
        <v>1</v>
      </c>
      <c r="E2567" s="3" t="s">
        <v>45</v>
      </c>
      <c r="F2567" s="3">
        <v>41152.6499999999</v>
      </c>
    </row>
    <row r="2568" spans="1:6" x14ac:dyDescent="0.3">
      <c r="A2568" s="1" t="s">
        <v>17</v>
      </c>
      <c r="B2568" s="1" t="s">
        <v>50</v>
      </c>
      <c r="C2568" s="2" t="s">
        <v>7</v>
      </c>
      <c r="D2568" s="1" t="s">
        <v>1</v>
      </c>
      <c r="E2568" s="1" t="s">
        <v>46</v>
      </c>
      <c r="F2568" s="1">
        <v>108180</v>
      </c>
    </row>
    <row r="2569" spans="1:6" x14ac:dyDescent="0.3">
      <c r="A2569" s="3" t="s">
        <v>17</v>
      </c>
      <c r="B2569" s="3" t="s">
        <v>50</v>
      </c>
      <c r="C2569" s="4" t="s">
        <v>7</v>
      </c>
      <c r="D2569" s="3" t="s">
        <v>1</v>
      </c>
      <c r="E2569" s="3" t="s">
        <v>47</v>
      </c>
      <c r="F2569" s="3">
        <v>31.1999999999999</v>
      </c>
    </row>
    <row r="2570" spans="1:6" x14ac:dyDescent="0.3">
      <c r="A2570" s="1" t="s">
        <v>17</v>
      </c>
      <c r="B2570" s="1" t="s">
        <v>50</v>
      </c>
      <c r="C2570" s="2" t="s">
        <v>7</v>
      </c>
      <c r="D2570" s="1" t="s">
        <v>1</v>
      </c>
      <c r="E2570" s="1" t="s">
        <v>48</v>
      </c>
      <c r="F2570" s="1">
        <v>930116.549999999</v>
      </c>
    </row>
    <row r="2571" spans="1:6" x14ac:dyDescent="0.3">
      <c r="A2571" s="3" t="s">
        <v>17</v>
      </c>
      <c r="B2571" s="3" t="s">
        <v>50</v>
      </c>
      <c r="C2571" s="4" t="s">
        <v>7</v>
      </c>
      <c r="D2571" s="3" t="s">
        <v>1</v>
      </c>
      <c r="E2571" s="3" t="s">
        <v>49</v>
      </c>
      <c r="F2571" s="3">
        <v>-24.2311272785592</v>
      </c>
    </row>
    <row r="2572" spans="1:6" x14ac:dyDescent="0.3">
      <c r="A2572" s="1" t="s">
        <v>17</v>
      </c>
      <c r="B2572" s="1" t="s">
        <v>50</v>
      </c>
      <c r="C2572" s="2" t="s">
        <v>7</v>
      </c>
      <c r="D2572" s="1" t="s">
        <v>6</v>
      </c>
      <c r="E2572" s="1" t="s">
        <v>44</v>
      </c>
      <c r="F2572" s="1">
        <v>-997175.09999999905</v>
      </c>
    </row>
    <row r="2573" spans="1:6" x14ac:dyDescent="0.3">
      <c r="A2573" s="3" t="s">
        <v>17</v>
      </c>
      <c r="B2573" s="3" t="s">
        <v>50</v>
      </c>
      <c r="C2573" s="4" t="s">
        <v>7</v>
      </c>
      <c r="D2573" s="3" t="s">
        <v>6</v>
      </c>
      <c r="E2573" s="3" t="s">
        <v>45</v>
      </c>
      <c r="F2573" s="3">
        <v>41152.6499999999</v>
      </c>
    </row>
    <row r="2574" spans="1:6" x14ac:dyDescent="0.3">
      <c r="A2574" s="1" t="s">
        <v>17</v>
      </c>
      <c r="B2574" s="1" t="s">
        <v>50</v>
      </c>
      <c r="C2574" s="2" t="s">
        <v>7</v>
      </c>
      <c r="D2574" s="1" t="s">
        <v>6</v>
      </c>
      <c r="E2574" s="1" t="s">
        <v>46</v>
      </c>
      <c r="F2574" s="1">
        <v>108180</v>
      </c>
    </row>
    <row r="2575" spans="1:6" x14ac:dyDescent="0.3">
      <c r="A2575" s="3" t="s">
        <v>17</v>
      </c>
      <c r="B2575" s="3" t="s">
        <v>50</v>
      </c>
      <c r="C2575" s="4" t="s">
        <v>7</v>
      </c>
      <c r="D2575" s="3" t="s">
        <v>6</v>
      </c>
      <c r="E2575" s="3" t="s">
        <v>47</v>
      </c>
      <c r="F2575" s="3">
        <v>31.1999999999999</v>
      </c>
    </row>
    <row r="2576" spans="1:6" x14ac:dyDescent="0.3">
      <c r="A2576" s="1" t="s">
        <v>17</v>
      </c>
      <c r="B2576" s="1" t="s">
        <v>50</v>
      </c>
      <c r="C2576" s="2" t="s">
        <v>7</v>
      </c>
      <c r="D2576" s="1" t="s">
        <v>6</v>
      </c>
      <c r="E2576" s="1" t="s">
        <v>48</v>
      </c>
      <c r="F2576" s="1">
        <v>930116.549999999</v>
      </c>
    </row>
    <row r="2577" spans="1:6" x14ac:dyDescent="0.3">
      <c r="A2577" s="3" t="s">
        <v>17</v>
      </c>
      <c r="B2577" s="3" t="s">
        <v>50</v>
      </c>
      <c r="C2577" s="4" t="s">
        <v>7</v>
      </c>
      <c r="D2577" s="3" t="s">
        <v>6</v>
      </c>
      <c r="E2577" s="3" t="s">
        <v>49</v>
      </c>
      <c r="F2577" s="3">
        <v>-24.2311272785592</v>
      </c>
    </row>
    <row r="2578" spans="1:6" x14ac:dyDescent="0.3">
      <c r="A2578" s="1" t="s">
        <v>17</v>
      </c>
      <c r="B2578" s="1" t="s">
        <v>50</v>
      </c>
      <c r="C2578" s="2" t="s">
        <v>7</v>
      </c>
      <c r="D2578" s="1" t="s">
        <v>9</v>
      </c>
      <c r="E2578" s="1" t="s">
        <v>44</v>
      </c>
      <c r="F2578" s="1">
        <v>-969739.99999999895</v>
      </c>
    </row>
    <row r="2579" spans="1:6" x14ac:dyDescent="0.3">
      <c r="A2579" s="3" t="s">
        <v>17</v>
      </c>
      <c r="B2579" s="3" t="s">
        <v>50</v>
      </c>
      <c r="C2579" s="4" t="s">
        <v>7</v>
      </c>
      <c r="D2579" s="3" t="s">
        <v>9</v>
      </c>
      <c r="E2579" s="3" t="s">
        <v>45</v>
      </c>
      <c r="F2579" s="3">
        <v>68587.75</v>
      </c>
    </row>
    <row r="2580" spans="1:6" x14ac:dyDescent="0.3">
      <c r="A2580" s="1" t="s">
        <v>17</v>
      </c>
      <c r="B2580" s="1" t="s">
        <v>50</v>
      </c>
      <c r="C2580" s="2" t="s">
        <v>7</v>
      </c>
      <c r="D2580" s="1" t="s">
        <v>9</v>
      </c>
      <c r="E2580" s="1" t="s">
        <v>46</v>
      </c>
      <c r="F2580" s="1">
        <v>108180</v>
      </c>
    </row>
    <row r="2581" spans="1:6" x14ac:dyDescent="0.3">
      <c r="A2581" s="3" t="s">
        <v>17</v>
      </c>
      <c r="B2581" s="3" t="s">
        <v>50</v>
      </c>
      <c r="C2581" s="4" t="s">
        <v>7</v>
      </c>
      <c r="D2581" s="3" t="s">
        <v>9</v>
      </c>
      <c r="E2581" s="3" t="s">
        <v>47</v>
      </c>
      <c r="F2581" s="3">
        <v>31.1999999999999</v>
      </c>
    </row>
    <row r="2582" spans="1:6" x14ac:dyDescent="0.3">
      <c r="A2582" s="1" t="s">
        <v>17</v>
      </c>
      <c r="B2582" s="1" t="s">
        <v>50</v>
      </c>
      <c r="C2582" s="2" t="s">
        <v>7</v>
      </c>
      <c r="D2582" s="1" t="s">
        <v>9</v>
      </c>
      <c r="E2582" s="1" t="s">
        <v>48</v>
      </c>
      <c r="F2582" s="1">
        <v>930116.549999999</v>
      </c>
    </row>
    <row r="2583" spans="1:6" x14ac:dyDescent="0.3">
      <c r="A2583" s="3" t="s">
        <v>17</v>
      </c>
      <c r="B2583" s="3" t="s">
        <v>50</v>
      </c>
      <c r="C2583" s="4" t="s">
        <v>7</v>
      </c>
      <c r="D2583" s="3" t="s">
        <v>9</v>
      </c>
      <c r="E2583" s="3" t="s">
        <v>49</v>
      </c>
      <c r="F2583" s="3">
        <v>-14.138676367135499</v>
      </c>
    </row>
    <row r="2584" spans="1:6" x14ac:dyDescent="0.3">
      <c r="A2584" s="1" t="s">
        <v>17</v>
      </c>
      <c r="B2584" s="1" t="s">
        <v>50</v>
      </c>
      <c r="C2584" s="2" t="s">
        <v>7</v>
      </c>
      <c r="D2584" s="1" t="s">
        <v>11</v>
      </c>
      <c r="E2584" s="1" t="s">
        <v>44</v>
      </c>
      <c r="F2584" s="1">
        <v>-956022.44999999902</v>
      </c>
    </row>
    <row r="2585" spans="1:6" x14ac:dyDescent="0.3">
      <c r="A2585" s="3" t="s">
        <v>17</v>
      </c>
      <c r="B2585" s="3" t="s">
        <v>50</v>
      </c>
      <c r="C2585" s="4" t="s">
        <v>7</v>
      </c>
      <c r="D2585" s="3" t="s">
        <v>11</v>
      </c>
      <c r="E2585" s="3" t="s">
        <v>45</v>
      </c>
      <c r="F2585" s="3">
        <v>82305.299999999901</v>
      </c>
    </row>
    <row r="2586" spans="1:6" x14ac:dyDescent="0.3">
      <c r="A2586" s="1" t="s">
        <v>17</v>
      </c>
      <c r="B2586" s="1" t="s">
        <v>50</v>
      </c>
      <c r="C2586" s="2" t="s">
        <v>7</v>
      </c>
      <c r="D2586" s="1" t="s">
        <v>11</v>
      </c>
      <c r="E2586" s="1" t="s">
        <v>46</v>
      </c>
      <c r="F2586" s="1">
        <v>108180</v>
      </c>
    </row>
    <row r="2587" spans="1:6" x14ac:dyDescent="0.3">
      <c r="A2587" s="3" t="s">
        <v>17</v>
      </c>
      <c r="B2587" s="3" t="s">
        <v>50</v>
      </c>
      <c r="C2587" s="4" t="s">
        <v>7</v>
      </c>
      <c r="D2587" s="3" t="s">
        <v>11</v>
      </c>
      <c r="E2587" s="3" t="s">
        <v>47</v>
      </c>
      <c r="F2587" s="3">
        <v>31.1999999999999</v>
      </c>
    </row>
    <row r="2588" spans="1:6" x14ac:dyDescent="0.3">
      <c r="A2588" s="1" t="s">
        <v>17</v>
      </c>
      <c r="B2588" s="1" t="s">
        <v>50</v>
      </c>
      <c r="C2588" s="2" t="s">
        <v>7</v>
      </c>
      <c r="D2588" s="1" t="s">
        <v>11</v>
      </c>
      <c r="E2588" s="1" t="s">
        <v>48</v>
      </c>
      <c r="F2588" s="1">
        <v>930116.549999999</v>
      </c>
    </row>
    <row r="2589" spans="1:6" x14ac:dyDescent="0.3">
      <c r="A2589" s="3" t="s">
        <v>17</v>
      </c>
      <c r="B2589" s="3" t="s">
        <v>50</v>
      </c>
      <c r="C2589" s="4" t="s">
        <v>7</v>
      </c>
      <c r="D2589" s="3" t="s">
        <v>11</v>
      </c>
      <c r="E2589" s="3" t="s">
        <v>49</v>
      </c>
      <c r="F2589" s="3">
        <v>-11.6155636392796</v>
      </c>
    </row>
    <row r="2590" spans="1:6" x14ac:dyDescent="0.3">
      <c r="A2590" s="1" t="s">
        <v>17</v>
      </c>
      <c r="B2590" s="1" t="s">
        <v>50</v>
      </c>
      <c r="C2590" s="2" t="s">
        <v>7</v>
      </c>
      <c r="D2590" s="1" t="s">
        <v>1</v>
      </c>
      <c r="E2590" s="1" t="s">
        <v>44</v>
      </c>
      <c r="F2590" s="1">
        <v>43035.3</v>
      </c>
    </row>
    <row r="2591" spans="1:6" x14ac:dyDescent="0.3">
      <c r="A2591" s="3" t="s">
        <v>17</v>
      </c>
      <c r="B2591" s="3" t="s">
        <v>50</v>
      </c>
      <c r="C2591" s="4" t="s">
        <v>7</v>
      </c>
      <c r="D2591" s="3" t="s">
        <v>1</v>
      </c>
      <c r="E2591" s="3" t="s">
        <v>45</v>
      </c>
      <c r="F2591" s="3">
        <v>43035.3</v>
      </c>
    </row>
    <row r="2592" spans="1:6" x14ac:dyDescent="0.3">
      <c r="A2592" s="1" t="s">
        <v>17</v>
      </c>
      <c r="B2592" s="1" t="s">
        <v>50</v>
      </c>
      <c r="C2592" s="2" t="s">
        <v>7</v>
      </c>
      <c r="D2592" s="1" t="s">
        <v>1</v>
      </c>
      <c r="E2592" s="1" t="s">
        <v>49</v>
      </c>
      <c r="F2592" s="1">
        <v>1</v>
      </c>
    </row>
    <row r="2593" spans="1:6" x14ac:dyDescent="0.3">
      <c r="A2593" s="3" t="s">
        <v>17</v>
      </c>
      <c r="B2593" s="3" t="s">
        <v>50</v>
      </c>
      <c r="C2593" s="4" t="s">
        <v>7</v>
      </c>
      <c r="D2593" s="3" t="s">
        <v>6</v>
      </c>
      <c r="E2593" s="3" t="s">
        <v>44</v>
      </c>
      <c r="F2593" s="3">
        <v>43035.3</v>
      </c>
    </row>
    <row r="2594" spans="1:6" x14ac:dyDescent="0.3">
      <c r="A2594" s="1" t="s">
        <v>17</v>
      </c>
      <c r="B2594" s="1" t="s">
        <v>50</v>
      </c>
      <c r="C2594" s="2" t="s">
        <v>7</v>
      </c>
      <c r="D2594" s="1" t="s">
        <v>6</v>
      </c>
      <c r="E2594" s="1" t="s">
        <v>45</v>
      </c>
      <c r="F2594" s="1">
        <v>43035.3</v>
      </c>
    </row>
    <row r="2595" spans="1:6" x14ac:dyDescent="0.3">
      <c r="A2595" s="3" t="s">
        <v>17</v>
      </c>
      <c r="B2595" s="3" t="s">
        <v>50</v>
      </c>
      <c r="C2595" s="4" t="s">
        <v>7</v>
      </c>
      <c r="D2595" s="3" t="s">
        <v>6</v>
      </c>
      <c r="E2595" s="3" t="s">
        <v>49</v>
      </c>
      <c r="F2595" s="3">
        <v>1</v>
      </c>
    </row>
    <row r="2596" spans="1:6" x14ac:dyDescent="0.3">
      <c r="A2596" s="1" t="s">
        <v>17</v>
      </c>
      <c r="B2596" s="1" t="s">
        <v>50</v>
      </c>
      <c r="C2596" s="2" t="s">
        <v>7</v>
      </c>
      <c r="D2596" s="1" t="s">
        <v>9</v>
      </c>
      <c r="E2596" s="1" t="s">
        <v>44</v>
      </c>
      <c r="F2596" s="1">
        <v>71725.5</v>
      </c>
    </row>
    <row r="2597" spans="1:6" x14ac:dyDescent="0.3">
      <c r="A2597" s="3" t="s">
        <v>17</v>
      </c>
      <c r="B2597" s="3" t="s">
        <v>50</v>
      </c>
      <c r="C2597" s="4" t="s">
        <v>7</v>
      </c>
      <c r="D2597" s="3" t="s">
        <v>9</v>
      </c>
      <c r="E2597" s="3" t="s">
        <v>45</v>
      </c>
      <c r="F2597" s="3">
        <v>71725.5</v>
      </c>
    </row>
    <row r="2598" spans="1:6" x14ac:dyDescent="0.3">
      <c r="A2598" s="1" t="s">
        <v>17</v>
      </c>
      <c r="B2598" s="1" t="s">
        <v>50</v>
      </c>
      <c r="C2598" s="2" t="s">
        <v>7</v>
      </c>
      <c r="D2598" s="1" t="s">
        <v>9</v>
      </c>
      <c r="E2598" s="1" t="s">
        <v>49</v>
      </c>
      <c r="F2598" s="1">
        <v>1</v>
      </c>
    </row>
    <row r="2599" spans="1:6" x14ac:dyDescent="0.3">
      <c r="A2599" s="3" t="s">
        <v>17</v>
      </c>
      <c r="B2599" s="3" t="s">
        <v>50</v>
      </c>
      <c r="C2599" s="4" t="s">
        <v>7</v>
      </c>
      <c r="D2599" s="3" t="s">
        <v>11</v>
      </c>
      <c r="E2599" s="3" t="s">
        <v>44</v>
      </c>
      <c r="F2599" s="3">
        <v>86070.6</v>
      </c>
    </row>
    <row r="2600" spans="1:6" x14ac:dyDescent="0.3">
      <c r="A2600" s="1" t="s">
        <v>17</v>
      </c>
      <c r="B2600" s="1" t="s">
        <v>50</v>
      </c>
      <c r="C2600" s="2" t="s">
        <v>7</v>
      </c>
      <c r="D2600" s="1" t="s">
        <v>11</v>
      </c>
      <c r="E2600" s="1" t="s">
        <v>45</v>
      </c>
      <c r="F2600" s="1">
        <v>86070.6</v>
      </c>
    </row>
    <row r="2601" spans="1:6" x14ac:dyDescent="0.3">
      <c r="A2601" s="3" t="s">
        <v>17</v>
      </c>
      <c r="B2601" s="3" t="s">
        <v>50</v>
      </c>
      <c r="C2601" s="4" t="s">
        <v>7</v>
      </c>
      <c r="D2601" s="3" t="s">
        <v>11</v>
      </c>
      <c r="E2601" s="3" t="s">
        <v>49</v>
      </c>
      <c r="F2601" s="3">
        <v>1</v>
      </c>
    </row>
    <row r="2602" spans="1:6" x14ac:dyDescent="0.3">
      <c r="A2602" s="1" t="s">
        <v>17</v>
      </c>
      <c r="B2602" s="1" t="s">
        <v>50</v>
      </c>
      <c r="C2602" s="2" t="s">
        <v>7</v>
      </c>
      <c r="D2602" s="1" t="s">
        <v>1</v>
      </c>
      <c r="E2602" s="1" t="s">
        <v>44</v>
      </c>
      <c r="F2602" s="1">
        <v>-870810.799999999</v>
      </c>
    </row>
    <row r="2603" spans="1:6" x14ac:dyDescent="0.3">
      <c r="A2603" s="3" t="s">
        <v>17</v>
      </c>
      <c r="B2603" s="3" t="s">
        <v>50</v>
      </c>
      <c r="C2603" s="4" t="s">
        <v>7</v>
      </c>
      <c r="D2603" s="3" t="s">
        <v>1</v>
      </c>
      <c r="E2603" s="3" t="s">
        <v>45</v>
      </c>
      <c r="F2603" s="3">
        <v>93555</v>
      </c>
    </row>
    <row r="2604" spans="1:6" x14ac:dyDescent="0.3">
      <c r="A2604" s="1" t="s">
        <v>17</v>
      </c>
      <c r="B2604" s="1" t="s">
        <v>50</v>
      </c>
      <c r="C2604" s="2" t="s">
        <v>7</v>
      </c>
      <c r="D2604" s="1" t="s">
        <v>1</v>
      </c>
      <c r="E2604" s="1" t="s">
        <v>46</v>
      </c>
      <c r="F2604" s="1">
        <v>233142</v>
      </c>
    </row>
    <row r="2605" spans="1:6" x14ac:dyDescent="0.3">
      <c r="A2605" s="3" t="s">
        <v>17</v>
      </c>
      <c r="B2605" s="3" t="s">
        <v>50</v>
      </c>
      <c r="C2605" s="4" t="s">
        <v>7</v>
      </c>
      <c r="D2605" s="3" t="s">
        <v>1</v>
      </c>
      <c r="E2605" s="3" t="s">
        <v>47</v>
      </c>
      <c r="F2605" s="3">
        <v>7800</v>
      </c>
    </row>
    <row r="2606" spans="1:6" x14ac:dyDescent="0.3">
      <c r="A2606" s="1" t="s">
        <v>17</v>
      </c>
      <c r="B2606" s="1" t="s">
        <v>50</v>
      </c>
      <c r="C2606" s="2" t="s">
        <v>7</v>
      </c>
      <c r="D2606" s="1" t="s">
        <v>1</v>
      </c>
      <c r="E2606" s="1" t="s">
        <v>48</v>
      </c>
      <c r="F2606" s="1">
        <v>723423.799999999</v>
      </c>
    </row>
    <row r="2607" spans="1:6" x14ac:dyDescent="0.3">
      <c r="A2607" s="3" t="s">
        <v>17</v>
      </c>
      <c r="B2607" s="3" t="s">
        <v>50</v>
      </c>
      <c r="C2607" s="4" t="s">
        <v>7</v>
      </c>
      <c r="D2607" s="3" t="s">
        <v>1</v>
      </c>
      <c r="E2607" s="3" t="s">
        <v>49</v>
      </c>
      <c r="F2607" s="3">
        <v>-9.3080091924536301</v>
      </c>
    </row>
    <row r="2608" spans="1:6" x14ac:dyDescent="0.3">
      <c r="A2608" s="1" t="s">
        <v>17</v>
      </c>
      <c r="B2608" s="1" t="s">
        <v>50</v>
      </c>
      <c r="C2608" s="2" t="s">
        <v>7</v>
      </c>
      <c r="D2608" s="1" t="s">
        <v>6</v>
      </c>
      <c r="E2608" s="1" t="s">
        <v>44</v>
      </c>
      <c r="F2608" s="1">
        <v>-907081.799999999</v>
      </c>
    </row>
    <row r="2609" spans="1:6" x14ac:dyDescent="0.3">
      <c r="A2609" s="3" t="s">
        <v>17</v>
      </c>
      <c r="B2609" s="3" t="s">
        <v>50</v>
      </c>
      <c r="C2609" s="4" t="s">
        <v>7</v>
      </c>
      <c r="D2609" s="3" t="s">
        <v>6</v>
      </c>
      <c r="E2609" s="3" t="s">
        <v>45</v>
      </c>
      <c r="F2609" s="3">
        <v>93555</v>
      </c>
    </row>
    <row r="2610" spans="1:6" x14ac:dyDescent="0.3">
      <c r="A2610" s="1" t="s">
        <v>17</v>
      </c>
      <c r="B2610" s="1" t="s">
        <v>50</v>
      </c>
      <c r="C2610" s="2" t="s">
        <v>7</v>
      </c>
      <c r="D2610" s="1" t="s">
        <v>6</v>
      </c>
      <c r="E2610" s="1" t="s">
        <v>46</v>
      </c>
      <c r="F2610" s="1">
        <v>224175</v>
      </c>
    </row>
    <row r="2611" spans="1:6" x14ac:dyDescent="0.3">
      <c r="A2611" s="3" t="s">
        <v>17</v>
      </c>
      <c r="B2611" s="3" t="s">
        <v>50</v>
      </c>
      <c r="C2611" s="4" t="s">
        <v>7</v>
      </c>
      <c r="D2611" s="3" t="s">
        <v>6</v>
      </c>
      <c r="E2611" s="3" t="s">
        <v>47</v>
      </c>
      <c r="F2611" s="3">
        <v>11700</v>
      </c>
    </row>
    <row r="2612" spans="1:6" x14ac:dyDescent="0.3">
      <c r="A2612" s="1" t="s">
        <v>17</v>
      </c>
      <c r="B2612" s="1" t="s">
        <v>50</v>
      </c>
      <c r="C2612" s="2" t="s">
        <v>7</v>
      </c>
      <c r="D2612" s="1" t="s">
        <v>6</v>
      </c>
      <c r="E2612" s="1" t="s">
        <v>48</v>
      </c>
      <c r="F2612" s="1">
        <v>764761.799999999</v>
      </c>
    </row>
    <row r="2613" spans="1:6" x14ac:dyDescent="0.3">
      <c r="A2613" s="3" t="s">
        <v>17</v>
      </c>
      <c r="B2613" s="3" t="s">
        <v>50</v>
      </c>
      <c r="C2613" s="4" t="s">
        <v>7</v>
      </c>
      <c r="D2613" s="3" t="s">
        <v>6</v>
      </c>
      <c r="E2613" s="3" t="s">
        <v>49</v>
      </c>
      <c r="F2613" s="3">
        <v>-9.6957062690396008</v>
      </c>
    </row>
    <row r="2614" spans="1:6" x14ac:dyDescent="0.3">
      <c r="A2614" s="1" t="s">
        <v>17</v>
      </c>
      <c r="B2614" s="1" t="s">
        <v>50</v>
      </c>
      <c r="C2614" s="2" t="s">
        <v>7</v>
      </c>
      <c r="D2614" s="1" t="s">
        <v>9</v>
      </c>
      <c r="E2614" s="1" t="s">
        <v>44</v>
      </c>
      <c r="F2614" s="1">
        <v>-990923.89999999898</v>
      </c>
    </row>
    <row r="2615" spans="1:6" x14ac:dyDescent="0.3">
      <c r="A2615" s="3" t="s">
        <v>17</v>
      </c>
      <c r="B2615" s="3" t="s">
        <v>50</v>
      </c>
      <c r="C2615" s="4" t="s">
        <v>7</v>
      </c>
      <c r="D2615" s="3" t="s">
        <v>9</v>
      </c>
      <c r="E2615" s="3" t="s">
        <v>45</v>
      </c>
      <c r="F2615" s="3">
        <v>93555</v>
      </c>
    </row>
    <row r="2616" spans="1:6" x14ac:dyDescent="0.3">
      <c r="A2616" s="1" t="s">
        <v>17</v>
      </c>
      <c r="B2616" s="1" t="s">
        <v>50</v>
      </c>
      <c r="C2616" s="2" t="s">
        <v>7</v>
      </c>
      <c r="D2616" s="1" t="s">
        <v>9</v>
      </c>
      <c r="E2616" s="1" t="s">
        <v>46</v>
      </c>
      <c r="F2616" s="1">
        <v>242109</v>
      </c>
    </row>
    <row r="2617" spans="1:6" x14ac:dyDescent="0.3">
      <c r="A2617" s="3" t="s">
        <v>17</v>
      </c>
      <c r="B2617" s="3" t="s">
        <v>50</v>
      </c>
      <c r="C2617" s="4" t="s">
        <v>7</v>
      </c>
      <c r="D2617" s="3" t="s">
        <v>9</v>
      </c>
      <c r="E2617" s="3" t="s">
        <v>47</v>
      </c>
      <c r="F2617" s="3">
        <v>15600</v>
      </c>
    </row>
    <row r="2618" spans="1:6" x14ac:dyDescent="0.3">
      <c r="A2618" s="1" t="s">
        <v>17</v>
      </c>
      <c r="B2618" s="1" t="s">
        <v>50</v>
      </c>
      <c r="C2618" s="2" t="s">
        <v>7</v>
      </c>
      <c r="D2618" s="1" t="s">
        <v>9</v>
      </c>
      <c r="E2618" s="1" t="s">
        <v>48</v>
      </c>
      <c r="F2618" s="1">
        <v>826769.89999999898</v>
      </c>
    </row>
    <row r="2619" spans="1:6" x14ac:dyDescent="0.3">
      <c r="A2619" s="3" t="s">
        <v>17</v>
      </c>
      <c r="B2619" s="3" t="s">
        <v>50</v>
      </c>
      <c r="C2619" s="4" t="s">
        <v>7</v>
      </c>
      <c r="D2619" s="3" t="s">
        <v>9</v>
      </c>
      <c r="E2619" s="3" t="s">
        <v>49</v>
      </c>
      <c r="F2619" s="3">
        <v>-10.5918860563305</v>
      </c>
    </row>
    <row r="2620" spans="1:6" x14ac:dyDescent="0.3">
      <c r="A2620" s="1" t="s">
        <v>17</v>
      </c>
      <c r="B2620" s="1" t="s">
        <v>50</v>
      </c>
      <c r="C2620" s="2" t="s">
        <v>7</v>
      </c>
      <c r="D2620" s="1" t="s">
        <v>11</v>
      </c>
      <c r="E2620" s="1" t="s">
        <v>44</v>
      </c>
      <c r="F2620" s="1">
        <v>-1092041.6000000001</v>
      </c>
    </row>
    <row r="2621" spans="1:6" x14ac:dyDescent="0.3">
      <c r="A2621" s="3" t="s">
        <v>17</v>
      </c>
      <c r="B2621" s="3" t="s">
        <v>50</v>
      </c>
      <c r="C2621" s="4" t="s">
        <v>7</v>
      </c>
      <c r="D2621" s="3" t="s">
        <v>11</v>
      </c>
      <c r="E2621" s="3" t="s">
        <v>45</v>
      </c>
      <c r="F2621" s="3">
        <v>93555</v>
      </c>
    </row>
    <row r="2622" spans="1:6" x14ac:dyDescent="0.3">
      <c r="A2622" s="1" t="s">
        <v>17</v>
      </c>
      <c r="B2622" s="1" t="s">
        <v>50</v>
      </c>
      <c r="C2622" s="2" t="s">
        <v>7</v>
      </c>
      <c r="D2622" s="1" t="s">
        <v>11</v>
      </c>
      <c r="E2622" s="1" t="s">
        <v>46</v>
      </c>
      <c r="F2622" s="1">
        <v>304878</v>
      </c>
    </row>
    <row r="2623" spans="1:6" x14ac:dyDescent="0.3">
      <c r="A2623" s="3" t="s">
        <v>17</v>
      </c>
      <c r="B2623" s="3" t="s">
        <v>50</v>
      </c>
      <c r="C2623" s="4" t="s">
        <v>7</v>
      </c>
      <c r="D2623" s="3" t="s">
        <v>11</v>
      </c>
      <c r="E2623" s="3" t="s">
        <v>47</v>
      </c>
      <c r="F2623" s="3">
        <v>19500</v>
      </c>
    </row>
    <row r="2624" spans="1:6" x14ac:dyDescent="0.3">
      <c r="A2624" s="1" t="s">
        <v>17</v>
      </c>
      <c r="B2624" s="1" t="s">
        <v>50</v>
      </c>
      <c r="C2624" s="2" t="s">
        <v>7</v>
      </c>
      <c r="D2624" s="1" t="s">
        <v>11</v>
      </c>
      <c r="E2624" s="1" t="s">
        <v>48</v>
      </c>
      <c r="F2624" s="1">
        <v>861218.59999999905</v>
      </c>
    </row>
    <row r="2625" spans="1:6" x14ac:dyDescent="0.3">
      <c r="A2625" s="3" t="s">
        <v>17</v>
      </c>
      <c r="B2625" s="3" t="s">
        <v>50</v>
      </c>
      <c r="C2625" s="4" t="s">
        <v>7</v>
      </c>
      <c r="D2625" s="3" t="s">
        <v>11</v>
      </c>
      <c r="E2625" s="3" t="s">
        <v>49</v>
      </c>
      <c r="F2625" s="3">
        <v>-11.6727229971674</v>
      </c>
    </row>
    <row r="2626" spans="1:6" x14ac:dyDescent="0.3">
      <c r="A2626" s="1" t="s">
        <v>17</v>
      </c>
      <c r="B2626" s="1" t="s">
        <v>51</v>
      </c>
      <c r="C2626" s="2" t="s">
        <v>7</v>
      </c>
      <c r="D2626" s="1" t="s">
        <v>1</v>
      </c>
      <c r="E2626" s="1" t="s">
        <v>44</v>
      </c>
      <c r="F2626" s="1">
        <v>-311729.69999999902</v>
      </c>
    </row>
    <row r="2627" spans="1:6" x14ac:dyDescent="0.3">
      <c r="A2627" s="3" t="s">
        <v>17</v>
      </c>
      <c r="B2627" s="3" t="s">
        <v>51</v>
      </c>
      <c r="C2627" s="4" t="s">
        <v>7</v>
      </c>
      <c r="D2627" s="3" t="s">
        <v>1</v>
      </c>
      <c r="E2627" s="3" t="s">
        <v>45</v>
      </c>
      <c r="F2627" s="3">
        <v>36580.5</v>
      </c>
    </row>
    <row r="2628" spans="1:6" x14ac:dyDescent="0.3">
      <c r="A2628" s="1" t="s">
        <v>17</v>
      </c>
      <c r="B2628" s="1" t="s">
        <v>51</v>
      </c>
      <c r="C2628" s="2" t="s">
        <v>7</v>
      </c>
      <c r="D2628" s="1" t="s">
        <v>1</v>
      </c>
      <c r="E2628" s="1" t="s">
        <v>46</v>
      </c>
      <c r="F2628" s="1">
        <v>331779</v>
      </c>
    </row>
    <row r="2629" spans="1:6" x14ac:dyDescent="0.3">
      <c r="A2629" s="3" t="s">
        <v>17</v>
      </c>
      <c r="B2629" s="3" t="s">
        <v>51</v>
      </c>
      <c r="C2629" s="4" t="s">
        <v>7</v>
      </c>
      <c r="D2629" s="3" t="s">
        <v>1</v>
      </c>
      <c r="E2629" s="3" t="s">
        <v>47</v>
      </c>
      <c r="F2629" s="3">
        <v>31.1999999999999</v>
      </c>
    </row>
    <row r="2630" spans="1:6" x14ac:dyDescent="0.3">
      <c r="A2630" s="1" t="s">
        <v>17</v>
      </c>
      <c r="B2630" s="1" t="s">
        <v>51</v>
      </c>
      <c r="C2630" s="2" t="s">
        <v>7</v>
      </c>
      <c r="D2630" s="1" t="s">
        <v>1</v>
      </c>
      <c r="E2630" s="1" t="s">
        <v>48</v>
      </c>
      <c r="F2630" s="1">
        <v>16500</v>
      </c>
    </row>
    <row r="2631" spans="1:6" x14ac:dyDescent="0.3">
      <c r="A2631" s="3" t="s">
        <v>17</v>
      </c>
      <c r="B2631" s="3" t="s">
        <v>51</v>
      </c>
      <c r="C2631" s="4" t="s">
        <v>7</v>
      </c>
      <c r="D2631" s="3" t="s">
        <v>1</v>
      </c>
      <c r="E2631" s="3" t="s">
        <v>49</v>
      </c>
      <c r="F2631" s="3">
        <v>-8.52174519211054</v>
      </c>
    </row>
    <row r="2632" spans="1:6" x14ac:dyDescent="0.3">
      <c r="A2632" s="1" t="s">
        <v>17</v>
      </c>
      <c r="B2632" s="1" t="s">
        <v>51</v>
      </c>
      <c r="C2632" s="2" t="s">
        <v>7</v>
      </c>
      <c r="D2632" s="1" t="s">
        <v>6</v>
      </c>
      <c r="E2632" s="1" t="s">
        <v>44</v>
      </c>
      <c r="F2632" s="1">
        <v>-347597.69999999902</v>
      </c>
    </row>
    <row r="2633" spans="1:6" x14ac:dyDescent="0.3">
      <c r="A2633" s="3" t="s">
        <v>17</v>
      </c>
      <c r="B2633" s="3" t="s">
        <v>51</v>
      </c>
      <c r="C2633" s="4" t="s">
        <v>7</v>
      </c>
      <c r="D2633" s="3" t="s">
        <v>6</v>
      </c>
      <c r="E2633" s="3" t="s">
        <v>45</v>
      </c>
      <c r="F2633" s="3">
        <v>36580.5</v>
      </c>
    </row>
    <row r="2634" spans="1:6" x14ac:dyDescent="0.3">
      <c r="A2634" s="1" t="s">
        <v>17</v>
      </c>
      <c r="B2634" s="1" t="s">
        <v>51</v>
      </c>
      <c r="C2634" s="2" t="s">
        <v>7</v>
      </c>
      <c r="D2634" s="1" t="s">
        <v>6</v>
      </c>
      <c r="E2634" s="1" t="s">
        <v>46</v>
      </c>
      <c r="F2634" s="1">
        <v>367647</v>
      </c>
    </row>
    <row r="2635" spans="1:6" x14ac:dyDescent="0.3">
      <c r="A2635" s="3" t="s">
        <v>17</v>
      </c>
      <c r="B2635" s="3" t="s">
        <v>51</v>
      </c>
      <c r="C2635" s="4" t="s">
        <v>7</v>
      </c>
      <c r="D2635" s="3" t="s">
        <v>6</v>
      </c>
      <c r="E2635" s="3" t="s">
        <v>47</v>
      </c>
      <c r="F2635" s="3">
        <v>31.1999999999999</v>
      </c>
    </row>
    <row r="2636" spans="1:6" x14ac:dyDescent="0.3">
      <c r="A2636" s="1" t="s">
        <v>17</v>
      </c>
      <c r="B2636" s="1" t="s">
        <v>51</v>
      </c>
      <c r="C2636" s="2" t="s">
        <v>7</v>
      </c>
      <c r="D2636" s="1" t="s">
        <v>6</v>
      </c>
      <c r="E2636" s="1" t="s">
        <v>48</v>
      </c>
      <c r="F2636" s="1">
        <v>16500</v>
      </c>
    </row>
    <row r="2637" spans="1:6" x14ac:dyDescent="0.3">
      <c r="A2637" s="3" t="s">
        <v>17</v>
      </c>
      <c r="B2637" s="3" t="s">
        <v>51</v>
      </c>
      <c r="C2637" s="4" t="s">
        <v>7</v>
      </c>
      <c r="D2637" s="3" t="s">
        <v>6</v>
      </c>
      <c r="E2637" s="3" t="s">
        <v>49</v>
      </c>
      <c r="F2637" s="3">
        <v>-9.5022676015910008</v>
      </c>
    </row>
    <row r="2638" spans="1:6" x14ac:dyDescent="0.3">
      <c r="A2638" s="1" t="s">
        <v>17</v>
      </c>
      <c r="B2638" s="1" t="s">
        <v>51</v>
      </c>
      <c r="C2638" s="2" t="s">
        <v>7</v>
      </c>
      <c r="D2638" s="1" t="s">
        <v>9</v>
      </c>
      <c r="E2638" s="1" t="s">
        <v>44</v>
      </c>
      <c r="F2638" s="1">
        <v>-359078.69999999902</v>
      </c>
    </row>
    <row r="2639" spans="1:6" x14ac:dyDescent="0.3">
      <c r="A2639" s="3" t="s">
        <v>17</v>
      </c>
      <c r="B2639" s="3" t="s">
        <v>51</v>
      </c>
      <c r="C2639" s="4" t="s">
        <v>7</v>
      </c>
      <c r="D2639" s="3" t="s">
        <v>9</v>
      </c>
      <c r="E2639" s="3" t="s">
        <v>45</v>
      </c>
      <c r="F2639" s="3">
        <v>60967.5</v>
      </c>
    </row>
    <row r="2640" spans="1:6" x14ac:dyDescent="0.3">
      <c r="A2640" s="1" t="s">
        <v>17</v>
      </c>
      <c r="B2640" s="1" t="s">
        <v>51</v>
      </c>
      <c r="C2640" s="2" t="s">
        <v>7</v>
      </c>
      <c r="D2640" s="1" t="s">
        <v>9</v>
      </c>
      <c r="E2640" s="1" t="s">
        <v>46</v>
      </c>
      <c r="F2640" s="1">
        <v>403515</v>
      </c>
    </row>
    <row r="2641" spans="1:6" x14ac:dyDescent="0.3">
      <c r="A2641" s="3" t="s">
        <v>17</v>
      </c>
      <c r="B2641" s="3" t="s">
        <v>51</v>
      </c>
      <c r="C2641" s="4" t="s">
        <v>7</v>
      </c>
      <c r="D2641" s="3" t="s">
        <v>9</v>
      </c>
      <c r="E2641" s="3" t="s">
        <v>47</v>
      </c>
      <c r="F2641" s="3">
        <v>31.1999999999999</v>
      </c>
    </row>
    <row r="2642" spans="1:6" x14ac:dyDescent="0.3">
      <c r="A2642" s="1" t="s">
        <v>17</v>
      </c>
      <c r="B2642" s="1" t="s">
        <v>51</v>
      </c>
      <c r="C2642" s="2" t="s">
        <v>7</v>
      </c>
      <c r="D2642" s="1" t="s">
        <v>9</v>
      </c>
      <c r="E2642" s="1" t="s">
        <v>48</v>
      </c>
      <c r="F2642" s="1">
        <v>16500</v>
      </c>
    </row>
    <row r="2643" spans="1:6" x14ac:dyDescent="0.3">
      <c r="A2643" s="3" t="s">
        <v>17</v>
      </c>
      <c r="B2643" s="3" t="s">
        <v>51</v>
      </c>
      <c r="C2643" s="4" t="s">
        <v>7</v>
      </c>
      <c r="D2643" s="3" t="s">
        <v>9</v>
      </c>
      <c r="E2643" s="3" t="s">
        <v>49</v>
      </c>
      <c r="F2643" s="3">
        <v>-5.8896740066428803</v>
      </c>
    </row>
    <row r="2644" spans="1:6" x14ac:dyDescent="0.3">
      <c r="A2644" s="1" t="s">
        <v>17</v>
      </c>
      <c r="B2644" s="1" t="s">
        <v>51</v>
      </c>
      <c r="C2644" s="2" t="s">
        <v>7</v>
      </c>
      <c r="D2644" s="1" t="s">
        <v>11</v>
      </c>
      <c r="E2644" s="1" t="s">
        <v>44</v>
      </c>
      <c r="F2644" s="1">
        <v>-284116.19999999902</v>
      </c>
    </row>
    <row r="2645" spans="1:6" x14ac:dyDescent="0.3">
      <c r="A2645" s="3" t="s">
        <v>17</v>
      </c>
      <c r="B2645" s="3" t="s">
        <v>51</v>
      </c>
      <c r="C2645" s="4" t="s">
        <v>7</v>
      </c>
      <c r="D2645" s="3" t="s">
        <v>11</v>
      </c>
      <c r="E2645" s="3" t="s">
        <v>45</v>
      </c>
      <c r="F2645" s="3">
        <v>73161</v>
      </c>
    </row>
    <row r="2646" spans="1:6" x14ac:dyDescent="0.3">
      <c r="A2646" s="1" t="s">
        <v>17</v>
      </c>
      <c r="B2646" s="1" t="s">
        <v>51</v>
      </c>
      <c r="C2646" s="2" t="s">
        <v>7</v>
      </c>
      <c r="D2646" s="1" t="s">
        <v>11</v>
      </c>
      <c r="E2646" s="1" t="s">
        <v>46</v>
      </c>
      <c r="F2646" s="1">
        <v>340746</v>
      </c>
    </row>
    <row r="2647" spans="1:6" x14ac:dyDescent="0.3">
      <c r="A2647" s="3" t="s">
        <v>17</v>
      </c>
      <c r="B2647" s="3" t="s">
        <v>51</v>
      </c>
      <c r="C2647" s="4" t="s">
        <v>7</v>
      </c>
      <c r="D2647" s="3" t="s">
        <v>11</v>
      </c>
      <c r="E2647" s="3" t="s">
        <v>47</v>
      </c>
      <c r="F2647" s="3">
        <v>31.1999999999999</v>
      </c>
    </row>
    <row r="2648" spans="1:6" x14ac:dyDescent="0.3">
      <c r="A2648" s="1" t="s">
        <v>17</v>
      </c>
      <c r="B2648" s="1" t="s">
        <v>51</v>
      </c>
      <c r="C2648" s="2" t="s">
        <v>7</v>
      </c>
      <c r="D2648" s="1" t="s">
        <v>11</v>
      </c>
      <c r="E2648" s="1" t="s">
        <v>48</v>
      </c>
      <c r="F2648" s="1">
        <v>16500</v>
      </c>
    </row>
    <row r="2649" spans="1:6" x14ac:dyDescent="0.3">
      <c r="A2649" s="3" t="s">
        <v>17</v>
      </c>
      <c r="B2649" s="3" t="s">
        <v>51</v>
      </c>
      <c r="C2649" s="4" t="s">
        <v>7</v>
      </c>
      <c r="D2649" s="3" t="s">
        <v>11</v>
      </c>
      <c r="E2649" s="3" t="s">
        <v>49</v>
      </c>
      <c r="F2649" s="3">
        <v>-3.8834378972403298</v>
      </c>
    </row>
    <row r="2650" spans="1:6" x14ac:dyDescent="0.3">
      <c r="A2650" s="1" t="s">
        <v>17</v>
      </c>
      <c r="B2650" s="1" t="s">
        <v>51</v>
      </c>
      <c r="C2650" s="2" t="s">
        <v>7</v>
      </c>
      <c r="D2650" s="1" t="s">
        <v>1</v>
      </c>
      <c r="E2650" s="1" t="s">
        <v>44</v>
      </c>
      <c r="F2650" s="1">
        <v>-1140923.8499999901</v>
      </c>
    </row>
    <row r="2651" spans="1:6" x14ac:dyDescent="0.3">
      <c r="A2651" s="3" t="s">
        <v>17</v>
      </c>
      <c r="B2651" s="3" t="s">
        <v>51</v>
      </c>
      <c r="C2651" s="4" t="s">
        <v>7</v>
      </c>
      <c r="D2651" s="3" t="s">
        <v>1</v>
      </c>
      <c r="E2651" s="3" t="s">
        <v>45</v>
      </c>
      <c r="F2651" s="3">
        <v>79521.75</v>
      </c>
    </row>
    <row r="2652" spans="1:6" x14ac:dyDescent="0.3">
      <c r="A2652" s="1" t="s">
        <v>17</v>
      </c>
      <c r="B2652" s="1" t="s">
        <v>51</v>
      </c>
      <c r="C2652" s="2" t="s">
        <v>7</v>
      </c>
      <c r="D2652" s="1" t="s">
        <v>1</v>
      </c>
      <c r="E2652" s="1" t="s">
        <v>46</v>
      </c>
      <c r="F2652" s="1">
        <v>807030</v>
      </c>
    </row>
    <row r="2653" spans="1:6" x14ac:dyDescent="0.3">
      <c r="A2653" s="3" t="s">
        <v>17</v>
      </c>
      <c r="B2653" s="3" t="s">
        <v>51</v>
      </c>
      <c r="C2653" s="4" t="s">
        <v>7</v>
      </c>
      <c r="D2653" s="3" t="s">
        <v>1</v>
      </c>
      <c r="E2653" s="3" t="s">
        <v>47</v>
      </c>
      <c r="F2653" s="3">
        <v>31.1999999999999</v>
      </c>
    </row>
    <row r="2654" spans="1:6" x14ac:dyDescent="0.3">
      <c r="A2654" s="1" t="s">
        <v>17</v>
      </c>
      <c r="B2654" s="1" t="s">
        <v>51</v>
      </c>
      <c r="C2654" s="2" t="s">
        <v>7</v>
      </c>
      <c r="D2654" s="1" t="s">
        <v>1</v>
      </c>
      <c r="E2654" s="1" t="s">
        <v>48</v>
      </c>
      <c r="F2654" s="1">
        <v>413384.39999999898</v>
      </c>
    </row>
    <row r="2655" spans="1:6" x14ac:dyDescent="0.3">
      <c r="A2655" s="3" t="s">
        <v>17</v>
      </c>
      <c r="B2655" s="3" t="s">
        <v>51</v>
      </c>
      <c r="C2655" s="4" t="s">
        <v>7</v>
      </c>
      <c r="D2655" s="3" t="s">
        <v>1</v>
      </c>
      <c r="E2655" s="3" t="s">
        <v>49</v>
      </c>
      <c r="F2655" s="3">
        <v>-14.3473181865338</v>
      </c>
    </row>
    <row r="2656" spans="1:6" x14ac:dyDescent="0.3">
      <c r="A2656" s="1" t="s">
        <v>17</v>
      </c>
      <c r="B2656" s="1" t="s">
        <v>51</v>
      </c>
      <c r="C2656" s="2" t="s">
        <v>7</v>
      </c>
      <c r="D2656" s="1" t="s">
        <v>6</v>
      </c>
      <c r="E2656" s="1" t="s">
        <v>44</v>
      </c>
      <c r="F2656" s="1">
        <v>-1156452.8999999899</v>
      </c>
    </row>
    <row r="2657" spans="1:6" x14ac:dyDescent="0.3">
      <c r="A2657" s="3" t="s">
        <v>17</v>
      </c>
      <c r="B2657" s="3" t="s">
        <v>51</v>
      </c>
      <c r="C2657" s="4" t="s">
        <v>7</v>
      </c>
      <c r="D2657" s="3" t="s">
        <v>6</v>
      </c>
      <c r="E2657" s="3" t="s">
        <v>45</v>
      </c>
      <c r="F2657" s="3">
        <v>79521.75</v>
      </c>
    </row>
    <row r="2658" spans="1:6" x14ac:dyDescent="0.3">
      <c r="A2658" s="1" t="s">
        <v>17</v>
      </c>
      <c r="B2658" s="1" t="s">
        <v>51</v>
      </c>
      <c r="C2658" s="2" t="s">
        <v>7</v>
      </c>
      <c r="D2658" s="1" t="s">
        <v>6</v>
      </c>
      <c r="E2658" s="1" t="s">
        <v>46</v>
      </c>
      <c r="F2658" s="1">
        <v>815997</v>
      </c>
    </row>
    <row r="2659" spans="1:6" x14ac:dyDescent="0.3">
      <c r="A2659" s="3" t="s">
        <v>17</v>
      </c>
      <c r="B2659" s="3" t="s">
        <v>51</v>
      </c>
      <c r="C2659" s="4" t="s">
        <v>7</v>
      </c>
      <c r="D2659" s="3" t="s">
        <v>6</v>
      </c>
      <c r="E2659" s="3" t="s">
        <v>47</v>
      </c>
      <c r="F2659" s="3">
        <v>31.1999999999999</v>
      </c>
    </row>
    <row r="2660" spans="1:6" x14ac:dyDescent="0.3">
      <c r="A2660" s="1" t="s">
        <v>17</v>
      </c>
      <c r="B2660" s="1" t="s">
        <v>51</v>
      </c>
      <c r="C2660" s="2" t="s">
        <v>7</v>
      </c>
      <c r="D2660" s="1" t="s">
        <v>6</v>
      </c>
      <c r="E2660" s="1" t="s">
        <v>48</v>
      </c>
      <c r="F2660" s="1">
        <v>419946.44999999902</v>
      </c>
    </row>
    <row r="2661" spans="1:6" x14ac:dyDescent="0.3">
      <c r="A2661" s="3" t="s">
        <v>17</v>
      </c>
      <c r="B2661" s="3" t="s">
        <v>51</v>
      </c>
      <c r="C2661" s="4" t="s">
        <v>7</v>
      </c>
      <c r="D2661" s="3" t="s">
        <v>6</v>
      </c>
      <c r="E2661" s="3" t="s">
        <v>49</v>
      </c>
      <c r="F2661" s="3">
        <v>-14.5425987229908</v>
      </c>
    </row>
    <row r="2662" spans="1:6" x14ac:dyDescent="0.3">
      <c r="A2662" s="1" t="s">
        <v>17</v>
      </c>
      <c r="B2662" s="1" t="s">
        <v>51</v>
      </c>
      <c r="C2662" s="2" t="s">
        <v>7</v>
      </c>
      <c r="D2662" s="1" t="s">
        <v>9</v>
      </c>
      <c r="E2662" s="1" t="s">
        <v>44</v>
      </c>
      <c r="F2662" s="1">
        <v>-1200634</v>
      </c>
    </row>
    <row r="2663" spans="1:6" x14ac:dyDescent="0.3">
      <c r="A2663" s="3" t="s">
        <v>17</v>
      </c>
      <c r="B2663" s="3" t="s">
        <v>51</v>
      </c>
      <c r="C2663" s="4" t="s">
        <v>7</v>
      </c>
      <c r="D2663" s="3" t="s">
        <v>9</v>
      </c>
      <c r="E2663" s="3" t="s">
        <v>45</v>
      </c>
      <c r="F2663" s="3">
        <v>79521.75</v>
      </c>
    </row>
    <row r="2664" spans="1:6" x14ac:dyDescent="0.3">
      <c r="A2664" s="1" t="s">
        <v>17</v>
      </c>
      <c r="B2664" s="1" t="s">
        <v>51</v>
      </c>
      <c r="C2664" s="2" t="s">
        <v>7</v>
      </c>
      <c r="D2664" s="1" t="s">
        <v>9</v>
      </c>
      <c r="E2664" s="1" t="s">
        <v>46</v>
      </c>
      <c r="F2664" s="1">
        <v>833931</v>
      </c>
    </row>
    <row r="2665" spans="1:6" x14ac:dyDescent="0.3">
      <c r="A2665" s="3" t="s">
        <v>17</v>
      </c>
      <c r="B2665" s="3" t="s">
        <v>51</v>
      </c>
      <c r="C2665" s="4" t="s">
        <v>7</v>
      </c>
      <c r="D2665" s="3" t="s">
        <v>9</v>
      </c>
      <c r="E2665" s="3" t="s">
        <v>47</v>
      </c>
      <c r="F2665" s="3">
        <v>31.1999999999999</v>
      </c>
    </row>
    <row r="2666" spans="1:6" x14ac:dyDescent="0.3">
      <c r="A2666" s="1" t="s">
        <v>17</v>
      </c>
      <c r="B2666" s="1" t="s">
        <v>51</v>
      </c>
      <c r="C2666" s="2" t="s">
        <v>7</v>
      </c>
      <c r="D2666" s="1" t="s">
        <v>9</v>
      </c>
      <c r="E2666" s="1" t="s">
        <v>48</v>
      </c>
      <c r="F2666" s="1">
        <v>446193.549999999</v>
      </c>
    </row>
    <row r="2667" spans="1:6" x14ac:dyDescent="0.3">
      <c r="A2667" s="3" t="s">
        <v>17</v>
      </c>
      <c r="B2667" s="3" t="s">
        <v>51</v>
      </c>
      <c r="C2667" s="4" t="s">
        <v>7</v>
      </c>
      <c r="D2667" s="3" t="s">
        <v>9</v>
      </c>
      <c r="E2667" s="3" t="s">
        <v>49</v>
      </c>
      <c r="F2667" s="3">
        <v>-15.0981838302099</v>
      </c>
    </row>
    <row r="2668" spans="1:6" x14ac:dyDescent="0.3">
      <c r="A2668" s="1" t="s">
        <v>17</v>
      </c>
      <c r="B2668" s="1" t="s">
        <v>51</v>
      </c>
      <c r="C2668" s="2" t="s">
        <v>7</v>
      </c>
      <c r="D2668" s="1" t="s">
        <v>11</v>
      </c>
      <c r="E2668" s="1" t="s">
        <v>44</v>
      </c>
      <c r="F2668" s="1">
        <v>-1244814</v>
      </c>
    </row>
    <row r="2669" spans="1:6" x14ac:dyDescent="0.3">
      <c r="A2669" s="3" t="s">
        <v>17</v>
      </c>
      <c r="B2669" s="3" t="s">
        <v>51</v>
      </c>
      <c r="C2669" s="4" t="s">
        <v>7</v>
      </c>
      <c r="D2669" s="3" t="s">
        <v>11</v>
      </c>
      <c r="E2669" s="3" t="s">
        <v>45</v>
      </c>
      <c r="F2669" s="3">
        <v>79521.75</v>
      </c>
    </row>
    <row r="2670" spans="1:6" x14ac:dyDescent="0.3">
      <c r="A2670" s="1" t="s">
        <v>17</v>
      </c>
      <c r="B2670" s="1" t="s">
        <v>51</v>
      </c>
      <c r="C2670" s="2" t="s">
        <v>7</v>
      </c>
      <c r="D2670" s="1" t="s">
        <v>11</v>
      </c>
      <c r="E2670" s="1" t="s">
        <v>46</v>
      </c>
      <c r="F2670" s="1">
        <v>851865</v>
      </c>
    </row>
    <row r="2671" spans="1:6" x14ac:dyDescent="0.3">
      <c r="A2671" s="3" t="s">
        <v>17</v>
      </c>
      <c r="B2671" s="3" t="s">
        <v>51</v>
      </c>
      <c r="C2671" s="4" t="s">
        <v>7</v>
      </c>
      <c r="D2671" s="3" t="s">
        <v>11</v>
      </c>
      <c r="E2671" s="3" t="s">
        <v>47</v>
      </c>
      <c r="F2671" s="3">
        <v>31.1999999999999</v>
      </c>
    </row>
    <row r="2672" spans="1:6" x14ac:dyDescent="0.3">
      <c r="A2672" s="1" t="s">
        <v>17</v>
      </c>
      <c r="B2672" s="1" t="s">
        <v>51</v>
      </c>
      <c r="C2672" s="2" t="s">
        <v>7</v>
      </c>
      <c r="D2672" s="1" t="s">
        <v>11</v>
      </c>
      <c r="E2672" s="1" t="s">
        <v>48</v>
      </c>
      <c r="F2672" s="1">
        <v>472439.549999999</v>
      </c>
    </row>
    <row r="2673" spans="1:6" x14ac:dyDescent="0.3">
      <c r="A2673" s="3" t="s">
        <v>17</v>
      </c>
      <c r="B2673" s="3" t="s">
        <v>51</v>
      </c>
      <c r="C2673" s="4" t="s">
        <v>7</v>
      </c>
      <c r="D2673" s="3" t="s">
        <v>11</v>
      </c>
      <c r="E2673" s="3" t="s">
        <v>49</v>
      </c>
      <c r="F2673" s="3">
        <v>-15.653755104735399</v>
      </c>
    </row>
    <row r="2674" spans="1:6" x14ac:dyDescent="0.3">
      <c r="A2674" s="1" t="s">
        <v>17</v>
      </c>
      <c r="B2674" s="1" t="s">
        <v>51</v>
      </c>
      <c r="C2674" s="2" t="s">
        <v>7</v>
      </c>
      <c r="D2674" s="1" t="s">
        <v>1</v>
      </c>
      <c r="E2674" s="1" t="s">
        <v>44</v>
      </c>
      <c r="F2674" s="1">
        <v>-78677.399999999907</v>
      </c>
    </row>
    <row r="2675" spans="1:6" x14ac:dyDescent="0.3">
      <c r="A2675" s="3" t="s">
        <v>17</v>
      </c>
      <c r="B2675" s="3" t="s">
        <v>51</v>
      </c>
      <c r="C2675" s="4" t="s">
        <v>7</v>
      </c>
      <c r="D2675" s="3" t="s">
        <v>1</v>
      </c>
      <c r="E2675" s="3" t="s">
        <v>45</v>
      </c>
      <c r="F2675" s="3">
        <v>42099.75</v>
      </c>
    </row>
    <row r="2676" spans="1:6" x14ac:dyDescent="0.3">
      <c r="A2676" s="1" t="s">
        <v>17</v>
      </c>
      <c r="B2676" s="1" t="s">
        <v>51</v>
      </c>
      <c r="C2676" s="2" t="s">
        <v>7</v>
      </c>
      <c r="D2676" s="1" t="s">
        <v>1</v>
      </c>
      <c r="E2676" s="1" t="s">
        <v>46</v>
      </c>
      <c r="F2676" s="1">
        <v>53802</v>
      </c>
    </row>
    <row r="2677" spans="1:6" x14ac:dyDescent="0.3">
      <c r="A2677" s="3" t="s">
        <v>17</v>
      </c>
      <c r="B2677" s="3" t="s">
        <v>51</v>
      </c>
      <c r="C2677" s="4" t="s">
        <v>7</v>
      </c>
      <c r="D2677" s="3" t="s">
        <v>1</v>
      </c>
      <c r="E2677" s="3" t="s">
        <v>47</v>
      </c>
      <c r="F2677" s="3">
        <v>7920</v>
      </c>
    </row>
    <row r="2678" spans="1:6" x14ac:dyDescent="0.3">
      <c r="A2678" s="1" t="s">
        <v>17</v>
      </c>
      <c r="B2678" s="1" t="s">
        <v>51</v>
      </c>
      <c r="C2678" s="2" t="s">
        <v>7</v>
      </c>
      <c r="D2678" s="1" t="s">
        <v>1</v>
      </c>
      <c r="E2678" s="1" t="s">
        <v>48</v>
      </c>
      <c r="F2678" s="1">
        <v>59055.1499999999</v>
      </c>
    </row>
    <row r="2679" spans="1:6" x14ac:dyDescent="0.3">
      <c r="A2679" s="3" t="s">
        <v>17</v>
      </c>
      <c r="B2679" s="3" t="s">
        <v>51</v>
      </c>
      <c r="C2679" s="4" t="s">
        <v>7</v>
      </c>
      <c r="D2679" s="3" t="s">
        <v>1</v>
      </c>
      <c r="E2679" s="3" t="s">
        <v>49</v>
      </c>
      <c r="F2679" s="3">
        <v>-1.8688329503144301</v>
      </c>
    </row>
    <row r="2680" spans="1:6" x14ac:dyDescent="0.3">
      <c r="A2680" s="1" t="s">
        <v>17</v>
      </c>
      <c r="B2680" s="1" t="s">
        <v>51</v>
      </c>
      <c r="C2680" s="2" t="s">
        <v>7</v>
      </c>
      <c r="D2680" s="1" t="s">
        <v>6</v>
      </c>
      <c r="E2680" s="1" t="s">
        <v>44</v>
      </c>
      <c r="F2680" s="1">
        <v>-61588.35</v>
      </c>
    </row>
    <row r="2681" spans="1:6" x14ac:dyDescent="0.3">
      <c r="A2681" s="3" t="s">
        <v>17</v>
      </c>
      <c r="B2681" s="3" t="s">
        <v>51</v>
      </c>
      <c r="C2681" s="4" t="s">
        <v>7</v>
      </c>
      <c r="D2681" s="3" t="s">
        <v>6</v>
      </c>
      <c r="E2681" s="3" t="s">
        <v>45</v>
      </c>
      <c r="F2681" s="3">
        <v>63148.799999999901</v>
      </c>
    </row>
    <row r="2682" spans="1:6" x14ac:dyDescent="0.3">
      <c r="A2682" s="1" t="s">
        <v>17</v>
      </c>
      <c r="B2682" s="1" t="s">
        <v>51</v>
      </c>
      <c r="C2682" s="2" t="s">
        <v>7</v>
      </c>
      <c r="D2682" s="1" t="s">
        <v>6</v>
      </c>
      <c r="E2682" s="1" t="s">
        <v>46</v>
      </c>
      <c r="F2682" s="1">
        <v>53802</v>
      </c>
    </row>
    <row r="2683" spans="1:6" x14ac:dyDescent="0.3">
      <c r="A2683" s="3" t="s">
        <v>17</v>
      </c>
      <c r="B2683" s="3" t="s">
        <v>51</v>
      </c>
      <c r="C2683" s="4" t="s">
        <v>7</v>
      </c>
      <c r="D2683" s="3" t="s">
        <v>6</v>
      </c>
      <c r="E2683" s="3" t="s">
        <v>47</v>
      </c>
      <c r="F2683" s="3">
        <v>11880</v>
      </c>
    </row>
    <row r="2684" spans="1:6" x14ac:dyDescent="0.3">
      <c r="A2684" s="1" t="s">
        <v>17</v>
      </c>
      <c r="B2684" s="1" t="s">
        <v>51</v>
      </c>
      <c r="C2684" s="2" t="s">
        <v>7</v>
      </c>
      <c r="D2684" s="1" t="s">
        <v>6</v>
      </c>
      <c r="E2684" s="1" t="s">
        <v>48</v>
      </c>
      <c r="F2684" s="1">
        <v>59055.1499999999</v>
      </c>
    </row>
    <row r="2685" spans="1:6" x14ac:dyDescent="0.3">
      <c r="A2685" s="3" t="s">
        <v>17</v>
      </c>
      <c r="B2685" s="3" t="s">
        <v>51</v>
      </c>
      <c r="C2685" s="4" t="s">
        <v>7</v>
      </c>
      <c r="D2685" s="3" t="s">
        <v>6</v>
      </c>
      <c r="E2685" s="3" t="s">
        <v>49</v>
      </c>
      <c r="F2685" s="3">
        <v>-0.97528931666159902</v>
      </c>
    </row>
    <row r="2686" spans="1:6" x14ac:dyDescent="0.3">
      <c r="A2686" s="1" t="s">
        <v>17</v>
      </c>
      <c r="B2686" s="1" t="s">
        <v>51</v>
      </c>
      <c r="C2686" s="2" t="s">
        <v>7</v>
      </c>
      <c r="D2686" s="1" t="s">
        <v>9</v>
      </c>
      <c r="E2686" s="1" t="s">
        <v>44</v>
      </c>
      <c r="F2686" s="1">
        <v>-44497.6499999999</v>
      </c>
    </row>
    <row r="2687" spans="1:6" x14ac:dyDescent="0.3">
      <c r="A2687" s="3" t="s">
        <v>17</v>
      </c>
      <c r="B2687" s="3" t="s">
        <v>51</v>
      </c>
      <c r="C2687" s="4" t="s">
        <v>7</v>
      </c>
      <c r="D2687" s="3" t="s">
        <v>9</v>
      </c>
      <c r="E2687" s="3" t="s">
        <v>45</v>
      </c>
      <c r="F2687" s="3">
        <v>84199.5</v>
      </c>
    </row>
    <row r="2688" spans="1:6" x14ac:dyDescent="0.3">
      <c r="A2688" s="1" t="s">
        <v>17</v>
      </c>
      <c r="B2688" s="1" t="s">
        <v>51</v>
      </c>
      <c r="C2688" s="2" t="s">
        <v>7</v>
      </c>
      <c r="D2688" s="1" t="s">
        <v>9</v>
      </c>
      <c r="E2688" s="1" t="s">
        <v>46</v>
      </c>
      <c r="F2688" s="1">
        <v>53802</v>
      </c>
    </row>
    <row r="2689" spans="1:6" x14ac:dyDescent="0.3">
      <c r="A2689" s="3" t="s">
        <v>17</v>
      </c>
      <c r="B2689" s="3" t="s">
        <v>51</v>
      </c>
      <c r="C2689" s="4" t="s">
        <v>7</v>
      </c>
      <c r="D2689" s="3" t="s">
        <v>9</v>
      </c>
      <c r="E2689" s="3" t="s">
        <v>47</v>
      </c>
      <c r="F2689" s="3">
        <v>15840</v>
      </c>
    </row>
    <row r="2690" spans="1:6" x14ac:dyDescent="0.3">
      <c r="A2690" s="1" t="s">
        <v>17</v>
      </c>
      <c r="B2690" s="1" t="s">
        <v>51</v>
      </c>
      <c r="C2690" s="2" t="s">
        <v>7</v>
      </c>
      <c r="D2690" s="1" t="s">
        <v>9</v>
      </c>
      <c r="E2690" s="1" t="s">
        <v>48</v>
      </c>
      <c r="F2690" s="1">
        <v>59055.1499999999</v>
      </c>
    </row>
    <row r="2691" spans="1:6" x14ac:dyDescent="0.3">
      <c r="A2691" s="3" t="s">
        <v>17</v>
      </c>
      <c r="B2691" s="3" t="s">
        <v>51</v>
      </c>
      <c r="C2691" s="4" t="s">
        <v>7</v>
      </c>
      <c r="D2691" s="3" t="s">
        <v>9</v>
      </c>
      <c r="E2691" s="3" t="s">
        <v>49</v>
      </c>
      <c r="F2691" s="3">
        <v>-0.52847879144175403</v>
      </c>
    </row>
    <row r="2692" spans="1:6" x14ac:dyDescent="0.3">
      <c r="A2692" s="1" t="s">
        <v>17</v>
      </c>
      <c r="B2692" s="1" t="s">
        <v>51</v>
      </c>
      <c r="C2692" s="2" t="s">
        <v>7</v>
      </c>
      <c r="D2692" s="1" t="s">
        <v>11</v>
      </c>
      <c r="E2692" s="1" t="s">
        <v>44</v>
      </c>
      <c r="F2692" s="1">
        <v>-27406.95</v>
      </c>
    </row>
    <row r="2693" spans="1:6" x14ac:dyDescent="0.3">
      <c r="A2693" s="3" t="s">
        <v>17</v>
      </c>
      <c r="B2693" s="3" t="s">
        <v>51</v>
      </c>
      <c r="C2693" s="4" t="s">
        <v>7</v>
      </c>
      <c r="D2693" s="3" t="s">
        <v>11</v>
      </c>
      <c r="E2693" s="3" t="s">
        <v>45</v>
      </c>
      <c r="F2693" s="3">
        <v>105250.19999999899</v>
      </c>
    </row>
    <row r="2694" spans="1:6" x14ac:dyDescent="0.3">
      <c r="A2694" s="1" t="s">
        <v>17</v>
      </c>
      <c r="B2694" s="1" t="s">
        <v>51</v>
      </c>
      <c r="C2694" s="2" t="s">
        <v>7</v>
      </c>
      <c r="D2694" s="1" t="s">
        <v>11</v>
      </c>
      <c r="E2694" s="1" t="s">
        <v>46</v>
      </c>
      <c r="F2694" s="1">
        <v>53802</v>
      </c>
    </row>
    <row r="2695" spans="1:6" x14ac:dyDescent="0.3">
      <c r="A2695" s="3" t="s">
        <v>17</v>
      </c>
      <c r="B2695" s="3" t="s">
        <v>51</v>
      </c>
      <c r="C2695" s="4" t="s">
        <v>7</v>
      </c>
      <c r="D2695" s="3" t="s">
        <v>11</v>
      </c>
      <c r="E2695" s="3" t="s">
        <v>47</v>
      </c>
      <c r="F2695" s="3">
        <v>19800</v>
      </c>
    </row>
    <row r="2696" spans="1:6" x14ac:dyDescent="0.3">
      <c r="A2696" s="1" t="s">
        <v>17</v>
      </c>
      <c r="B2696" s="1" t="s">
        <v>51</v>
      </c>
      <c r="C2696" s="2" t="s">
        <v>7</v>
      </c>
      <c r="D2696" s="1" t="s">
        <v>11</v>
      </c>
      <c r="E2696" s="1" t="s">
        <v>48</v>
      </c>
      <c r="F2696" s="1">
        <v>59055.1499999999</v>
      </c>
    </row>
    <row r="2697" spans="1:6" x14ac:dyDescent="0.3">
      <c r="A2697" s="3" t="s">
        <v>17</v>
      </c>
      <c r="B2697" s="3" t="s">
        <v>51</v>
      </c>
      <c r="C2697" s="4" t="s">
        <v>7</v>
      </c>
      <c r="D2697" s="3" t="s">
        <v>11</v>
      </c>
      <c r="E2697" s="3" t="s">
        <v>49</v>
      </c>
      <c r="F2697" s="3">
        <v>-0.260398080003648</v>
      </c>
    </row>
    <row r="2698" spans="1:6" x14ac:dyDescent="0.3">
      <c r="A2698" s="1" t="s">
        <v>17</v>
      </c>
      <c r="B2698" s="1" t="s">
        <v>51</v>
      </c>
      <c r="C2698" s="2" t="s">
        <v>7</v>
      </c>
      <c r="D2698" s="1" t="s">
        <v>1</v>
      </c>
      <c r="E2698" s="1" t="s">
        <v>44</v>
      </c>
      <c r="F2698" s="1">
        <v>35785.199999999903</v>
      </c>
    </row>
    <row r="2699" spans="1:6" x14ac:dyDescent="0.3">
      <c r="A2699" s="3" t="s">
        <v>17</v>
      </c>
      <c r="B2699" s="3" t="s">
        <v>51</v>
      </c>
      <c r="C2699" s="4" t="s">
        <v>7</v>
      </c>
      <c r="D2699" s="3" t="s">
        <v>1</v>
      </c>
      <c r="E2699" s="3" t="s">
        <v>45</v>
      </c>
      <c r="F2699" s="3">
        <v>35785.199999999903</v>
      </c>
    </row>
    <row r="2700" spans="1:6" x14ac:dyDescent="0.3">
      <c r="A2700" s="1" t="s">
        <v>17</v>
      </c>
      <c r="B2700" s="1" t="s">
        <v>51</v>
      </c>
      <c r="C2700" s="2" t="s">
        <v>7</v>
      </c>
      <c r="D2700" s="1" t="s">
        <v>1</v>
      </c>
      <c r="E2700" s="1" t="s">
        <v>49</v>
      </c>
      <c r="F2700" s="1">
        <v>1</v>
      </c>
    </row>
    <row r="2701" spans="1:6" x14ac:dyDescent="0.3">
      <c r="A2701" s="3" t="s">
        <v>17</v>
      </c>
      <c r="B2701" s="3" t="s">
        <v>51</v>
      </c>
      <c r="C2701" s="4" t="s">
        <v>7</v>
      </c>
      <c r="D2701" s="3" t="s">
        <v>6</v>
      </c>
      <c r="E2701" s="3" t="s">
        <v>44</v>
      </c>
      <c r="F2701" s="3">
        <v>53677.799999999901</v>
      </c>
    </row>
    <row r="2702" spans="1:6" x14ac:dyDescent="0.3">
      <c r="A2702" s="1" t="s">
        <v>17</v>
      </c>
      <c r="B2702" s="1" t="s">
        <v>51</v>
      </c>
      <c r="C2702" s="2" t="s">
        <v>7</v>
      </c>
      <c r="D2702" s="1" t="s">
        <v>6</v>
      </c>
      <c r="E2702" s="1" t="s">
        <v>45</v>
      </c>
      <c r="F2702" s="1">
        <v>53677.799999999901</v>
      </c>
    </row>
    <row r="2703" spans="1:6" x14ac:dyDescent="0.3">
      <c r="A2703" s="3" t="s">
        <v>17</v>
      </c>
      <c r="B2703" s="3" t="s">
        <v>51</v>
      </c>
      <c r="C2703" s="4" t="s">
        <v>7</v>
      </c>
      <c r="D2703" s="3" t="s">
        <v>6</v>
      </c>
      <c r="E2703" s="3" t="s">
        <v>49</v>
      </c>
      <c r="F2703" s="3">
        <v>1</v>
      </c>
    </row>
    <row r="2704" spans="1:6" x14ac:dyDescent="0.3">
      <c r="A2704" s="1" t="s">
        <v>17</v>
      </c>
      <c r="B2704" s="1" t="s">
        <v>51</v>
      </c>
      <c r="C2704" s="2" t="s">
        <v>7</v>
      </c>
      <c r="D2704" s="1" t="s">
        <v>9</v>
      </c>
      <c r="E2704" s="1" t="s">
        <v>44</v>
      </c>
      <c r="F2704" s="1">
        <v>71570.399999999907</v>
      </c>
    </row>
    <row r="2705" spans="1:6" x14ac:dyDescent="0.3">
      <c r="A2705" s="3" t="s">
        <v>17</v>
      </c>
      <c r="B2705" s="3" t="s">
        <v>51</v>
      </c>
      <c r="C2705" s="4" t="s">
        <v>7</v>
      </c>
      <c r="D2705" s="3" t="s">
        <v>9</v>
      </c>
      <c r="E2705" s="3" t="s">
        <v>45</v>
      </c>
      <c r="F2705" s="3">
        <v>71570.399999999907</v>
      </c>
    </row>
    <row r="2706" spans="1:6" x14ac:dyDescent="0.3">
      <c r="A2706" s="1" t="s">
        <v>17</v>
      </c>
      <c r="B2706" s="1" t="s">
        <v>51</v>
      </c>
      <c r="C2706" s="2" t="s">
        <v>7</v>
      </c>
      <c r="D2706" s="1" t="s">
        <v>9</v>
      </c>
      <c r="E2706" s="1" t="s">
        <v>49</v>
      </c>
      <c r="F2706" s="1">
        <v>1</v>
      </c>
    </row>
    <row r="2707" spans="1:6" x14ac:dyDescent="0.3">
      <c r="A2707" s="3" t="s">
        <v>17</v>
      </c>
      <c r="B2707" s="3" t="s">
        <v>51</v>
      </c>
      <c r="C2707" s="4" t="s">
        <v>7</v>
      </c>
      <c r="D2707" s="3" t="s">
        <v>11</v>
      </c>
      <c r="E2707" s="3" t="s">
        <v>44</v>
      </c>
      <c r="F2707" s="3">
        <v>89463</v>
      </c>
    </row>
    <row r="2708" spans="1:6" x14ac:dyDescent="0.3">
      <c r="A2708" s="1" t="s">
        <v>17</v>
      </c>
      <c r="B2708" s="1" t="s">
        <v>51</v>
      </c>
      <c r="C2708" s="2" t="s">
        <v>7</v>
      </c>
      <c r="D2708" s="1" t="s">
        <v>11</v>
      </c>
      <c r="E2708" s="1" t="s">
        <v>45</v>
      </c>
      <c r="F2708" s="1">
        <v>89463</v>
      </c>
    </row>
    <row r="2709" spans="1:6" x14ac:dyDescent="0.3">
      <c r="A2709" s="3" t="s">
        <v>17</v>
      </c>
      <c r="B2709" s="3" t="s">
        <v>51</v>
      </c>
      <c r="C2709" s="4" t="s">
        <v>7</v>
      </c>
      <c r="D2709" s="3" t="s">
        <v>11</v>
      </c>
      <c r="E2709" s="3" t="s">
        <v>49</v>
      </c>
      <c r="F2709" s="3">
        <v>1</v>
      </c>
    </row>
    <row r="2710" spans="1:6" x14ac:dyDescent="0.3">
      <c r="A2710" s="1" t="s">
        <v>17</v>
      </c>
      <c r="B2710" s="1" t="s">
        <v>51</v>
      </c>
      <c r="C2710" s="2" t="s">
        <v>7</v>
      </c>
      <c r="D2710" s="1" t="s">
        <v>1</v>
      </c>
      <c r="E2710" s="1" t="s">
        <v>44</v>
      </c>
      <c r="F2710" s="1">
        <v>-7065.06</v>
      </c>
    </row>
    <row r="2711" spans="1:6" x14ac:dyDescent="0.3">
      <c r="A2711" s="3" t="s">
        <v>17</v>
      </c>
      <c r="B2711" s="3" t="s">
        <v>51</v>
      </c>
      <c r="C2711" s="4" t="s">
        <v>7</v>
      </c>
      <c r="D2711" s="3" t="s">
        <v>1</v>
      </c>
      <c r="E2711" s="3" t="s">
        <v>45</v>
      </c>
      <c r="F2711" s="3">
        <v>16460.400000000001</v>
      </c>
    </row>
    <row r="2712" spans="1:6" x14ac:dyDescent="0.3">
      <c r="A2712" s="1" t="s">
        <v>17</v>
      </c>
      <c r="B2712" s="1" t="s">
        <v>51</v>
      </c>
      <c r="C2712" s="2" t="s">
        <v>7</v>
      </c>
      <c r="D2712" s="1" t="s">
        <v>1</v>
      </c>
      <c r="E2712" s="1" t="s">
        <v>46</v>
      </c>
      <c r="F2712" s="1">
        <v>3809.2799999999902</v>
      </c>
    </row>
    <row r="2713" spans="1:6" x14ac:dyDescent="0.3">
      <c r="A2713" s="3" t="s">
        <v>17</v>
      </c>
      <c r="B2713" s="3" t="s">
        <v>51</v>
      </c>
      <c r="C2713" s="4" t="s">
        <v>7</v>
      </c>
      <c r="D2713" s="3" t="s">
        <v>1</v>
      </c>
      <c r="E2713" s="3" t="s">
        <v>47</v>
      </c>
      <c r="F2713" s="3">
        <v>31.6799999999999</v>
      </c>
    </row>
    <row r="2714" spans="1:6" x14ac:dyDescent="0.3">
      <c r="A2714" s="1" t="s">
        <v>17</v>
      </c>
      <c r="B2714" s="1" t="s">
        <v>51</v>
      </c>
      <c r="C2714" s="2" t="s">
        <v>7</v>
      </c>
      <c r="D2714" s="1" t="s">
        <v>1</v>
      </c>
      <c r="E2714" s="1" t="s">
        <v>48</v>
      </c>
      <c r="F2714" s="1">
        <v>19684.5</v>
      </c>
    </row>
    <row r="2715" spans="1:6" x14ac:dyDescent="0.3">
      <c r="A2715" s="3" t="s">
        <v>17</v>
      </c>
      <c r="B2715" s="3" t="s">
        <v>51</v>
      </c>
      <c r="C2715" s="4" t="s">
        <v>7</v>
      </c>
      <c r="D2715" s="3" t="s">
        <v>1</v>
      </c>
      <c r="E2715" s="3" t="s">
        <v>49</v>
      </c>
      <c r="F2715" s="3">
        <v>-0.42921557191805698</v>
      </c>
    </row>
    <row r="2716" spans="1:6" x14ac:dyDescent="0.3">
      <c r="A2716" s="1" t="s">
        <v>17</v>
      </c>
      <c r="B2716" s="1" t="s">
        <v>51</v>
      </c>
      <c r="C2716" s="2" t="s">
        <v>7</v>
      </c>
      <c r="D2716" s="1" t="s">
        <v>6</v>
      </c>
      <c r="E2716" s="1" t="s">
        <v>44</v>
      </c>
      <c r="F2716" s="1">
        <v>-7065.06</v>
      </c>
    </row>
    <row r="2717" spans="1:6" x14ac:dyDescent="0.3">
      <c r="A2717" s="3" t="s">
        <v>17</v>
      </c>
      <c r="B2717" s="3" t="s">
        <v>51</v>
      </c>
      <c r="C2717" s="4" t="s">
        <v>7</v>
      </c>
      <c r="D2717" s="3" t="s">
        <v>6</v>
      </c>
      <c r="E2717" s="3" t="s">
        <v>45</v>
      </c>
      <c r="F2717" s="3">
        <v>16460.400000000001</v>
      </c>
    </row>
    <row r="2718" spans="1:6" x14ac:dyDescent="0.3">
      <c r="A2718" s="1" t="s">
        <v>17</v>
      </c>
      <c r="B2718" s="1" t="s">
        <v>51</v>
      </c>
      <c r="C2718" s="2" t="s">
        <v>7</v>
      </c>
      <c r="D2718" s="1" t="s">
        <v>6</v>
      </c>
      <c r="E2718" s="1" t="s">
        <v>46</v>
      </c>
      <c r="F2718" s="1">
        <v>3809.2799999999902</v>
      </c>
    </row>
    <row r="2719" spans="1:6" x14ac:dyDescent="0.3">
      <c r="A2719" s="3" t="s">
        <v>17</v>
      </c>
      <c r="B2719" s="3" t="s">
        <v>51</v>
      </c>
      <c r="C2719" s="4" t="s">
        <v>7</v>
      </c>
      <c r="D2719" s="3" t="s">
        <v>6</v>
      </c>
      <c r="E2719" s="3" t="s">
        <v>47</v>
      </c>
      <c r="F2719" s="3">
        <v>31.6799999999999</v>
      </c>
    </row>
    <row r="2720" spans="1:6" x14ac:dyDescent="0.3">
      <c r="A2720" s="1" t="s">
        <v>17</v>
      </c>
      <c r="B2720" s="1" t="s">
        <v>51</v>
      </c>
      <c r="C2720" s="2" t="s">
        <v>7</v>
      </c>
      <c r="D2720" s="1" t="s">
        <v>6</v>
      </c>
      <c r="E2720" s="1" t="s">
        <v>48</v>
      </c>
      <c r="F2720" s="1">
        <v>19684.5</v>
      </c>
    </row>
    <row r="2721" spans="1:6" x14ac:dyDescent="0.3">
      <c r="A2721" s="3" t="s">
        <v>17</v>
      </c>
      <c r="B2721" s="3" t="s">
        <v>51</v>
      </c>
      <c r="C2721" s="4" t="s">
        <v>7</v>
      </c>
      <c r="D2721" s="3" t="s">
        <v>6</v>
      </c>
      <c r="E2721" s="3" t="s">
        <v>49</v>
      </c>
      <c r="F2721" s="3">
        <v>-0.42921557191805698</v>
      </c>
    </row>
    <row r="2722" spans="1:6" x14ac:dyDescent="0.3">
      <c r="A2722" s="1" t="s">
        <v>17</v>
      </c>
      <c r="B2722" s="1" t="s">
        <v>51</v>
      </c>
      <c r="C2722" s="2" t="s">
        <v>7</v>
      </c>
      <c r="D2722" s="1" t="s">
        <v>9</v>
      </c>
      <c r="E2722" s="1" t="s">
        <v>44</v>
      </c>
      <c r="F2722" s="1">
        <v>3909.6399999999899</v>
      </c>
    </row>
    <row r="2723" spans="1:6" x14ac:dyDescent="0.3">
      <c r="A2723" s="3" t="s">
        <v>17</v>
      </c>
      <c r="B2723" s="3" t="s">
        <v>51</v>
      </c>
      <c r="C2723" s="4" t="s">
        <v>7</v>
      </c>
      <c r="D2723" s="3" t="s">
        <v>9</v>
      </c>
      <c r="E2723" s="3" t="s">
        <v>45</v>
      </c>
      <c r="F2723" s="3">
        <v>27435.0999999999</v>
      </c>
    </row>
    <row r="2724" spans="1:6" x14ac:dyDescent="0.3">
      <c r="A2724" s="1" t="s">
        <v>17</v>
      </c>
      <c r="B2724" s="1" t="s">
        <v>51</v>
      </c>
      <c r="C2724" s="2" t="s">
        <v>7</v>
      </c>
      <c r="D2724" s="1" t="s">
        <v>9</v>
      </c>
      <c r="E2724" s="1" t="s">
        <v>46</v>
      </c>
      <c r="F2724" s="1">
        <v>3809.2799999999902</v>
      </c>
    </row>
    <row r="2725" spans="1:6" x14ac:dyDescent="0.3">
      <c r="A2725" s="3" t="s">
        <v>17</v>
      </c>
      <c r="B2725" s="3" t="s">
        <v>51</v>
      </c>
      <c r="C2725" s="4" t="s">
        <v>7</v>
      </c>
      <c r="D2725" s="3" t="s">
        <v>9</v>
      </c>
      <c r="E2725" s="3" t="s">
        <v>47</v>
      </c>
      <c r="F2725" s="3">
        <v>31.6799999999999</v>
      </c>
    </row>
    <row r="2726" spans="1:6" x14ac:dyDescent="0.3">
      <c r="A2726" s="1" t="s">
        <v>17</v>
      </c>
      <c r="B2726" s="1" t="s">
        <v>51</v>
      </c>
      <c r="C2726" s="2" t="s">
        <v>7</v>
      </c>
      <c r="D2726" s="1" t="s">
        <v>9</v>
      </c>
      <c r="E2726" s="1" t="s">
        <v>48</v>
      </c>
      <c r="F2726" s="1">
        <v>19684.5</v>
      </c>
    </row>
    <row r="2727" spans="1:6" x14ac:dyDescent="0.3">
      <c r="A2727" s="3" t="s">
        <v>17</v>
      </c>
      <c r="B2727" s="3" t="s">
        <v>51</v>
      </c>
      <c r="C2727" s="4" t="s">
        <v>7</v>
      </c>
      <c r="D2727" s="3" t="s">
        <v>9</v>
      </c>
      <c r="E2727" s="3" t="s">
        <v>49</v>
      </c>
      <c r="F2727" s="3">
        <v>0.142505039165157</v>
      </c>
    </row>
    <row r="2728" spans="1:6" x14ac:dyDescent="0.3">
      <c r="A2728" s="1" t="s">
        <v>17</v>
      </c>
      <c r="B2728" s="1" t="s">
        <v>51</v>
      </c>
      <c r="C2728" s="2" t="s">
        <v>7</v>
      </c>
      <c r="D2728" s="1" t="s">
        <v>11</v>
      </c>
      <c r="E2728" s="1" t="s">
        <v>44</v>
      </c>
      <c r="F2728" s="1">
        <v>9396.9899999999907</v>
      </c>
    </row>
    <row r="2729" spans="1:6" x14ac:dyDescent="0.3">
      <c r="A2729" s="3" t="s">
        <v>17</v>
      </c>
      <c r="B2729" s="3" t="s">
        <v>51</v>
      </c>
      <c r="C2729" s="4" t="s">
        <v>7</v>
      </c>
      <c r="D2729" s="3" t="s">
        <v>11</v>
      </c>
      <c r="E2729" s="3" t="s">
        <v>45</v>
      </c>
      <c r="F2729" s="3">
        <v>32922.449999999903</v>
      </c>
    </row>
    <row r="2730" spans="1:6" x14ac:dyDescent="0.3">
      <c r="A2730" s="1" t="s">
        <v>17</v>
      </c>
      <c r="B2730" s="1" t="s">
        <v>51</v>
      </c>
      <c r="C2730" s="2" t="s">
        <v>7</v>
      </c>
      <c r="D2730" s="1" t="s">
        <v>11</v>
      </c>
      <c r="E2730" s="1" t="s">
        <v>46</v>
      </c>
      <c r="F2730" s="1">
        <v>3809.2799999999902</v>
      </c>
    </row>
    <row r="2731" spans="1:6" x14ac:dyDescent="0.3">
      <c r="A2731" s="3" t="s">
        <v>17</v>
      </c>
      <c r="B2731" s="3" t="s">
        <v>51</v>
      </c>
      <c r="C2731" s="4" t="s">
        <v>7</v>
      </c>
      <c r="D2731" s="3" t="s">
        <v>11</v>
      </c>
      <c r="E2731" s="3" t="s">
        <v>47</v>
      </c>
      <c r="F2731" s="3">
        <v>31.6799999999999</v>
      </c>
    </row>
    <row r="2732" spans="1:6" x14ac:dyDescent="0.3">
      <c r="A2732" s="1" t="s">
        <v>17</v>
      </c>
      <c r="B2732" s="1" t="s">
        <v>51</v>
      </c>
      <c r="C2732" s="2" t="s">
        <v>7</v>
      </c>
      <c r="D2732" s="1" t="s">
        <v>11</v>
      </c>
      <c r="E2732" s="1" t="s">
        <v>48</v>
      </c>
      <c r="F2732" s="1">
        <v>19684.5</v>
      </c>
    </row>
    <row r="2733" spans="1:6" x14ac:dyDescent="0.3">
      <c r="A2733" s="3" t="s">
        <v>17</v>
      </c>
      <c r="B2733" s="3" t="s">
        <v>51</v>
      </c>
      <c r="C2733" s="4" t="s">
        <v>7</v>
      </c>
      <c r="D2733" s="3" t="s">
        <v>11</v>
      </c>
      <c r="E2733" s="3" t="s">
        <v>49</v>
      </c>
      <c r="F2733" s="3">
        <v>0.28542802859446897</v>
      </c>
    </row>
    <row r="2734" spans="1:6" x14ac:dyDescent="0.3">
      <c r="A2734" s="1" t="s">
        <v>17</v>
      </c>
      <c r="B2734" s="1" t="s">
        <v>52</v>
      </c>
      <c r="C2734" s="2" t="s">
        <v>7</v>
      </c>
      <c r="D2734" s="1" t="s">
        <v>1</v>
      </c>
      <c r="E2734" s="1" t="s">
        <v>44</v>
      </c>
      <c r="F2734" s="1">
        <v>44339.82</v>
      </c>
    </row>
    <row r="2735" spans="1:6" x14ac:dyDescent="0.3">
      <c r="A2735" s="3" t="s">
        <v>17</v>
      </c>
      <c r="B2735" s="3" t="s">
        <v>52</v>
      </c>
      <c r="C2735" s="4" t="s">
        <v>7</v>
      </c>
      <c r="D2735" s="3" t="s">
        <v>1</v>
      </c>
      <c r="E2735" s="3" t="s">
        <v>45</v>
      </c>
      <c r="F2735" s="3">
        <v>57886.95</v>
      </c>
    </row>
    <row r="2736" spans="1:6" x14ac:dyDescent="0.3">
      <c r="A2736" s="1" t="s">
        <v>17</v>
      </c>
      <c r="B2736" s="1" t="s">
        <v>52</v>
      </c>
      <c r="C2736" s="2" t="s">
        <v>7</v>
      </c>
      <c r="D2736" s="1" t="s">
        <v>1</v>
      </c>
      <c r="E2736" s="1" t="s">
        <v>46</v>
      </c>
      <c r="F2736" s="1">
        <v>1706.88</v>
      </c>
    </row>
    <row r="2737" spans="1:6" x14ac:dyDescent="0.3">
      <c r="A2737" s="3" t="s">
        <v>17</v>
      </c>
      <c r="B2737" s="3" t="s">
        <v>52</v>
      </c>
      <c r="C2737" s="4" t="s">
        <v>7</v>
      </c>
      <c r="D2737" s="3" t="s">
        <v>1</v>
      </c>
      <c r="E2737" s="3" t="s">
        <v>47</v>
      </c>
      <c r="F2737" s="3">
        <v>5240.25</v>
      </c>
    </row>
    <row r="2738" spans="1:6" x14ac:dyDescent="0.3">
      <c r="A2738" s="1" t="s">
        <v>17</v>
      </c>
      <c r="B2738" s="1" t="s">
        <v>52</v>
      </c>
      <c r="C2738" s="2" t="s">
        <v>7</v>
      </c>
      <c r="D2738" s="1" t="s">
        <v>1</v>
      </c>
      <c r="E2738" s="1" t="s">
        <v>48</v>
      </c>
      <c r="F2738" s="1">
        <v>6600</v>
      </c>
    </row>
    <row r="2739" spans="1:6" x14ac:dyDescent="0.3">
      <c r="A2739" s="3" t="s">
        <v>17</v>
      </c>
      <c r="B2739" s="3" t="s">
        <v>52</v>
      </c>
      <c r="C2739" s="4" t="s">
        <v>7</v>
      </c>
      <c r="D2739" s="3" t="s">
        <v>1</v>
      </c>
      <c r="E2739" s="3" t="s">
        <v>49</v>
      </c>
      <c r="F2739" s="3">
        <v>0.76597264150209998</v>
      </c>
    </row>
    <row r="2740" spans="1:6" x14ac:dyDescent="0.3">
      <c r="A2740" s="1" t="s">
        <v>17</v>
      </c>
      <c r="B2740" s="1" t="s">
        <v>52</v>
      </c>
      <c r="C2740" s="2" t="s">
        <v>7</v>
      </c>
      <c r="D2740" s="1" t="s">
        <v>6</v>
      </c>
      <c r="E2740" s="1" t="s">
        <v>44</v>
      </c>
      <c r="F2740" s="1">
        <v>71778.839999999895</v>
      </c>
    </row>
    <row r="2741" spans="1:6" x14ac:dyDescent="0.3">
      <c r="A2741" s="3" t="s">
        <v>17</v>
      </c>
      <c r="B2741" s="3" t="s">
        <v>52</v>
      </c>
      <c r="C2741" s="4" t="s">
        <v>7</v>
      </c>
      <c r="D2741" s="3" t="s">
        <v>6</v>
      </c>
      <c r="E2741" s="3" t="s">
        <v>45</v>
      </c>
      <c r="F2741" s="3">
        <v>86831.25</v>
      </c>
    </row>
    <row r="2742" spans="1:6" x14ac:dyDescent="0.3">
      <c r="A2742" s="1" t="s">
        <v>17</v>
      </c>
      <c r="B2742" s="1" t="s">
        <v>52</v>
      </c>
      <c r="C2742" s="2" t="s">
        <v>7</v>
      </c>
      <c r="D2742" s="1" t="s">
        <v>6</v>
      </c>
      <c r="E2742" s="1" t="s">
        <v>46</v>
      </c>
      <c r="F2742" s="1">
        <v>3413.76</v>
      </c>
    </row>
    <row r="2743" spans="1:6" x14ac:dyDescent="0.3">
      <c r="A2743" s="3" t="s">
        <v>17</v>
      </c>
      <c r="B2743" s="3" t="s">
        <v>52</v>
      </c>
      <c r="C2743" s="4" t="s">
        <v>7</v>
      </c>
      <c r="D2743" s="3" t="s">
        <v>6</v>
      </c>
      <c r="E2743" s="3" t="s">
        <v>47</v>
      </c>
      <c r="F2743" s="3">
        <v>5038.6499999999896</v>
      </c>
    </row>
    <row r="2744" spans="1:6" x14ac:dyDescent="0.3">
      <c r="A2744" s="1" t="s">
        <v>17</v>
      </c>
      <c r="B2744" s="1" t="s">
        <v>52</v>
      </c>
      <c r="C2744" s="2" t="s">
        <v>7</v>
      </c>
      <c r="D2744" s="1" t="s">
        <v>6</v>
      </c>
      <c r="E2744" s="1" t="s">
        <v>48</v>
      </c>
      <c r="F2744" s="1">
        <v>6600</v>
      </c>
    </row>
    <row r="2745" spans="1:6" x14ac:dyDescent="0.3">
      <c r="A2745" s="3" t="s">
        <v>17</v>
      </c>
      <c r="B2745" s="3" t="s">
        <v>52</v>
      </c>
      <c r="C2745" s="4" t="s">
        <v>7</v>
      </c>
      <c r="D2745" s="3" t="s">
        <v>6</v>
      </c>
      <c r="E2745" s="3" t="s">
        <v>49</v>
      </c>
      <c r="F2745" s="3">
        <v>0.82664754912545801</v>
      </c>
    </row>
    <row r="2746" spans="1:6" x14ac:dyDescent="0.3">
      <c r="A2746" s="1" t="s">
        <v>17</v>
      </c>
      <c r="B2746" s="1" t="s">
        <v>52</v>
      </c>
      <c r="C2746" s="2" t="s">
        <v>7</v>
      </c>
      <c r="D2746" s="1" t="s">
        <v>9</v>
      </c>
      <c r="E2746" s="1" t="s">
        <v>44</v>
      </c>
      <c r="F2746" s="1">
        <v>100318.29</v>
      </c>
    </row>
    <row r="2747" spans="1:6" x14ac:dyDescent="0.3">
      <c r="A2747" s="3" t="s">
        <v>17</v>
      </c>
      <c r="B2747" s="3" t="s">
        <v>52</v>
      </c>
      <c r="C2747" s="4" t="s">
        <v>7</v>
      </c>
      <c r="D2747" s="3" t="s">
        <v>9</v>
      </c>
      <c r="E2747" s="3" t="s">
        <v>45</v>
      </c>
      <c r="F2747" s="3">
        <v>115773.9</v>
      </c>
    </row>
    <row r="2748" spans="1:6" x14ac:dyDescent="0.3">
      <c r="A2748" s="1" t="s">
        <v>17</v>
      </c>
      <c r="B2748" s="1" t="s">
        <v>52</v>
      </c>
      <c r="C2748" s="2" t="s">
        <v>7</v>
      </c>
      <c r="D2748" s="1" t="s">
        <v>9</v>
      </c>
      <c r="E2748" s="1" t="s">
        <v>46</v>
      </c>
      <c r="F2748" s="1">
        <v>3413.76</v>
      </c>
    </row>
    <row r="2749" spans="1:6" x14ac:dyDescent="0.3">
      <c r="A2749" s="3" t="s">
        <v>17</v>
      </c>
      <c r="B2749" s="3" t="s">
        <v>52</v>
      </c>
      <c r="C2749" s="4" t="s">
        <v>7</v>
      </c>
      <c r="D2749" s="3" t="s">
        <v>9</v>
      </c>
      <c r="E2749" s="3" t="s">
        <v>47</v>
      </c>
      <c r="F2749" s="3">
        <v>5441.8499999999904</v>
      </c>
    </row>
    <row r="2750" spans="1:6" x14ac:dyDescent="0.3">
      <c r="A2750" s="1" t="s">
        <v>17</v>
      </c>
      <c r="B2750" s="1" t="s">
        <v>52</v>
      </c>
      <c r="C2750" s="2" t="s">
        <v>7</v>
      </c>
      <c r="D2750" s="1" t="s">
        <v>9</v>
      </c>
      <c r="E2750" s="1" t="s">
        <v>48</v>
      </c>
      <c r="F2750" s="1">
        <v>6600</v>
      </c>
    </row>
    <row r="2751" spans="1:6" x14ac:dyDescent="0.3">
      <c r="A2751" s="3" t="s">
        <v>17</v>
      </c>
      <c r="B2751" s="3" t="s">
        <v>52</v>
      </c>
      <c r="C2751" s="4" t="s">
        <v>7</v>
      </c>
      <c r="D2751" s="3" t="s">
        <v>9</v>
      </c>
      <c r="E2751" s="3" t="s">
        <v>49</v>
      </c>
      <c r="F2751" s="3">
        <v>0.86650177630709502</v>
      </c>
    </row>
    <row r="2752" spans="1:6" x14ac:dyDescent="0.3">
      <c r="A2752" s="1" t="s">
        <v>17</v>
      </c>
      <c r="B2752" s="1" t="s">
        <v>52</v>
      </c>
      <c r="C2752" s="2" t="s">
        <v>7</v>
      </c>
      <c r="D2752" s="1" t="s">
        <v>11</v>
      </c>
      <c r="E2752" s="1" t="s">
        <v>44</v>
      </c>
      <c r="F2752" s="1">
        <v>127852.74</v>
      </c>
    </row>
    <row r="2753" spans="1:6" x14ac:dyDescent="0.3">
      <c r="A2753" s="3" t="s">
        <v>17</v>
      </c>
      <c r="B2753" s="3" t="s">
        <v>52</v>
      </c>
      <c r="C2753" s="4" t="s">
        <v>7</v>
      </c>
      <c r="D2753" s="3" t="s">
        <v>11</v>
      </c>
      <c r="E2753" s="3" t="s">
        <v>45</v>
      </c>
      <c r="F2753" s="3">
        <v>144718.20000000001</v>
      </c>
    </row>
    <row r="2754" spans="1:6" x14ac:dyDescent="0.3">
      <c r="A2754" s="1" t="s">
        <v>17</v>
      </c>
      <c r="B2754" s="1" t="s">
        <v>52</v>
      </c>
      <c r="C2754" s="2" t="s">
        <v>7</v>
      </c>
      <c r="D2754" s="1" t="s">
        <v>11</v>
      </c>
      <c r="E2754" s="1" t="s">
        <v>46</v>
      </c>
      <c r="F2754" s="1">
        <v>3413.76</v>
      </c>
    </row>
    <row r="2755" spans="1:6" x14ac:dyDescent="0.3">
      <c r="A2755" s="3" t="s">
        <v>17</v>
      </c>
      <c r="B2755" s="3" t="s">
        <v>52</v>
      </c>
      <c r="C2755" s="4" t="s">
        <v>7</v>
      </c>
      <c r="D2755" s="3" t="s">
        <v>11</v>
      </c>
      <c r="E2755" s="3" t="s">
        <v>47</v>
      </c>
      <c r="F2755" s="3">
        <v>6851.6999999999898</v>
      </c>
    </row>
    <row r="2756" spans="1:6" x14ac:dyDescent="0.3">
      <c r="A2756" s="1" t="s">
        <v>17</v>
      </c>
      <c r="B2756" s="1" t="s">
        <v>52</v>
      </c>
      <c r="C2756" s="2" t="s">
        <v>7</v>
      </c>
      <c r="D2756" s="1" t="s">
        <v>11</v>
      </c>
      <c r="E2756" s="1" t="s">
        <v>48</v>
      </c>
      <c r="F2756" s="1">
        <v>6600</v>
      </c>
    </row>
    <row r="2757" spans="1:6" x14ac:dyDescent="0.3">
      <c r="A2757" s="3" t="s">
        <v>17</v>
      </c>
      <c r="B2757" s="3" t="s">
        <v>52</v>
      </c>
      <c r="C2757" s="4" t="s">
        <v>7</v>
      </c>
      <c r="D2757" s="3" t="s">
        <v>11</v>
      </c>
      <c r="E2757" s="3" t="s">
        <v>49</v>
      </c>
      <c r="F2757" s="3">
        <v>0.883459993283498</v>
      </c>
    </row>
    <row r="2758" spans="1:6" x14ac:dyDescent="0.3">
      <c r="A2758" s="1" t="s">
        <v>17</v>
      </c>
      <c r="B2758" s="1" t="s">
        <v>52</v>
      </c>
      <c r="C2758" s="2" t="s">
        <v>7</v>
      </c>
      <c r="D2758" s="1" t="s">
        <v>1</v>
      </c>
      <c r="E2758" s="1" t="s">
        <v>44</v>
      </c>
      <c r="F2758" s="1">
        <v>124510</v>
      </c>
    </row>
    <row r="2759" spans="1:6" x14ac:dyDescent="0.3">
      <c r="A2759" s="3" t="s">
        <v>17</v>
      </c>
      <c r="B2759" s="3" t="s">
        <v>52</v>
      </c>
      <c r="C2759" s="4" t="s">
        <v>7</v>
      </c>
      <c r="D2759" s="3" t="s">
        <v>1</v>
      </c>
      <c r="E2759" s="3" t="s">
        <v>45</v>
      </c>
      <c r="F2759" s="3">
        <v>124510</v>
      </c>
    </row>
    <row r="2760" spans="1:6" x14ac:dyDescent="0.3">
      <c r="A2760" s="1" t="s">
        <v>17</v>
      </c>
      <c r="B2760" s="1" t="s">
        <v>52</v>
      </c>
      <c r="C2760" s="2" t="s">
        <v>7</v>
      </c>
      <c r="D2760" s="1" t="s">
        <v>1</v>
      </c>
      <c r="E2760" s="1" t="s">
        <v>49</v>
      </c>
      <c r="F2760" s="1">
        <v>1</v>
      </c>
    </row>
    <row r="2761" spans="1:6" x14ac:dyDescent="0.3">
      <c r="A2761" s="3" t="s">
        <v>17</v>
      </c>
      <c r="B2761" s="3" t="s">
        <v>52</v>
      </c>
      <c r="C2761" s="4" t="s">
        <v>7</v>
      </c>
      <c r="D2761" s="3" t="s">
        <v>6</v>
      </c>
      <c r="E2761" s="3" t="s">
        <v>44</v>
      </c>
      <c r="F2761" s="3">
        <v>252473</v>
      </c>
    </row>
    <row r="2762" spans="1:6" x14ac:dyDescent="0.3">
      <c r="A2762" s="1" t="s">
        <v>17</v>
      </c>
      <c r="B2762" s="1" t="s">
        <v>52</v>
      </c>
      <c r="C2762" s="2" t="s">
        <v>7</v>
      </c>
      <c r="D2762" s="1" t="s">
        <v>6</v>
      </c>
      <c r="E2762" s="1" t="s">
        <v>45</v>
      </c>
      <c r="F2762" s="1">
        <v>252473</v>
      </c>
    </row>
    <row r="2763" spans="1:6" x14ac:dyDescent="0.3">
      <c r="A2763" s="3" t="s">
        <v>17</v>
      </c>
      <c r="B2763" s="3" t="s">
        <v>52</v>
      </c>
      <c r="C2763" s="4" t="s">
        <v>7</v>
      </c>
      <c r="D2763" s="3" t="s">
        <v>6</v>
      </c>
      <c r="E2763" s="3" t="s">
        <v>49</v>
      </c>
      <c r="F2763" s="3">
        <v>1</v>
      </c>
    </row>
    <row r="2764" spans="1:6" x14ac:dyDescent="0.3">
      <c r="A2764" s="1" t="s">
        <v>17</v>
      </c>
      <c r="B2764" s="1" t="s">
        <v>52</v>
      </c>
      <c r="C2764" s="2" t="s">
        <v>7</v>
      </c>
      <c r="D2764" s="1" t="s">
        <v>9</v>
      </c>
      <c r="E2764" s="1" t="s">
        <v>44</v>
      </c>
      <c r="F2764" s="1">
        <v>360510</v>
      </c>
    </row>
    <row r="2765" spans="1:6" x14ac:dyDescent="0.3">
      <c r="A2765" s="3" t="s">
        <v>17</v>
      </c>
      <c r="B2765" s="3" t="s">
        <v>52</v>
      </c>
      <c r="C2765" s="4" t="s">
        <v>7</v>
      </c>
      <c r="D2765" s="3" t="s">
        <v>9</v>
      </c>
      <c r="E2765" s="3" t="s">
        <v>45</v>
      </c>
      <c r="F2765" s="3">
        <v>360510</v>
      </c>
    </row>
    <row r="2766" spans="1:6" x14ac:dyDescent="0.3">
      <c r="A2766" s="1" t="s">
        <v>17</v>
      </c>
      <c r="B2766" s="1" t="s">
        <v>52</v>
      </c>
      <c r="C2766" s="2" t="s">
        <v>7</v>
      </c>
      <c r="D2766" s="1" t="s">
        <v>9</v>
      </c>
      <c r="E2766" s="1" t="s">
        <v>49</v>
      </c>
      <c r="F2766" s="1">
        <v>1</v>
      </c>
    </row>
    <row r="2767" spans="1:6" x14ac:dyDescent="0.3">
      <c r="A2767" s="3" t="s">
        <v>17</v>
      </c>
      <c r="B2767" s="3" t="s">
        <v>52</v>
      </c>
      <c r="C2767" s="4" t="s">
        <v>7</v>
      </c>
      <c r="D2767" s="3" t="s">
        <v>11</v>
      </c>
      <c r="E2767" s="3" t="s">
        <v>44</v>
      </c>
      <c r="F2767" s="3">
        <v>1440903</v>
      </c>
    </row>
    <row r="2768" spans="1:6" x14ac:dyDescent="0.3">
      <c r="A2768" s="1" t="s">
        <v>17</v>
      </c>
      <c r="B2768" s="1" t="s">
        <v>52</v>
      </c>
      <c r="C2768" s="2" t="s">
        <v>7</v>
      </c>
      <c r="D2768" s="1" t="s">
        <v>11</v>
      </c>
      <c r="E2768" s="1" t="s">
        <v>45</v>
      </c>
      <c r="F2768" s="1">
        <v>1440903</v>
      </c>
    </row>
    <row r="2769" spans="1:6" x14ac:dyDescent="0.3">
      <c r="A2769" s="3" t="s">
        <v>17</v>
      </c>
      <c r="B2769" s="3" t="s">
        <v>52</v>
      </c>
      <c r="C2769" s="4" t="s">
        <v>7</v>
      </c>
      <c r="D2769" s="3" t="s">
        <v>11</v>
      </c>
      <c r="E2769" s="3" t="s">
        <v>49</v>
      </c>
      <c r="F2769" s="3">
        <v>1</v>
      </c>
    </row>
    <row r="2770" spans="1:6" x14ac:dyDescent="0.3">
      <c r="A2770" s="1" t="s">
        <v>17</v>
      </c>
      <c r="B2770" s="1" t="s">
        <v>52</v>
      </c>
      <c r="C2770" s="2" t="s">
        <v>7</v>
      </c>
      <c r="D2770" s="1" t="s">
        <v>1</v>
      </c>
      <c r="E2770" s="1" t="s">
        <v>44</v>
      </c>
      <c r="F2770" s="1">
        <v>5214.2999999999902</v>
      </c>
    </row>
    <row r="2771" spans="1:6" x14ac:dyDescent="0.3">
      <c r="A2771" s="3" t="s">
        <v>17</v>
      </c>
      <c r="B2771" s="3" t="s">
        <v>52</v>
      </c>
      <c r="C2771" s="4" t="s">
        <v>7</v>
      </c>
      <c r="D2771" s="3" t="s">
        <v>1</v>
      </c>
      <c r="E2771" s="3" t="s">
        <v>45</v>
      </c>
      <c r="F2771" s="3">
        <v>26627.699999999899</v>
      </c>
    </row>
    <row r="2772" spans="1:6" x14ac:dyDescent="0.3">
      <c r="A2772" s="1" t="s">
        <v>17</v>
      </c>
      <c r="B2772" s="1" t="s">
        <v>52</v>
      </c>
      <c r="C2772" s="2" t="s">
        <v>7</v>
      </c>
      <c r="D2772" s="1" t="s">
        <v>1</v>
      </c>
      <c r="E2772" s="1" t="s">
        <v>47</v>
      </c>
      <c r="F2772" s="1">
        <v>1728.8999999999901</v>
      </c>
    </row>
    <row r="2773" spans="1:6" x14ac:dyDescent="0.3">
      <c r="A2773" s="3" t="s">
        <v>17</v>
      </c>
      <c r="B2773" s="3" t="s">
        <v>52</v>
      </c>
      <c r="C2773" s="4" t="s">
        <v>7</v>
      </c>
      <c r="D2773" s="3" t="s">
        <v>1</v>
      </c>
      <c r="E2773" s="3" t="s">
        <v>48</v>
      </c>
      <c r="F2773" s="3">
        <v>19684.5</v>
      </c>
    </row>
    <row r="2774" spans="1:6" x14ac:dyDescent="0.3">
      <c r="A2774" s="1" t="s">
        <v>17</v>
      </c>
      <c r="B2774" s="1" t="s">
        <v>52</v>
      </c>
      <c r="C2774" s="2" t="s">
        <v>7</v>
      </c>
      <c r="D2774" s="1" t="s">
        <v>1</v>
      </c>
      <c r="E2774" s="1" t="s">
        <v>49</v>
      </c>
      <c r="F2774" s="1">
        <v>0.19582239547538799</v>
      </c>
    </row>
    <row r="2775" spans="1:6" x14ac:dyDescent="0.3">
      <c r="A2775" s="3" t="s">
        <v>17</v>
      </c>
      <c r="B2775" s="3" t="s">
        <v>52</v>
      </c>
      <c r="C2775" s="4" t="s">
        <v>7</v>
      </c>
      <c r="D2775" s="3" t="s">
        <v>6</v>
      </c>
      <c r="E2775" s="3" t="s">
        <v>44</v>
      </c>
      <c r="F2775" s="3">
        <v>5280.8999999999896</v>
      </c>
    </row>
    <row r="2776" spans="1:6" x14ac:dyDescent="0.3">
      <c r="A2776" s="1" t="s">
        <v>17</v>
      </c>
      <c r="B2776" s="1" t="s">
        <v>52</v>
      </c>
      <c r="C2776" s="2" t="s">
        <v>7</v>
      </c>
      <c r="D2776" s="1" t="s">
        <v>6</v>
      </c>
      <c r="E2776" s="1" t="s">
        <v>45</v>
      </c>
      <c r="F2776" s="1">
        <v>26627.699999999899</v>
      </c>
    </row>
    <row r="2777" spans="1:6" x14ac:dyDescent="0.3">
      <c r="A2777" s="3" t="s">
        <v>17</v>
      </c>
      <c r="B2777" s="3" t="s">
        <v>52</v>
      </c>
      <c r="C2777" s="4" t="s">
        <v>7</v>
      </c>
      <c r="D2777" s="3" t="s">
        <v>6</v>
      </c>
      <c r="E2777" s="3" t="s">
        <v>47</v>
      </c>
      <c r="F2777" s="3">
        <v>1662.29999999999</v>
      </c>
    </row>
    <row r="2778" spans="1:6" x14ac:dyDescent="0.3">
      <c r="A2778" s="1" t="s">
        <v>17</v>
      </c>
      <c r="B2778" s="1" t="s">
        <v>52</v>
      </c>
      <c r="C2778" s="2" t="s">
        <v>7</v>
      </c>
      <c r="D2778" s="1" t="s">
        <v>6</v>
      </c>
      <c r="E2778" s="1" t="s">
        <v>48</v>
      </c>
      <c r="F2778" s="1">
        <v>19684.5</v>
      </c>
    </row>
    <row r="2779" spans="1:6" x14ac:dyDescent="0.3">
      <c r="A2779" s="3" t="s">
        <v>17</v>
      </c>
      <c r="B2779" s="3" t="s">
        <v>52</v>
      </c>
      <c r="C2779" s="4" t="s">
        <v>7</v>
      </c>
      <c r="D2779" s="3" t="s">
        <v>6</v>
      </c>
      <c r="E2779" s="3" t="s">
        <v>49</v>
      </c>
      <c r="F2779" s="3">
        <v>0.198323550287858</v>
      </c>
    </row>
    <row r="2780" spans="1:6" x14ac:dyDescent="0.3">
      <c r="A2780" s="1" t="s">
        <v>17</v>
      </c>
      <c r="B2780" s="1" t="s">
        <v>52</v>
      </c>
      <c r="C2780" s="2" t="s">
        <v>7</v>
      </c>
      <c r="D2780" s="1" t="s">
        <v>9</v>
      </c>
      <c r="E2780" s="1" t="s">
        <v>44</v>
      </c>
      <c r="F2780" s="1">
        <v>22900.15</v>
      </c>
    </row>
    <row r="2781" spans="1:6" x14ac:dyDescent="0.3">
      <c r="A2781" s="3" t="s">
        <v>17</v>
      </c>
      <c r="B2781" s="3" t="s">
        <v>52</v>
      </c>
      <c r="C2781" s="4" t="s">
        <v>7</v>
      </c>
      <c r="D2781" s="3" t="s">
        <v>9</v>
      </c>
      <c r="E2781" s="3" t="s">
        <v>45</v>
      </c>
      <c r="F2781" s="3">
        <v>44380.599999999897</v>
      </c>
    </row>
    <row r="2782" spans="1:6" x14ac:dyDescent="0.3">
      <c r="A2782" s="1" t="s">
        <v>17</v>
      </c>
      <c r="B2782" s="1" t="s">
        <v>52</v>
      </c>
      <c r="C2782" s="2" t="s">
        <v>7</v>
      </c>
      <c r="D2782" s="1" t="s">
        <v>9</v>
      </c>
      <c r="E2782" s="1" t="s">
        <v>47</v>
      </c>
      <c r="F2782" s="1">
        <v>1795.94999999999</v>
      </c>
    </row>
    <row r="2783" spans="1:6" x14ac:dyDescent="0.3">
      <c r="A2783" s="3" t="s">
        <v>17</v>
      </c>
      <c r="B2783" s="3" t="s">
        <v>52</v>
      </c>
      <c r="C2783" s="4" t="s">
        <v>7</v>
      </c>
      <c r="D2783" s="3" t="s">
        <v>9</v>
      </c>
      <c r="E2783" s="3" t="s">
        <v>48</v>
      </c>
      <c r="F2783" s="3">
        <v>19684.5</v>
      </c>
    </row>
    <row r="2784" spans="1:6" x14ac:dyDescent="0.3">
      <c r="A2784" s="1" t="s">
        <v>17</v>
      </c>
      <c r="B2784" s="1" t="s">
        <v>52</v>
      </c>
      <c r="C2784" s="2" t="s">
        <v>7</v>
      </c>
      <c r="D2784" s="1" t="s">
        <v>9</v>
      </c>
      <c r="E2784" s="1" t="s">
        <v>49</v>
      </c>
      <c r="F2784" s="1">
        <v>0.51599460124468799</v>
      </c>
    </row>
    <row r="2785" spans="1:6" x14ac:dyDescent="0.3">
      <c r="A2785" s="3" t="s">
        <v>17</v>
      </c>
      <c r="B2785" s="3" t="s">
        <v>52</v>
      </c>
      <c r="C2785" s="4" t="s">
        <v>7</v>
      </c>
      <c r="D2785" s="3" t="s">
        <v>11</v>
      </c>
      <c r="E2785" s="3" t="s">
        <v>44</v>
      </c>
      <c r="F2785" s="3">
        <v>31311.299999999901</v>
      </c>
    </row>
    <row r="2786" spans="1:6" x14ac:dyDescent="0.3">
      <c r="A2786" s="1" t="s">
        <v>17</v>
      </c>
      <c r="B2786" s="1" t="s">
        <v>52</v>
      </c>
      <c r="C2786" s="2" t="s">
        <v>7</v>
      </c>
      <c r="D2786" s="1" t="s">
        <v>11</v>
      </c>
      <c r="E2786" s="1" t="s">
        <v>45</v>
      </c>
      <c r="F2786" s="1">
        <v>53257.049999999901</v>
      </c>
    </row>
    <row r="2787" spans="1:6" x14ac:dyDescent="0.3">
      <c r="A2787" s="3" t="s">
        <v>17</v>
      </c>
      <c r="B2787" s="3" t="s">
        <v>52</v>
      </c>
      <c r="C2787" s="4" t="s">
        <v>7</v>
      </c>
      <c r="D2787" s="3" t="s">
        <v>11</v>
      </c>
      <c r="E2787" s="3" t="s">
        <v>47</v>
      </c>
      <c r="F2787" s="3">
        <v>2261.25</v>
      </c>
    </row>
    <row r="2788" spans="1:6" x14ac:dyDescent="0.3">
      <c r="A2788" s="1" t="s">
        <v>17</v>
      </c>
      <c r="B2788" s="1" t="s">
        <v>52</v>
      </c>
      <c r="C2788" s="2" t="s">
        <v>7</v>
      </c>
      <c r="D2788" s="1" t="s">
        <v>11</v>
      </c>
      <c r="E2788" s="1" t="s">
        <v>48</v>
      </c>
      <c r="F2788" s="1">
        <v>19684.5</v>
      </c>
    </row>
    <row r="2789" spans="1:6" x14ac:dyDescent="0.3">
      <c r="A2789" s="3" t="s">
        <v>17</v>
      </c>
      <c r="B2789" s="3" t="s">
        <v>52</v>
      </c>
      <c r="C2789" s="4" t="s">
        <v>7</v>
      </c>
      <c r="D2789" s="3" t="s">
        <v>11</v>
      </c>
      <c r="E2789" s="3" t="s">
        <v>49</v>
      </c>
      <c r="F2789" s="3">
        <v>0.58792779547496499</v>
      </c>
    </row>
    <row r="2790" spans="1:6" x14ac:dyDescent="0.3">
      <c r="A2790" s="1" t="s">
        <v>17</v>
      </c>
      <c r="B2790" s="1" t="s">
        <v>52</v>
      </c>
      <c r="C2790" s="2" t="s">
        <v>7</v>
      </c>
      <c r="D2790" s="1" t="s">
        <v>1</v>
      </c>
      <c r="E2790" s="1" t="s">
        <v>44</v>
      </c>
      <c r="F2790" s="1">
        <v>14882.76</v>
      </c>
    </row>
    <row r="2791" spans="1:6" x14ac:dyDescent="0.3">
      <c r="A2791" s="3" t="s">
        <v>17</v>
      </c>
      <c r="B2791" s="3" t="s">
        <v>52</v>
      </c>
      <c r="C2791" s="4" t="s">
        <v>7</v>
      </c>
      <c r="D2791" s="3" t="s">
        <v>1</v>
      </c>
      <c r="E2791" s="3" t="s">
        <v>45</v>
      </c>
      <c r="F2791" s="3">
        <v>57886.95</v>
      </c>
    </row>
    <row r="2792" spans="1:6" x14ac:dyDescent="0.3">
      <c r="A2792" s="1" t="s">
        <v>17</v>
      </c>
      <c r="B2792" s="1" t="s">
        <v>52</v>
      </c>
      <c r="C2792" s="2" t="s">
        <v>7</v>
      </c>
      <c r="D2792" s="1" t="s">
        <v>1</v>
      </c>
      <c r="E2792" s="1" t="s">
        <v>46</v>
      </c>
      <c r="F2792" s="1">
        <v>1904.6399999999901</v>
      </c>
    </row>
    <row r="2793" spans="1:6" x14ac:dyDescent="0.3">
      <c r="A2793" s="3" t="s">
        <v>17</v>
      </c>
      <c r="B2793" s="3" t="s">
        <v>52</v>
      </c>
      <c r="C2793" s="4" t="s">
        <v>7</v>
      </c>
      <c r="D2793" s="3" t="s">
        <v>1</v>
      </c>
      <c r="E2793" s="3" t="s">
        <v>47</v>
      </c>
      <c r="F2793" s="3">
        <v>1728.8999999999901</v>
      </c>
    </row>
    <row r="2794" spans="1:6" x14ac:dyDescent="0.3">
      <c r="A2794" s="1" t="s">
        <v>17</v>
      </c>
      <c r="B2794" s="1" t="s">
        <v>52</v>
      </c>
      <c r="C2794" s="2" t="s">
        <v>7</v>
      </c>
      <c r="D2794" s="1" t="s">
        <v>1</v>
      </c>
      <c r="E2794" s="1" t="s">
        <v>48</v>
      </c>
      <c r="F2794" s="1">
        <v>39370.6499999999</v>
      </c>
    </row>
    <row r="2795" spans="1:6" x14ac:dyDescent="0.3">
      <c r="A2795" s="3" t="s">
        <v>17</v>
      </c>
      <c r="B2795" s="3" t="s">
        <v>52</v>
      </c>
      <c r="C2795" s="4" t="s">
        <v>7</v>
      </c>
      <c r="D2795" s="3" t="s">
        <v>1</v>
      </c>
      <c r="E2795" s="3" t="s">
        <v>49</v>
      </c>
      <c r="F2795" s="3">
        <v>0.25710043455390202</v>
      </c>
    </row>
    <row r="2796" spans="1:6" x14ac:dyDescent="0.3">
      <c r="A2796" s="1" t="s">
        <v>17</v>
      </c>
      <c r="B2796" s="1" t="s">
        <v>52</v>
      </c>
      <c r="C2796" s="2" t="s">
        <v>7</v>
      </c>
      <c r="D2796" s="1" t="s">
        <v>6</v>
      </c>
      <c r="E2796" s="1" t="s">
        <v>44</v>
      </c>
      <c r="F2796" s="1">
        <v>14314.48</v>
      </c>
    </row>
    <row r="2797" spans="1:6" x14ac:dyDescent="0.3">
      <c r="A2797" s="3" t="s">
        <v>17</v>
      </c>
      <c r="B2797" s="3" t="s">
        <v>52</v>
      </c>
      <c r="C2797" s="4" t="s">
        <v>7</v>
      </c>
      <c r="D2797" s="3" t="s">
        <v>6</v>
      </c>
      <c r="E2797" s="3" t="s">
        <v>45</v>
      </c>
      <c r="F2797" s="3">
        <v>57886.95</v>
      </c>
    </row>
    <row r="2798" spans="1:6" x14ac:dyDescent="0.3">
      <c r="A2798" s="1" t="s">
        <v>17</v>
      </c>
      <c r="B2798" s="1" t="s">
        <v>52</v>
      </c>
      <c r="C2798" s="2" t="s">
        <v>7</v>
      </c>
      <c r="D2798" s="1" t="s">
        <v>6</v>
      </c>
      <c r="E2798" s="1" t="s">
        <v>46</v>
      </c>
      <c r="F2798" s="1">
        <v>2539.52</v>
      </c>
    </row>
    <row r="2799" spans="1:6" x14ac:dyDescent="0.3">
      <c r="A2799" s="3" t="s">
        <v>17</v>
      </c>
      <c r="B2799" s="3" t="s">
        <v>52</v>
      </c>
      <c r="C2799" s="4" t="s">
        <v>7</v>
      </c>
      <c r="D2799" s="3" t="s">
        <v>6</v>
      </c>
      <c r="E2799" s="3" t="s">
        <v>47</v>
      </c>
      <c r="F2799" s="3">
        <v>1662.29999999999</v>
      </c>
    </row>
    <row r="2800" spans="1:6" x14ac:dyDescent="0.3">
      <c r="A2800" s="1" t="s">
        <v>17</v>
      </c>
      <c r="B2800" s="1" t="s">
        <v>52</v>
      </c>
      <c r="C2800" s="2" t="s">
        <v>7</v>
      </c>
      <c r="D2800" s="1" t="s">
        <v>6</v>
      </c>
      <c r="E2800" s="1" t="s">
        <v>48</v>
      </c>
      <c r="F2800" s="1">
        <v>39370.6499999999</v>
      </c>
    </row>
    <row r="2801" spans="1:6" x14ac:dyDescent="0.3">
      <c r="A2801" s="3" t="s">
        <v>17</v>
      </c>
      <c r="B2801" s="3" t="s">
        <v>52</v>
      </c>
      <c r="C2801" s="4" t="s">
        <v>7</v>
      </c>
      <c r="D2801" s="3" t="s">
        <v>6</v>
      </c>
      <c r="E2801" s="3" t="s">
        <v>49</v>
      </c>
      <c r="F2801" s="3">
        <v>0.247283368703999</v>
      </c>
    </row>
    <row r="2802" spans="1:6" x14ac:dyDescent="0.3">
      <c r="A2802" s="1" t="s">
        <v>17</v>
      </c>
      <c r="B2802" s="1" t="s">
        <v>52</v>
      </c>
      <c r="C2802" s="2" t="s">
        <v>7</v>
      </c>
      <c r="D2802" s="1" t="s">
        <v>9</v>
      </c>
      <c r="E2802" s="1" t="s">
        <v>44</v>
      </c>
      <c r="F2802" s="1">
        <v>12911.07</v>
      </c>
    </row>
    <row r="2803" spans="1:6" x14ac:dyDescent="0.3">
      <c r="A2803" s="3" t="s">
        <v>17</v>
      </c>
      <c r="B2803" s="3" t="s">
        <v>52</v>
      </c>
      <c r="C2803" s="4" t="s">
        <v>7</v>
      </c>
      <c r="D2803" s="3" t="s">
        <v>9</v>
      </c>
      <c r="E2803" s="3" t="s">
        <v>45</v>
      </c>
      <c r="F2803" s="3">
        <v>57886.95</v>
      </c>
    </row>
    <row r="2804" spans="1:6" x14ac:dyDescent="0.3">
      <c r="A2804" s="1" t="s">
        <v>17</v>
      </c>
      <c r="B2804" s="1" t="s">
        <v>52</v>
      </c>
      <c r="C2804" s="2" t="s">
        <v>7</v>
      </c>
      <c r="D2804" s="1" t="s">
        <v>9</v>
      </c>
      <c r="E2804" s="1" t="s">
        <v>46</v>
      </c>
      <c r="F2804" s="1">
        <v>3809.2799999999902</v>
      </c>
    </row>
    <row r="2805" spans="1:6" x14ac:dyDescent="0.3">
      <c r="A2805" s="3" t="s">
        <v>17</v>
      </c>
      <c r="B2805" s="3" t="s">
        <v>52</v>
      </c>
      <c r="C2805" s="4" t="s">
        <v>7</v>
      </c>
      <c r="D2805" s="3" t="s">
        <v>9</v>
      </c>
      <c r="E2805" s="3" t="s">
        <v>47</v>
      </c>
      <c r="F2805" s="3">
        <v>1795.94999999999</v>
      </c>
    </row>
    <row r="2806" spans="1:6" x14ac:dyDescent="0.3">
      <c r="A2806" s="1" t="s">
        <v>17</v>
      </c>
      <c r="B2806" s="1" t="s">
        <v>52</v>
      </c>
      <c r="C2806" s="2" t="s">
        <v>7</v>
      </c>
      <c r="D2806" s="1" t="s">
        <v>9</v>
      </c>
      <c r="E2806" s="1" t="s">
        <v>48</v>
      </c>
      <c r="F2806" s="1">
        <v>39370.6499999999</v>
      </c>
    </row>
    <row r="2807" spans="1:6" x14ac:dyDescent="0.3">
      <c r="A2807" s="3" t="s">
        <v>17</v>
      </c>
      <c r="B2807" s="3" t="s">
        <v>52</v>
      </c>
      <c r="C2807" s="4" t="s">
        <v>7</v>
      </c>
      <c r="D2807" s="3" t="s">
        <v>9</v>
      </c>
      <c r="E2807" s="3" t="s">
        <v>49</v>
      </c>
      <c r="F2807" s="3">
        <v>0.22303938970700601</v>
      </c>
    </row>
    <row r="2808" spans="1:6" x14ac:dyDescent="0.3">
      <c r="A2808" s="1" t="s">
        <v>17</v>
      </c>
      <c r="B2808" s="1" t="s">
        <v>52</v>
      </c>
      <c r="C2808" s="2" t="s">
        <v>7</v>
      </c>
      <c r="D2808" s="1" t="s">
        <v>11</v>
      </c>
      <c r="E2808" s="1" t="s">
        <v>44</v>
      </c>
      <c r="F2808" s="1">
        <v>12445.77</v>
      </c>
    </row>
    <row r="2809" spans="1:6" x14ac:dyDescent="0.3">
      <c r="A2809" s="3" t="s">
        <v>17</v>
      </c>
      <c r="B2809" s="3" t="s">
        <v>52</v>
      </c>
      <c r="C2809" s="4" t="s">
        <v>7</v>
      </c>
      <c r="D2809" s="3" t="s">
        <v>11</v>
      </c>
      <c r="E2809" s="3" t="s">
        <v>45</v>
      </c>
      <c r="F2809" s="3">
        <v>57886.95</v>
      </c>
    </row>
    <row r="2810" spans="1:6" x14ac:dyDescent="0.3">
      <c r="A2810" s="1" t="s">
        <v>17</v>
      </c>
      <c r="B2810" s="1" t="s">
        <v>52</v>
      </c>
      <c r="C2810" s="2" t="s">
        <v>7</v>
      </c>
      <c r="D2810" s="1" t="s">
        <v>11</v>
      </c>
      <c r="E2810" s="1" t="s">
        <v>46</v>
      </c>
      <c r="F2810" s="1">
        <v>3809.2799999999902</v>
      </c>
    </row>
    <row r="2811" spans="1:6" x14ac:dyDescent="0.3">
      <c r="A2811" s="3" t="s">
        <v>17</v>
      </c>
      <c r="B2811" s="3" t="s">
        <v>52</v>
      </c>
      <c r="C2811" s="4" t="s">
        <v>7</v>
      </c>
      <c r="D2811" s="3" t="s">
        <v>11</v>
      </c>
      <c r="E2811" s="3" t="s">
        <v>47</v>
      </c>
      <c r="F2811" s="3">
        <v>2261.25</v>
      </c>
    </row>
    <row r="2812" spans="1:6" x14ac:dyDescent="0.3">
      <c r="A2812" s="1" t="s">
        <v>17</v>
      </c>
      <c r="B2812" s="1" t="s">
        <v>52</v>
      </c>
      <c r="C2812" s="2" t="s">
        <v>7</v>
      </c>
      <c r="D2812" s="1" t="s">
        <v>11</v>
      </c>
      <c r="E2812" s="1" t="s">
        <v>48</v>
      </c>
      <c r="F2812" s="1">
        <v>39370.6499999999</v>
      </c>
    </row>
    <row r="2813" spans="1:6" x14ac:dyDescent="0.3">
      <c r="A2813" s="3" t="s">
        <v>17</v>
      </c>
      <c r="B2813" s="3" t="s">
        <v>52</v>
      </c>
      <c r="C2813" s="4" t="s">
        <v>7</v>
      </c>
      <c r="D2813" s="3" t="s">
        <v>11</v>
      </c>
      <c r="E2813" s="3" t="s">
        <v>49</v>
      </c>
      <c r="F2813" s="3">
        <v>0.215001308585095</v>
      </c>
    </row>
    <row r="2814" spans="1:6" x14ac:dyDescent="0.3">
      <c r="A2814" s="1" t="s">
        <v>17</v>
      </c>
      <c r="B2814" s="1" t="s">
        <v>52</v>
      </c>
      <c r="C2814" s="2" t="s">
        <v>7</v>
      </c>
      <c r="D2814" s="1" t="s">
        <v>1</v>
      </c>
      <c r="E2814" s="1" t="s">
        <v>44</v>
      </c>
      <c r="F2814" s="1">
        <v>91591</v>
      </c>
    </row>
    <row r="2815" spans="1:6" x14ac:dyDescent="0.3">
      <c r="A2815" s="3" t="s">
        <v>17</v>
      </c>
      <c r="B2815" s="3" t="s">
        <v>52</v>
      </c>
      <c r="C2815" s="4" t="s">
        <v>7</v>
      </c>
      <c r="D2815" s="3" t="s">
        <v>1</v>
      </c>
      <c r="E2815" s="3" t="s">
        <v>45</v>
      </c>
      <c r="F2815" s="3">
        <v>91591</v>
      </c>
    </row>
    <row r="2816" spans="1:6" x14ac:dyDescent="0.3">
      <c r="A2816" s="1" t="s">
        <v>17</v>
      </c>
      <c r="B2816" s="1" t="s">
        <v>52</v>
      </c>
      <c r="C2816" s="2" t="s">
        <v>7</v>
      </c>
      <c r="D2816" s="1" t="s">
        <v>1</v>
      </c>
      <c r="E2816" s="1" t="s">
        <v>49</v>
      </c>
      <c r="F2816" s="1">
        <v>1</v>
      </c>
    </row>
    <row r="2817" spans="1:6" x14ac:dyDescent="0.3">
      <c r="A2817" s="3" t="s">
        <v>17</v>
      </c>
      <c r="B2817" s="3" t="s">
        <v>52</v>
      </c>
      <c r="C2817" s="4" t="s">
        <v>7</v>
      </c>
      <c r="D2817" s="3" t="s">
        <v>6</v>
      </c>
      <c r="E2817" s="3" t="s">
        <v>44</v>
      </c>
      <c r="F2817" s="3">
        <v>30460</v>
      </c>
    </row>
    <row r="2818" spans="1:6" x14ac:dyDescent="0.3">
      <c r="A2818" s="1" t="s">
        <v>17</v>
      </c>
      <c r="B2818" s="1" t="s">
        <v>52</v>
      </c>
      <c r="C2818" s="2" t="s">
        <v>7</v>
      </c>
      <c r="D2818" s="1" t="s">
        <v>6</v>
      </c>
      <c r="E2818" s="1" t="s">
        <v>45</v>
      </c>
      <c r="F2818" s="1">
        <v>30460</v>
      </c>
    </row>
    <row r="2819" spans="1:6" x14ac:dyDescent="0.3">
      <c r="A2819" s="3" t="s">
        <v>17</v>
      </c>
      <c r="B2819" s="3" t="s">
        <v>52</v>
      </c>
      <c r="C2819" s="4" t="s">
        <v>7</v>
      </c>
      <c r="D2819" s="3" t="s">
        <v>6</v>
      </c>
      <c r="E2819" s="3" t="s">
        <v>49</v>
      </c>
      <c r="F2819" s="3">
        <v>1</v>
      </c>
    </row>
    <row r="2820" spans="1:6" x14ac:dyDescent="0.3">
      <c r="A2820" s="1" t="s">
        <v>17</v>
      </c>
      <c r="B2820" s="1" t="s">
        <v>52</v>
      </c>
      <c r="C2820" s="2" t="s">
        <v>7</v>
      </c>
      <c r="D2820" s="1" t="s">
        <v>9</v>
      </c>
      <c r="E2820" s="1" t="s">
        <v>44</v>
      </c>
      <c r="F2820" s="1">
        <v>160611</v>
      </c>
    </row>
    <row r="2821" spans="1:6" x14ac:dyDescent="0.3">
      <c r="A2821" s="3" t="s">
        <v>17</v>
      </c>
      <c r="B2821" s="3" t="s">
        <v>52</v>
      </c>
      <c r="C2821" s="4" t="s">
        <v>7</v>
      </c>
      <c r="D2821" s="3" t="s">
        <v>9</v>
      </c>
      <c r="E2821" s="3" t="s">
        <v>45</v>
      </c>
      <c r="F2821" s="3">
        <v>160611</v>
      </c>
    </row>
    <row r="2822" spans="1:6" x14ac:dyDescent="0.3">
      <c r="A2822" s="1" t="s">
        <v>17</v>
      </c>
      <c r="B2822" s="1" t="s">
        <v>52</v>
      </c>
      <c r="C2822" s="2" t="s">
        <v>7</v>
      </c>
      <c r="D2822" s="1" t="s">
        <v>9</v>
      </c>
      <c r="E2822" s="1" t="s">
        <v>49</v>
      </c>
      <c r="F2822" s="1">
        <v>1</v>
      </c>
    </row>
    <row r="2823" spans="1:6" x14ac:dyDescent="0.3">
      <c r="A2823" s="3" t="s">
        <v>17</v>
      </c>
      <c r="B2823" s="3" t="s">
        <v>52</v>
      </c>
      <c r="C2823" s="4" t="s">
        <v>7</v>
      </c>
      <c r="D2823" s="3" t="s">
        <v>11</v>
      </c>
      <c r="E2823" s="3" t="s">
        <v>44</v>
      </c>
      <c r="F2823" s="3">
        <v>62460</v>
      </c>
    </row>
    <row r="2824" spans="1:6" x14ac:dyDescent="0.3">
      <c r="A2824" s="1" t="s">
        <v>17</v>
      </c>
      <c r="B2824" s="1" t="s">
        <v>52</v>
      </c>
      <c r="C2824" s="2" t="s">
        <v>7</v>
      </c>
      <c r="D2824" s="1" t="s">
        <v>11</v>
      </c>
      <c r="E2824" s="1" t="s">
        <v>45</v>
      </c>
      <c r="F2824" s="1">
        <v>62460</v>
      </c>
    </row>
    <row r="2825" spans="1:6" x14ac:dyDescent="0.3">
      <c r="A2825" s="3" t="s">
        <v>17</v>
      </c>
      <c r="B2825" s="3" t="s">
        <v>52</v>
      </c>
      <c r="C2825" s="4" t="s">
        <v>7</v>
      </c>
      <c r="D2825" s="3" t="s">
        <v>11</v>
      </c>
      <c r="E2825" s="3" t="s">
        <v>49</v>
      </c>
      <c r="F2825" s="3">
        <v>1</v>
      </c>
    </row>
    <row r="2826" spans="1:6" x14ac:dyDescent="0.3">
      <c r="A2826" s="1" t="s">
        <v>17</v>
      </c>
      <c r="B2826" s="1" t="s">
        <v>52</v>
      </c>
      <c r="C2826" s="2" t="s">
        <v>7</v>
      </c>
      <c r="D2826" s="1" t="s">
        <v>1</v>
      </c>
      <c r="E2826" s="1" t="s">
        <v>44</v>
      </c>
      <c r="F2826" s="1">
        <v>26838.8999999999</v>
      </c>
    </row>
    <row r="2827" spans="1:6" x14ac:dyDescent="0.3">
      <c r="A2827" s="3" t="s">
        <v>17</v>
      </c>
      <c r="B2827" s="3" t="s">
        <v>52</v>
      </c>
      <c r="C2827" s="4" t="s">
        <v>7</v>
      </c>
      <c r="D2827" s="3" t="s">
        <v>1</v>
      </c>
      <c r="E2827" s="3" t="s">
        <v>45</v>
      </c>
      <c r="F2827" s="3">
        <v>26838.8999999999</v>
      </c>
    </row>
    <row r="2828" spans="1:6" x14ac:dyDescent="0.3">
      <c r="A2828" s="1" t="s">
        <v>17</v>
      </c>
      <c r="B2828" s="1" t="s">
        <v>52</v>
      </c>
      <c r="C2828" s="2" t="s">
        <v>7</v>
      </c>
      <c r="D2828" s="1" t="s">
        <v>1</v>
      </c>
      <c r="E2828" s="1" t="s">
        <v>49</v>
      </c>
      <c r="F2828" s="1">
        <v>1</v>
      </c>
    </row>
    <row r="2829" spans="1:6" x14ac:dyDescent="0.3">
      <c r="A2829" s="3" t="s">
        <v>17</v>
      </c>
      <c r="B2829" s="3" t="s">
        <v>52</v>
      </c>
      <c r="C2829" s="4" t="s">
        <v>7</v>
      </c>
      <c r="D2829" s="3" t="s">
        <v>6</v>
      </c>
      <c r="E2829" s="3" t="s">
        <v>44</v>
      </c>
      <c r="F2829" s="3">
        <v>26838.8999999999</v>
      </c>
    </row>
    <row r="2830" spans="1:6" x14ac:dyDescent="0.3">
      <c r="A2830" s="1" t="s">
        <v>17</v>
      </c>
      <c r="B2830" s="1" t="s">
        <v>52</v>
      </c>
      <c r="C2830" s="2" t="s">
        <v>7</v>
      </c>
      <c r="D2830" s="1" t="s">
        <v>6</v>
      </c>
      <c r="E2830" s="1" t="s">
        <v>45</v>
      </c>
      <c r="F2830" s="1">
        <v>26838.8999999999</v>
      </c>
    </row>
    <row r="2831" spans="1:6" x14ac:dyDescent="0.3">
      <c r="A2831" s="3" t="s">
        <v>17</v>
      </c>
      <c r="B2831" s="3" t="s">
        <v>52</v>
      </c>
      <c r="C2831" s="4" t="s">
        <v>7</v>
      </c>
      <c r="D2831" s="3" t="s">
        <v>6</v>
      </c>
      <c r="E2831" s="3" t="s">
        <v>49</v>
      </c>
      <c r="F2831" s="3">
        <v>1</v>
      </c>
    </row>
    <row r="2832" spans="1:6" x14ac:dyDescent="0.3">
      <c r="A2832" s="1" t="s">
        <v>17</v>
      </c>
      <c r="B2832" s="1" t="s">
        <v>52</v>
      </c>
      <c r="C2832" s="2" t="s">
        <v>7</v>
      </c>
      <c r="D2832" s="1" t="s">
        <v>9</v>
      </c>
      <c r="E2832" s="1" t="s">
        <v>44</v>
      </c>
      <c r="F2832" s="1">
        <v>26838.8999999999</v>
      </c>
    </row>
    <row r="2833" spans="1:6" x14ac:dyDescent="0.3">
      <c r="A2833" s="3" t="s">
        <v>17</v>
      </c>
      <c r="B2833" s="3" t="s">
        <v>52</v>
      </c>
      <c r="C2833" s="4" t="s">
        <v>7</v>
      </c>
      <c r="D2833" s="3" t="s">
        <v>9</v>
      </c>
      <c r="E2833" s="3" t="s">
        <v>45</v>
      </c>
      <c r="F2833" s="3">
        <v>26838.8999999999</v>
      </c>
    </row>
    <row r="2834" spans="1:6" x14ac:dyDescent="0.3">
      <c r="A2834" s="1" t="s">
        <v>17</v>
      </c>
      <c r="B2834" s="1" t="s">
        <v>52</v>
      </c>
      <c r="C2834" s="2" t="s">
        <v>7</v>
      </c>
      <c r="D2834" s="1" t="s">
        <v>9</v>
      </c>
      <c r="E2834" s="1" t="s">
        <v>49</v>
      </c>
      <c r="F2834" s="1">
        <v>1</v>
      </c>
    </row>
    <row r="2835" spans="1:6" x14ac:dyDescent="0.3">
      <c r="A2835" s="3" t="s">
        <v>17</v>
      </c>
      <c r="B2835" s="3" t="s">
        <v>52</v>
      </c>
      <c r="C2835" s="4" t="s">
        <v>7</v>
      </c>
      <c r="D2835" s="3" t="s">
        <v>11</v>
      </c>
      <c r="E2835" s="3" t="s">
        <v>44</v>
      </c>
      <c r="F2835" s="3">
        <v>26838.8999999999</v>
      </c>
    </row>
    <row r="2836" spans="1:6" x14ac:dyDescent="0.3">
      <c r="A2836" s="1" t="s">
        <v>17</v>
      </c>
      <c r="B2836" s="1" t="s">
        <v>52</v>
      </c>
      <c r="C2836" s="2" t="s">
        <v>7</v>
      </c>
      <c r="D2836" s="1" t="s">
        <v>11</v>
      </c>
      <c r="E2836" s="1" t="s">
        <v>45</v>
      </c>
      <c r="F2836" s="1">
        <v>26838.8999999999</v>
      </c>
    </row>
    <row r="2837" spans="1:6" x14ac:dyDescent="0.3">
      <c r="A2837" s="3" t="s">
        <v>17</v>
      </c>
      <c r="B2837" s="3" t="s">
        <v>52</v>
      </c>
      <c r="C2837" s="4" t="s">
        <v>7</v>
      </c>
      <c r="D2837" s="3" t="s">
        <v>11</v>
      </c>
      <c r="E2837" s="3" t="s">
        <v>49</v>
      </c>
      <c r="F2837" s="3">
        <v>1</v>
      </c>
    </row>
    <row r="2838" spans="1:6" x14ac:dyDescent="0.3">
      <c r="A2838" s="1" t="s">
        <v>17</v>
      </c>
      <c r="B2838" s="1" t="s">
        <v>52</v>
      </c>
      <c r="C2838" s="2" t="s">
        <v>7</v>
      </c>
      <c r="D2838" s="1" t="s">
        <v>1</v>
      </c>
      <c r="E2838" s="1" t="s">
        <v>44</v>
      </c>
      <c r="F2838" s="1">
        <v>160611</v>
      </c>
    </row>
    <row r="2839" spans="1:6" x14ac:dyDescent="0.3">
      <c r="A2839" s="3" t="s">
        <v>17</v>
      </c>
      <c r="B2839" s="3" t="s">
        <v>52</v>
      </c>
      <c r="C2839" s="4" t="s">
        <v>7</v>
      </c>
      <c r="D2839" s="3" t="s">
        <v>1</v>
      </c>
      <c r="E2839" s="3" t="s">
        <v>45</v>
      </c>
      <c r="F2839" s="3">
        <v>160611</v>
      </c>
    </row>
    <row r="2840" spans="1:6" x14ac:dyDescent="0.3">
      <c r="A2840" s="1" t="s">
        <v>17</v>
      </c>
      <c r="B2840" s="1" t="s">
        <v>52</v>
      </c>
      <c r="C2840" s="2" t="s">
        <v>7</v>
      </c>
      <c r="D2840" s="1" t="s">
        <v>1</v>
      </c>
      <c r="E2840" s="1" t="s">
        <v>49</v>
      </c>
      <c r="F2840" s="1">
        <v>1</v>
      </c>
    </row>
    <row r="2841" spans="1:6" x14ac:dyDescent="0.3">
      <c r="A2841" s="3" t="s">
        <v>17</v>
      </c>
      <c r="B2841" s="3" t="s">
        <v>52</v>
      </c>
      <c r="C2841" s="4" t="s">
        <v>7</v>
      </c>
      <c r="D2841" s="3" t="s">
        <v>6</v>
      </c>
      <c r="E2841" s="3" t="s">
        <v>44</v>
      </c>
      <c r="F2841" s="3">
        <v>62460</v>
      </c>
    </row>
    <row r="2842" spans="1:6" x14ac:dyDescent="0.3">
      <c r="A2842" s="1" t="s">
        <v>17</v>
      </c>
      <c r="B2842" s="1" t="s">
        <v>52</v>
      </c>
      <c r="C2842" s="2" t="s">
        <v>7</v>
      </c>
      <c r="D2842" s="1" t="s">
        <v>6</v>
      </c>
      <c r="E2842" s="1" t="s">
        <v>45</v>
      </c>
      <c r="F2842" s="1">
        <v>62460</v>
      </c>
    </row>
    <row r="2843" spans="1:6" x14ac:dyDescent="0.3">
      <c r="A2843" s="3" t="s">
        <v>17</v>
      </c>
      <c r="B2843" s="3" t="s">
        <v>52</v>
      </c>
      <c r="C2843" s="4" t="s">
        <v>7</v>
      </c>
      <c r="D2843" s="3" t="s">
        <v>6</v>
      </c>
      <c r="E2843" s="3" t="s">
        <v>49</v>
      </c>
      <c r="F2843" s="3">
        <v>1</v>
      </c>
    </row>
    <row r="2844" spans="1:6" x14ac:dyDescent="0.3">
      <c r="A2844" s="1" t="s">
        <v>17</v>
      </c>
      <c r="B2844" s="1" t="s">
        <v>52</v>
      </c>
      <c r="C2844" s="2" t="s">
        <v>7</v>
      </c>
      <c r="D2844" s="1" t="s">
        <v>9</v>
      </c>
      <c r="E2844" s="1" t="s">
        <v>44</v>
      </c>
      <c r="F2844" s="1">
        <v>160611</v>
      </c>
    </row>
    <row r="2845" spans="1:6" x14ac:dyDescent="0.3">
      <c r="A2845" s="3" t="s">
        <v>17</v>
      </c>
      <c r="B2845" s="3" t="s">
        <v>52</v>
      </c>
      <c r="C2845" s="4" t="s">
        <v>7</v>
      </c>
      <c r="D2845" s="3" t="s">
        <v>9</v>
      </c>
      <c r="E2845" s="3" t="s">
        <v>45</v>
      </c>
      <c r="F2845" s="3">
        <v>160611</v>
      </c>
    </row>
    <row r="2846" spans="1:6" x14ac:dyDescent="0.3">
      <c r="A2846" s="1" t="s">
        <v>17</v>
      </c>
      <c r="B2846" s="1" t="s">
        <v>52</v>
      </c>
      <c r="C2846" s="2" t="s">
        <v>7</v>
      </c>
      <c r="D2846" s="1" t="s">
        <v>9</v>
      </c>
      <c r="E2846" s="1" t="s">
        <v>49</v>
      </c>
      <c r="F2846" s="1">
        <v>1</v>
      </c>
    </row>
    <row r="2847" spans="1:6" x14ac:dyDescent="0.3">
      <c r="A2847" s="3" t="s">
        <v>17</v>
      </c>
      <c r="B2847" s="3" t="s">
        <v>52</v>
      </c>
      <c r="C2847" s="4" t="s">
        <v>7</v>
      </c>
      <c r="D2847" s="3" t="s">
        <v>11</v>
      </c>
      <c r="E2847" s="3" t="s">
        <v>44</v>
      </c>
      <c r="F2847" s="3">
        <v>62460</v>
      </c>
    </row>
    <row r="2848" spans="1:6" x14ac:dyDescent="0.3">
      <c r="A2848" s="1" t="s">
        <v>17</v>
      </c>
      <c r="B2848" s="1" t="s">
        <v>52</v>
      </c>
      <c r="C2848" s="2" t="s">
        <v>7</v>
      </c>
      <c r="D2848" s="1" t="s">
        <v>11</v>
      </c>
      <c r="E2848" s="1" t="s">
        <v>45</v>
      </c>
      <c r="F2848" s="1">
        <v>62460</v>
      </c>
    </row>
    <row r="2849" spans="1:6" x14ac:dyDescent="0.3">
      <c r="A2849" s="3" t="s">
        <v>17</v>
      </c>
      <c r="B2849" s="3" t="s">
        <v>52</v>
      </c>
      <c r="C2849" s="4" t="s">
        <v>7</v>
      </c>
      <c r="D2849" s="3" t="s">
        <v>11</v>
      </c>
      <c r="E2849" s="3" t="s">
        <v>49</v>
      </c>
      <c r="F2849" s="3">
        <v>1</v>
      </c>
    </row>
    <row r="2850" spans="1:6" x14ac:dyDescent="0.3">
      <c r="A2850" s="1" t="s">
        <v>17</v>
      </c>
      <c r="B2850" s="1" t="s">
        <v>52</v>
      </c>
      <c r="C2850" s="2" t="s">
        <v>7</v>
      </c>
      <c r="D2850" s="1" t="s">
        <v>1</v>
      </c>
      <c r="E2850" s="1" t="s">
        <v>44</v>
      </c>
      <c r="F2850" s="1">
        <v>3061.1999999999898</v>
      </c>
    </row>
    <row r="2851" spans="1:6" x14ac:dyDescent="0.3">
      <c r="A2851" s="3" t="s">
        <v>17</v>
      </c>
      <c r="B2851" s="3" t="s">
        <v>52</v>
      </c>
      <c r="C2851" s="4" t="s">
        <v>7</v>
      </c>
      <c r="D2851" s="3" t="s">
        <v>1</v>
      </c>
      <c r="E2851" s="3" t="s">
        <v>45</v>
      </c>
      <c r="F2851" s="3">
        <v>28066.5</v>
      </c>
    </row>
    <row r="2852" spans="1:6" x14ac:dyDescent="0.3">
      <c r="A2852" s="1" t="s">
        <v>17</v>
      </c>
      <c r="B2852" s="1" t="s">
        <v>52</v>
      </c>
      <c r="C2852" s="2" t="s">
        <v>7</v>
      </c>
      <c r="D2852" s="1" t="s">
        <v>1</v>
      </c>
      <c r="E2852" s="1" t="s">
        <v>47</v>
      </c>
      <c r="F2852" s="1">
        <v>5320.7999999999902</v>
      </c>
    </row>
    <row r="2853" spans="1:6" x14ac:dyDescent="0.3">
      <c r="A2853" s="3" t="s">
        <v>17</v>
      </c>
      <c r="B2853" s="3" t="s">
        <v>52</v>
      </c>
      <c r="C2853" s="4" t="s">
        <v>7</v>
      </c>
      <c r="D2853" s="3" t="s">
        <v>1</v>
      </c>
      <c r="E2853" s="3" t="s">
        <v>48</v>
      </c>
      <c r="F2853" s="3">
        <v>19684.5</v>
      </c>
    </row>
    <row r="2854" spans="1:6" x14ac:dyDescent="0.3">
      <c r="A2854" s="1" t="s">
        <v>17</v>
      </c>
      <c r="B2854" s="1" t="s">
        <v>52</v>
      </c>
      <c r="C2854" s="2" t="s">
        <v>7</v>
      </c>
      <c r="D2854" s="1" t="s">
        <v>1</v>
      </c>
      <c r="E2854" s="1" t="s">
        <v>49</v>
      </c>
      <c r="F2854" s="1">
        <v>0.10906953129175299</v>
      </c>
    </row>
    <row r="2855" spans="1:6" x14ac:dyDescent="0.3">
      <c r="A2855" s="3" t="s">
        <v>17</v>
      </c>
      <c r="B2855" s="3" t="s">
        <v>52</v>
      </c>
      <c r="C2855" s="4" t="s">
        <v>7</v>
      </c>
      <c r="D2855" s="3" t="s">
        <v>6</v>
      </c>
      <c r="E2855" s="3" t="s">
        <v>44</v>
      </c>
      <c r="F2855" s="3">
        <v>17299.199999999899</v>
      </c>
    </row>
    <row r="2856" spans="1:6" x14ac:dyDescent="0.3">
      <c r="A2856" s="1" t="s">
        <v>17</v>
      </c>
      <c r="B2856" s="1" t="s">
        <v>52</v>
      </c>
      <c r="C2856" s="2" t="s">
        <v>7</v>
      </c>
      <c r="D2856" s="1" t="s">
        <v>6</v>
      </c>
      <c r="E2856" s="1" t="s">
        <v>45</v>
      </c>
      <c r="F2856" s="1">
        <v>42099.75</v>
      </c>
    </row>
    <row r="2857" spans="1:6" x14ac:dyDescent="0.3">
      <c r="A2857" s="3" t="s">
        <v>17</v>
      </c>
      <c r="B2857" s="3" t="s">
        <v>52</v>
      </c>
      <c r="C2857" s="4" t="s">
        <v>7</v>
      </c>
      <c r="D2857" s="3" t="s">
        <v>6</v>
      </c>
      <c r="E2857" s="3" t="s">
        <v>47</v>
      </c>
      <c r="F2857" s="3">
        <v>5116.0499999999902</v>
      </c>
    </row>
    <row r="2858" spans="1:6" x14ac:dyDescent="0.3">
      <c r="A2858" s="1" t="s">
        <v>17</v>
      </c>
      <c r="B2858" s="1" t="s">
        <v>52</v>
      </c>
      <c r="C2858" s="2" t="s">
        <v>7</v>
      </c>
      <c r="D2858" s="1" t="s">
        <v>6</v>
      </c>
      <c r="E2858" s="1" t="s">
        <v>48</v>
      </c>
      <c r="F2858" s="1">
        <v>19684.5</v>
      </c>
    </row>
    <row r="2859" spans="1:6" x14ac:dyDescent="0.3">
      <c r="A2859" s="3" t="s">
        <v>17</v>
      </c>
      <c r="B2859" s="3" t="s">
        <v>52</v>
      </c>
      <c r="C2859" s="4" t="s">
        <v>7</v>
      </c>
      <c r="D2859" s="3" t="s">
        <v>6</v>
      </c>
      <c r="E2859" s="3" t="s">
        <v>49</v>
      </c>
      <c r="F2859" s="3">
        <v>0.41090980350239598</v>
      </c>
    </row>
    <row r="2860" spans="1:6" x14ac:dyDescent="0.3">
      <c r="A2860" s="1" t="s">
        <v>17</v>
      </c>
      <c r="B2860" s="1" t="s">
        <v>52</v>
      </c>
      <c r="C2860" s="2" t="s">
        <v>7</v>
      </c>
      <c r="D2860" s="1" t="s">
        <v>9</v>
      </c>
      <c r="E2860" s="1" t="s">
        <v>44</v>
      </c>
      <c r="F2860" s="1">
        <v>17799.75</v>
      </c>
    </row>
    <row r="2861" spans="1:6" x14ac:dyDescent="0.3">
      <c r="A2861" s="3" t="s">
        <v>17</v>
      </c>
      <c r="B2861" s="3" t="s">
        <v>52</v>
      </c>
      <c r="C2861" s="4" t="s">
        <v>7</v>
      </c>
      <c r="D2861" s="3" t="s">
        <v>9</v>
      </c>
      <c r="E2861" s="3" t="s">
        <v>45</v>
      </c>
      <c r="F2861" s="3">
        <v>56133</v>
      </c>
    </row>
    <row r="2862" spans="1:6" x14ac:dyDescent="0.3">
      <c r="A2862" s="1" t="s">
        <v>17</v>
      </c>
      <c r="B2862" s="1" t="s">
        <v>52</v>
      </c>
      <c r="C2862" s="2" t="s">
        <v>7</v>
      </c>
      <c r="D2862" s="1" t="s">
        <v>9</v>
      </c>
      <c r="E2862" s="1" t="s">
        <v>47</v>
      </c>
      <c r="F2862" s="1">
        <v>5524.6499999999896</v>
      </c>
    </row>
    <row r="2863" spans="1:6" x14ac:dyDescent="0.3">
      <c r="A2863" s="3" t="s">
        <v>17</v>
      </c>
      <c r="B2863" s="3" t="s">
        <v>52</v>
      </c>
      <c r="C2863" s="4" t="s">
        <v>7</v>
      </c>
      <c r="D2863" s="3" t="s">
        <v>9</v>
      </c>
      <c r="E2863" s="3" t="s">
        <v>48</v>
      </c>
      <c r="F2863" s="3">
        <v>32808.599999999897</v>
      </c>
    </row>
    <row r="2864" spans="1:6" x14ac:dyDescent="0.3">
      <c r="A2864" s="1" t="s">
        <v>17</v>
      </c>
      <c r="B2864" s="1" t="s">
        <v>52</v>
      </c>
      <c r="C2864" s="2" t="s">
        <v>7</v>
      </c>
      <c r="D2864" s="1" t="s">
        <v>9</v>
      </c>
      <c r="E2864" s="1" t="s">
        <v>49</v>
      </c>
      <c r="F2864" s="1">
        <v>0.31709956709956699</v>
      </c>
    </row>
    <row r="2865" spans="1:6" x14ac:dyDescent="0.3">
      <c r="A2865" s="3" t="s">
        <v>17</v>
      </c>
      <c r="B2865" s="3" t="s">
        <v>52</v>
      </c>
      <c r="C2865" s="4" t="s">
        <v>7</v>
      </c>
      <c r="D2865" s="3" t="s">
        <v>11</v>
      </c>
      <c r="E2865" s="3" t="s">
        <v>44</v>
      </c>
      <c r="F2865" s="3">
        <v>23838.1499999999</v>
      </c>
    </row>
    <row r="2866" spans="1:6" x14ac:dyDescent="0.3">
      <c r="A2866" s="1" t="s">
        <v>17</v>
      </c>
      <c r="B2866" s="1" t="s">
        <v>52</v>
      </c>
      <c r="C2866" s="2" t="s">
        <v>7</v>
      </c>
      <c r="D2866" s="1" t="s">
        <v>11</v>
      </c>
      <c r="E2866" s="1" t="s">
        <v>45</v>
      </c>
      <c r="F2866" s="1">
        <v>70166.25</v>
      </c>
    </row>
    <row r="2867" spans="1:6" x14ac:dyDescent="0.3">
      <c r="A2867" s="3" t="s">
        <v>17</v>
      </c>
      <c r="B2867" s="3" t="s">
        <v>52</v>
      </c>
      <c r="C2867" s="4" t="s">
        <v>7</v>
      </c>
      <c r="D2867" s="3" t="s">
        <v>11</v>
      </c>
      <c r="E2867" s="3" t="s">
        <v>47</v>
      </c>
      <c r="F2867" s="3">
        <v>6957.4499999999898</v>
      </c>
    </row>
    <row r="2868" spans="1:6" x14ac:dyDescent="0.3">
      <c r="A2868" s="1" t="s">
        <v>17</v>
      </c>
      <c r="B2868" s="1" t="s">
        <v>52</v>
      </c>
      <c r="C2868" s="2" t="s">
        <v>7</v>
      </c>
      <c r="D2868" s="1" t="s">
        <v>11</v>
      </c>
      <c r="E2868" s="1" t="s">
        <v>48</v>
      </c>
      <c r="F2868" s="1">
        <v>39370.6499999999</v>
      </c>
    </row>
    <row r="2869" spans="1:6" x14ac:dyDescent="0.3">
      <c r="A2869" s="3" t="s">
        <v>17</v>
      </c>
      <c r="B2869" s="3" t="s">
        <v>52</v>
      </c>
      <c r="C2869" s="4" t="s">
        <v>7</v>
      </c>
      <c r="D2869" s="3" t="s">
        <v>11</v>
      </c>
      <c r="E2869" s="3" t="s">
        <v>49</v>
      </c>
      <c r="F2869" s="3">
        <v>0.33973812196034398</v>
      </c>
    </row>
    <row r="2870" spans="1:6" x14ac:dyDescent="0.3">
      <c r="A2870" s="1" t="s">
        <v>8</v>
      </c>
      <c r="B2870" s="1" t="s">
        <v>43</v>
      </c>
      <c r="C2870" s="2" t="s">
        <v>7</v>
      </c>
      <c r="D2870" s="1" t="s">
        <v>1</v>
      </c>
      <c r="E2870" s="1" t="s">
        <v>44</v>
      </c>
      <c r="F2870" s="1">
        <v>74850</v>
      </c>
    </row>
    <row r="2871" spans="1:6" x14ac:dyDescent="0.3">
      <c r="A2871" s="3" t="s">
        <v>8</v>
      </c>
      <c r="B2871" s="3" t="s">
        <v>43</v>
      </c>
      <c r="C2871" s="4" t="s">
        <v>7</v>
      </c>
      <c r="D2871" s="3" t="s">
        <v>1</v>
      </c>
      <c r="E2871" s="3" t="s">
        <v>45</v>
      </c>
      <c r="F2871" s="3">
        <v>85050</v>
      </c>
    </row>
    <row r="2872" spans="1:6" x14ac:dyDescent="0.3">
      <c r="A2872" s="1" t="s">
        <v>8</v>
      </c>
      <c r="B2872" s="1" t="s">
        <v>43</v>
      </c>
      <c r="C2872" s="2" t="s">
        <v>7</v>
      </c>
      <c r="D2872" s="1" t="s">
        <v>1</v>
      </c>
      <c r="E2872" s="1" t="s">
        <v>48</v>
      </c>
      <c r="F2872" s="1">
        <v>10200</v>
      </c>
    </row>
    <row r="2873" spans="1:6" x14ac:dyDescent="0.3">
      <c r="A2873" s="3" t="s">
        <v>8</v>
      </c>
      <c r="B2873" s="3" t="s">
        <v>43</v>
      </c>
      <c r="C2873" s="4" t="s">
        <v>7</v>
      </c>
      <c r="D2873" s="3" t="s">
        <v>1</v>
      </c>
      <c r="E2873" s="3" t="s">
        <v>49</v>
      </c>
      <c r="F2873" s="3">
        <v>0.88007054673721297</v>
      </c>
    </row>
    <row r="2874" spans="1:6" x14ac:dyDescent="0.3">
      <c r="A2874" s="1" t="s">
        <v>8</v>
      </c>
      <c r="B2874" s="1" t="s">
        <v>43</v>
      </c>
      <c r="C2874" s="2" t="s">
        <v>7</v>
      </c>
      <c r="D2874" s="1" t="s">
        <v>6</v>
      </c>
      <c r="E2874" s="1" t="s">
        <v>44</v>
      </c>
      <c r="F2874" s="1">
        <v>112275</v>
      </c>
    </row>
    <row r="2875" spans="1:6" x14ac:dyDescent="0.3">
      <c r="A2875" s="3" t="s">
        <v>8</v>
      </c>
      <c r="B2875" s="3" t="s">
        <v>43</v>
      </c>
      <c r="C2875" s="4" t="s">
        <v>7</v>
      </c>
      <c r="D2875" s="3" t="s">
        <v>6</v>
      </c>
      <c r="E2875" s="3" t="s">
        <v>45</v>
      </c>
      <c r="F2875" s="3">
        <v>127575</v>
      </c>
    </row>
    <row r="2876" spans="1:6" x14ac:dyDescent="0.3">
      <c r="A2876" s="1" t="s">
        <v>8</v>
      </c>
      <c r="B2876" s="1" t="s">
        <v>43</v>
      </c>
      <c r="C2876" s="2" t="s">
        <v>7</v>
      </c>
      <c r="D2876" s="1" t="s">
        <v>6</v>
      </c>
      <c r="E2876" s="1" t="s">
        <v>48</v>
      </c>
      <c r="F2876" s="1">
        <v>15300</v>
      </c>
    </row>
    <row r="2877" spans="1:6" x14ac:dyDescent="0.3">
      <c r="A2877" s="3" t="s">
        <v>8</v>
      </c>
      <c r="B2877" s="3" t="s">
        <v>43</v>
      </c>
      <c r="C2877" s="4" t="s">
        <v>7</v>
      </c>
      <c r="D2877" s="3" t="s">
        <v>6</v>
      </c>
      <c r="E2877" s="3" t="s">
        <v>49</v>
      </c>
      <c r="F2877" s="3">
        <v>0.88007054673721297</v>
      </c>
    </row>
    <row r="2878" spans="1:6" x14ac:dyDescent="0.3">
      <c r="A2878" s="1" t="s">
        <v>8</v>
      </c>
      <c r="B2878" s="1" t="s">
        <v>43</v>
      </c>
      <c r="C2878" s="2" t="s">
        <v>7</v>
      </c>
      <c r="D2878" s="1" t="s">
        <v>9</v>
      </c>
      <c r="E2878" s="1" t="s">
        <v>44</v>
      </c>
      <c r="F2878" s="1">
        <v>149700</v>
      </c>
    </row>
    <row r="2879" spans="1:6" x14ac:dyDescent="0.3">
      <c r="A2879" s="3" t="s">
        <v>8</v>
      </c>
      <c r="B2879" s="3" t="s">
        <v>43</v>
      </c>
      <c r="C2879" s="4" t="s">
        <v>7</v>
      </c>
      <c r="D2879" s="3" t="s">
        <v>9</v>
      </c>
      <c r="E2879" s="3" t="s">
        <v>45</v>
      </c>
      <c r="F2879" s="3">
        <v>170100</v>
      </c>
    </row>
    <row r="2880" spans="1:6" x14ac:dyDescent="0.3">
      <c r="A2880" s="1" t="s">
        <v>8</v>
      </c>
      <c r="B2880" s="1" t="s">
        <v>43</v>
      </c>
      <c r="C2880" s="2" t="s">
        <v>7</v>
      </c>
      <c r="D2880" s="1" t="s">
        <v>9</v>
      </c>
      <c r="E2880" s="1" t="s">
        <v>48</v>
      </c>
      <c r="F2880" s="1">
        <v>20400</v>
      </c>
    </row>
    <row r="2881" spans="1:6" x14ac:dyDescent="0.3">
      <c r="A2881" s="3" t="s">
        <v>8</v>
      </c>
      <c r="B2881" s="3" t="s">
        <v>43</v>
      </c>
      <c r="C2881" s="4" t="s">
        <v>7</v>
      </c>
      <c r="D2881" s="3" t="s">
        <v>9</v>
      </c>
      <c r="E2881" s="3" t="s">
        <v>49</v>
      </c>
      <c r="F2881" s="3">
        <v>0.88007054673721297</v>
      </c>
    </row>
    <row r="2882" spans="1:6" x14ac:dyDescent="0.3">
      <c r="A2882" s="1" t="s">
        <v>8</v>
      </c>
      <c r="B2882" s="1" t="s">
        <v>43</v>
      </c>
      <c r="C2882" s="2" t="s">
        <v>7</v>
      </c>
      <c r="D2882" s="1" t="s">
        <v>11</v>
      </c>
      <c r="E2882" s="1" t="s">
        <v>44</v>
      </c>
      <c r="F2882" s="1">
        <v>187125</v>
      </c>
    </row>
    <row r="2883" spans="1:6" x14ac:dyDescent="0.3">
      <c r="A2883" s="3" t="s">
        <v>8</v>
      </c>
      <c r="B2883" s="3" t="s">
        <v>43</v>
      </c>
      <c r="C2883" s="4" t="s">
        <v>7</v>
      </c>
      <c r="D2883" s="3" t="s">
        <v>11</v>
      </c>
      <c r="E2883" s="3" t="s">
        <v>45</v>
      </c>
      <c r="F2883" s="3">
        <v>212625</v>
      </c>
    </row>
    <row r="2884" spans="1:6" x14ac:dyDescent="0.3">
      <c r="A2884" s="1" t="s">
        <v>8</v>
      </c>
      <c r="B2884" s="1" t="s">
        <v>43</v>
      </c>
      <c r="C2884" s="2" t="s">
        <v>7</v>
      </c>
      <c r="D2884" s="1" t="s">
        <v>11</v>
      </c>
      <c r="E2884" s="1" t="s">
        <v>48</v>
      </c>
      <c r="F2884" s="1">
        <v>25500</v>
      </c>
    </row>
    <row r="2885" spans="1:6" x14ac:dyDescent="0.3">
      <c r="A2885" s="3" t="s">
        <v>8</v>
      </c>
      <c r="B2885" s="3" t="s">
        <v>43</v>
      </c>
      <c r="C2885" s="4" t="s">
        <v>7</v>
      </c>
      <c r="D2885" s="3" t="s">
        <v>11</v>
      </c>
      <c r="E2885" s="3" t="s">
        <v>49</v>
      </c>
      <c r="F2885" s="3">
        <v>0.88007054673721297</v>
      </c>
    </row>
    <row r="2886" spans="1:6" x14ac:dyDescent="0.3">
      <c r="A2886" s="1" t="s">
        <v>8</v>
      </c>
      <c r="B2886" s="1" t="s">
        <v>43</v>
      </c>
      <c r="C2886" s="2" t="s">
        <v>7</v>
      </c>
      <c r="D2886" s="1" t="s">
        <v>1</v>
      </c>
      <c r="E2886" s="1" t="s">
        <v>44</v>
      </c>
      <c r="F2886" s="1">
        <v>8701.5</v>
      </c>
    </row>
    <row r="2887" spans="1:6" x14ac:dyDescent="0.3">
      <c r="A2887" s="3" t="s">
        <v>8</v>
      </c>
      <c r="B2887" s="3" t="s">
        <v>43</v>
      </c>
      <c r="C2887" s="4" t="s">
        <v>7</v>
      </c>
      <c r="D2887" s="3" t="s">
        <v>1</v>
      </c>
      <c r="E2887" s="3" t="s">
        <v>45</v>
      </c>
      <c r="F2887" s="3">
        <v>39123</v>
      </c>
    </row>
    <row r="2888" spans="1:6" x14ac:dyDescent="0.3">
      <c r="A2888" s="1" t="s">
        <v>8</v>
      </c>
      <c r="B2888" s="1" t="s">
        <v>43</v>
      </c>
      <c r="C2888" s="2" t="s">
        <v>7</v>
      </c>
      <c r="D2888" s="1" t="s">
        <v>1</v>
      </c>
      <c r="E2888" s="1" t="s">
        <v>48</v>
      </c>
      <c r="F2888" s="1">
        <v>30421.5</v>
      </c>
    </row>
    <row r="2889" spans="1:6" x14ac:dyDescent="0.3">
      <c r="A2889" s="3" t="s">
        <v>8</v>
      </c>
      <c r="B2889" s="3" t="s">
        <v>43</v>
      </c>
      <c r="C2889" s="4" t="s">
        <v>7</v>
      </c>
      <c r="D2889" s="3" t="s">
        <v>1</v>
      </c>
      <c r="E2889" s="3" t="s">
        <v>49</v>
      </c>
      <c r="F2889" s="3">
        <v>0.222413925312476</v>
      </c>
    </row>
    <row r="2890" spans="1:6" x14ac:dyDescent="0.3">
      <c r="A2890" s="1" t="s">
        <v>8</v>
      </c>
      <c r="B2890" s="1" t="s">
        <v>43</v>
      </c>
      <c r="C2890" s="2" t="s">
        <v>7</v>
      </c>
      <c r="D2890" s="1" t="s">
        <v>6</v>
      </c>
      <c r="E2890" s="1" t="s">
        <v>44</v>
      </c>
      <c r="F2890" s="1">
        <v>8701.5</v>
      </c>
    </row>
    <row r="2891" spans="1:6" x14ac:dyDescent="0.3">
      <c r="A2891" s="3" t="s">
        <v>8</v>
      </c>
      <c r="B2891" s="3" t="s">
        <v>43</v>
      </c>
      <c r="C2891" s="4" t="s">
        <v>7</v>
      </c>
      <c r="D2891" s="3" t="s">
        <v>6</v>
      </c>
      <c r="E2891" s="3" t="s">
        <v>45</v>
      </c>
      <c r="F2891" s="3">
        <v>39123</v>
      </c>
    </row>
    <row r="2892" spans="1:6" x14ac:dyDescent="0.3">
      <c r="A2892" s="1" t="s">
        <v>8</v>
      </c>
      <c r="B2892" s="1" t="s">
        <v>43</v>
      </c>
      <c r="C2892" s="2" t="s">
        <v>7</v>
      </c>
      <c r="D2892" s="1" t="s">
        <v>6</v>
      </c>
      <c r="E2892" s="1" t="s">
        <v>48</v>
      </c>
      <c r="F2892" s="1">
        <v>30421.5</v>
      </c>
    </row>
    <row r="2893" spans="1:6" x14ac:dyDescent="0.3">
      <c r="A2893" s="3" t="s">
        <v>8</v>
      </c>
      <c r="B2893" s="3" t="s">
        <v>43</v>
      </c>
      <c r="C2893" s="4" t="s">
        <v>7</v>
      </c>
      <c r="D2893" s="3" t="s">
        <v>6</v>
      </c>
      <c r="E2893" s="3" t="s">
        <v>49</v>
      </c>
      <c r="F2893" s="3">
        <v>0.222413925312476</v>
      </c>
    </row>
    <row r="2894" spans="1:6" x14ac:dyDescent="0.3">
      <c r="A2894" s="1" t="s">
        <v>8</v>
      </c>
      <c r="B2894" s="1" t="s">
        <v>43</v>
      </c>
      <c r="C2894" s="2" t="s">
        <v>7</v>
      </c>
      <c r="D2894" s="1" t="s">
        <v>9</v>
      </c>
      <c r="E2894" s="1" t="s">
        <v>44</v>
      </c>
      <c r="F2894" s="1">
        <v>14500.8</v>
      </c>
    </row>
    <row r="2895" spans="1:6" x14ac:dyDescent="0.3">
      <c r="A2895" s="3" t="s">
        <v>8</v>
      </c>
      <c r="B2895" s="3" t="s">
        <v>43</v>
      </c>
      <c r="C2895" s="4" t="s">
        <v>7</v>
      </c>
      <c r="D2895" s="3" t="s">
        <v>9</v>
      </c>
      <c r="E2895" s="3" t="s">
        <v>45</v>
      </c>
      <c r="F2895" s="3">
        <v>65205</v>
      </c>
    </row>
    <row r="2896" spans="1:6" x14ac:dyDescent="0.3">
      <c r="A2896" s="1" t="s">
        <v>8</v>
      </c>
      <c r="B2896" s="1" t="s">
        <v>43</v>
      </c>
      <c r="C2896" s="2" t="s">
        <v>7</v>
      </c>
      <c r="D2896" s="1" t="s">
        <v>9</v>
      </c>
      <c r="E2896" s="1" t="s">
        <v>48</v>
      </c>
      <c r="F2896" s="1">
        <v>50704.199999999903</v>
      </c>
    </row>
    <row r="2897" spans="1:6" x14ac:dyDescent="0.3">
      <c r="A2897" s="3" t="s">
        <v>8</v>
      </c>
      <c r="B2897" s="3" t="s">
        <v>43</v>
      </c>
      <c r="C2897" s="4" t="s">
        <v>7</v>
      </c>
      <c r="D2897" s="3" t="s">
        <v>9</v>
      </c>
      <c r="E2897" s="3" t="s">
        <v>49</v>
      </c>
      <c r="F2897" s="3">
        <v>0.22238785369220099</v>
      </c>
    </row>
    <row r="2898" spans="1:6" x14ac:dyDescent="0.3">
      <c r="A2898" s="1" t="s">
        <v>8</v>
      </c>
      <c r="B2898" s="1" t="s">
        <v>43</v>
      </c>
      <c r="C2898" s="2" t="s">
        <v>7</v>
      </c>
      <c r="D2898" s="1" t="s">
        <v>11</v>
      </c>
      <c r="E2898" s="1" t="s">
        <v>44</v>
      </c>
      <c r="F2898" s="1">
        <v>17400.45</v>
      </c>
    </row>
    <row r="2899" spans="1:6" x14ac:dyDescent="0.3">
      <c r="A2899" s="3" t="s">
        <v>8</v>
      </c>
      <c r="B2899" s="3" t="s">
        <v>43</v>
      </c>
      <c r="C2899" s="4" t="s">
        <v>7</v>
      </c>
      <c r="D2899" s="3" t="s">
        <v>11</v>
      </c>
      <c r="E2899" s="3" t="s">
        <v>45</v>
      </c>
      <c r="F2899" s="3">
        <v>78246</v>
      </c>
    </row>
    <row r="2900" spans="1:6" x14ac:dyDescent="0.3">
      <c r="A2900" s="1" t="s">
        <v>8</v>
      </c>
      <c r="B2900" s="1" t="s">
        <v>43</v>
      </c>
      <c r="C2900" s="2" t="s">
        <v>7</v>
      </c>
      <c r="D2900" s="1" t="s">
        <v>11</v>
      </c>
      <c r="E2900" s="1" t="s">
        <v>48</v>
      </c>
      <c r="F2900" s="1">
        <v>60845.549999999901</v>
      </c>
    </row>
    <row r="2901" spans="1:6" x14ac:dyDescent="0.3">
      <c r="A2901" s="3" t="s">
        <v>8</v>
      </c>
      <c r="B2901" s="3" t="s">
        <v>43</v>
      </c>
      <c r="C2901" s="4" t="s">
        <v>7</v>
      </c>
      <c r="D2901" s="3" t="s">
        <v>11</v>
      </c>
      <c r="E2901" s="3" t="s">
        <v>49</v>
      </c>
      <c r="F2901" s="3">
        <v>0.22238133578713301</v>
      </c>
    </row>
    <row r="2902" spans="1:6" x14ac:dyDescent="0.3">
      <c r="A2902" s="1" t="s">
        <v>8</v>
      </c>
      <c r="B2902" s="1" t="s">
        <v>43</v>
      </c>
      <c r="C2902" s="2" t="s">
        <v>7</v>
      </c>
      <c r="D2902" s="1" t="s">
        <v>1</v>
      </c>
      <c r="E2902" s="1" t="s">
        <v>44</v>
      </c>
      <c r="F2902" s="1">
        <v>24204.45</v>
      </c>
    </row>
    <row r="2903" spans="1:6" x14ac:dyDescent="0.3">
      <c r="A2903" s="3" t="s">
        <v>8</v>
      </c>
      <c r="B2903" s="3" t="s">
        <v>43</v>
      </c>
      <c r="C2903" s="4" t="s">
        <v>7</v>
      </c>
      <c r="D2903" s="3" t="s">
        <v>1</v>
      </c>
      <c r="E2903" s="3" t="s">
        <v>45</v>
      </c>
      <c r="F2903" s="3">
        <v>85050</v>
      </c>
    </row>
    <row r="2904" spans="1:6" x14ac:dyDescent="0.3">
      <c r="A2904" s="1" t="s">
        <v>8</v>
      </c>
      <c r="B2904" s="1" t="s">
        <v>43</v>
      </c>
      <c r="C2904" s="2" t="s">
        <v>7</v>
      </c>
      <c r="D2904" s="1" t="s">
        <v>1</v>
      </c>
      <c r="E2904" s="1" t="s">
        <v>48</v>
      </c>
      <c r="F2904" s="1">
        <v>60845.549999999901</v>
      </c>
    </row>
    <row r="2905" spans="1:6" x14ac:dyDescent="0.3">
      <c r="A2905" s="3" t="s">
        <v>8</v>
      </c>
      <c r="B2905" s="3" t="s">
        <v>43</v>
      </c>
      <c r="C2905" s="4" t="s">
        <v>7</v>
      </c>
      <c r="D2905" s="3" t="s">
        <v>1</v>
      </c>
      <c r="E2905" s="3" t="s">
        <v>49</v>
      </c>
      <c r="F2905" s="3">
        <v>0.28459082892416199</v>
      </c>
    </row>
    <row r="2906" spans="1:6" x14ac:dyDescent="0.3">
      <c r="A2906" s="1" t="s">
        <v>8</v>
      </c>
      <c r="B2906" s="1" t="s">
        <v>43</v>
      </c>
      <c r="C2906" s="2" t="s">
        <v>7</v>
      </c>
      <c r="D2906" s="1" t="s">
        <v>6</v>
      </c>
      <c r="E2906" s="1" t="s">
        <v>44</v>
      </c>
      <c r="F2906" s="1">
        <v>24204.45</v>
      </c>
    </row>
    <row r="2907" spans="1:6" x14ac:dyDescent="0.3">
      <c r="A2907" s="3" t="s">
        <v>8</v>
      </c>
      <c r="B2907" s="3" t="s">
        <v>43</v>
      </c>
      <c r="C2907" s="4" t="s">
        <v>7</v>
      </c>
      <c r="D2907" s="3" t="s">
        <v>6</v>
      </c>
      <c r="E2907" s="3" t="s">
        <v>45</v>
      </c>
      <c r="F2907" s="3">
        <v>85050</v>
      </c>
    </row>
    <row r="2908" spans="1:6" x14ac:dyDescent="0.3">
      <c r="A2908" s="1" t="s">
        <v>8</v>
      </c>
      <c r="B2908" s="1" t="s">
        <v>43</v>
      </c>
      <c r="C2908" s="2" t="s">
        <v>7</v>
      </c>
      <c r="D2908" s="1" t="s">
        <v>6</v>
      </c>
      <c r="E2908" s="1" t="s">
        <v>48</v>
      </c>
      <c r="F2908" s="1">
        <v>60845.549999999901</v>
      </c>
    </row>
    <row r="2909" spans="1:6" x14ac:dyDescent="0.3">
      <c r="A2909" s="3" t="s">
        <v>8</v>
      </c>
      <c r="B2909" s="3" t="s">
        <v>43</v>
      </c>
      <c r="C2909" s="4" t="s">
        <v>7</v>
      </c>
      <c r="D2909" s="3" t="s">
        <v>6</v>
      </c>
      <c r="E2909" s="3" t="s">
        <v>49</v>
      </c>
      <c r="F2909" s="3">
        <v>0.28459082892416199</v>
      </c>
    </row>
    <row r="2910" spans="1:6" x14ac:dyDescent="0.3">
      <c r="A2910" s="1" t="s">
        <v>8</v>
      </c>
      <c r="B2910" s="1" t="s">
        <v>43</v>
      </c>
      <c r="C2910" s="2" t="s">
        <v>7</v>
      </c>
      <c r="D2910" s="1" t="s">
        <v>9</v>
      </c>
      <c r="E2910" s="1" t="s">
        <v>44</v>
      </c>
      <c r="F2910" s="1">
        <v>24204.45</v>
      </c>
    </row>
    <row r="2911" spans="1:6" x14ac:dyDescent="0.3">
      <c r="A2911" s="3" t="s">
        <v>8</v>
      </c>
      <c r="B2911" s="3" t="s">
        <v>43</v>
      </c>
      <c r="C2911" s="4" t="s">
        <v>7</v>
      </c>
      <c r="D2911" s="3" t="s">
        <v>9</v>
      </c>
      <c r="E2911" s="3" t="s">
        <v>45</v>
      </c>
      <c r="F2911" s="3">
        <v>85050</v>
      </c>
    </row>
    <row r="2912" spans="1:6" x14ac:dyDescent="0.3">
      <c r="A2912" s="1" t="s">
        <v>8</v>
      </c>
      <c r="B2912" s="1" t="s">
        <v>43</v>
      </c>
      <c r="C2912" s="2" t="s">
        <v>7</v>
      </c>
      <c r="D2912" s="1" t="s">
        <v>9</v>
      </c>
      <c r="E2912" s="1" t="s">
        <v>48</v>
      </c>
      <c r="F2912" s="1">
        <v>60845.549999999901</v>
      </c>
    </row>
    <row r="2913" spans="1:6" x14ac:dyDescent="0.3">
      <c r="A2913" s="3" t="s">
        <v>8</v>
      </c>
      <c r="B2913" s="3" t="s">
        <v>43</v>
      </c>
      <c r="C2913" s="4" t="s">
        <v>7</v>
      </c>
      <c r="D2913" s="3" t="s">
        <v>9</v>
      </c>
      <c r="E2913" s="3" t="s">
        <v>49</v>
      </c>
      <c r="F2913" s="3">
        <v>0.28459082892416199</v>
      </c>
    </row>
    <row r="2914" spans="1:6" x14ac:dyDescent="0.3">
      <c r="A2914" s="1" t="s">
        <v>8</v>
      </c>
      <c r="B2914" s="1" t="s">
        <v>43</v>
      </c>
      <c r="C2914" s="2" t="s">
        <v>7</v>
      </c>
      <c r="D2914" s="1" t="s">
        <v>11</v>
      </c>
      <c r="E2914" s="1" t="s">
        <v>44</v>
      </c>
      <c r="F2914" s="1">
        <v>24204.45</v>
      </c>
    </row>
    <row r="2915" spans="1:6" x14ac:dyDescent="0.3">
      <c r="A2915" s="3" t="s">
        <v>8</v>
      </c>
      <c r="B2915" s="3" t="s">
        <v>43</v>
      </c>
      <c r="C2915" s="4" t="s">
        <v>7</v>
      </c>
      <c r="D2915" s="3" t="s">
        <v>11</v>
      </c>
      <c r="E2915" s="3" t="s">
        <v>45</v>
      </c>
      <c r="F2915" s="3">
        <v>85050</v>
      </c>
    </row>
    <row r="2916" spans="1:6" x14ac:dyDescent="0.3">
      <c r="A2916" s="1" t="s">
        <v>8</v>
      </c>
      <c r="B2916" s="1" t="s">
        <v>43</v>
      </c>
      <c r="C2916" s="2" t="s">
        <v>7</v>
      </c>
      <c r="D2916" s="1" t="s">
        <v>11</v>
      </c>
      <c r="E2916" s="1" t="s">
        <v>48</v>
      </c>
      <c r="F2916" s="1">
        <v>60845.549999999901</v>
      </c>
    </row>
    <row r="2917" spans="1:6" x14ac:dyDescent="0.3">
      <c r="A2917" s="3" t="s">
        <v>8</v>
      </c>
      <c r="B2917" s="3" t="s">
        <v>43</v>
      </c>
      <c r="C2917" s="4" t="s">
        <v>7</v>
      </c>
      <c r="D2917" s="3" t="s">
        <v>11</v>
      </c>
      <c r="E2917" s="3" t="s">
        <v>49</v>
      </c>
      <c r="F2917" s="3">
        <v>0.28459082892416199</v>
      </c>
    </row>
    <row r="2918" spans="1:6" x14ac:dyDescent="0.3">
      <c r="A2918" s="1" t="s">
        <v>8</v>
      </c>
      <c r="B2918" s="1" t="s">
        <v>43</v>
      </c>
      <c r="C2918" s="2" t="s">
        <v>7</v>
      </c>
      <c r="D2918" s="1" t="s">
        <v>1</v>
      </c>
      <c r="E2918" s="1" t="s">
        <v>44</v>
      </c>
      <c r="F2918" s="1">
        <v>72292.799999999901</v>
      </c>
    </row>
    <row r="2919" spans="1:6" x14ac:dyDescent="0.3">
      <c r="A2919" s="3" t="s">
        <v>8</v>
      </c>
      <c r="B2919" s="3" t="s">
        <v>43</v>
      </c>
      <c r="C2919" s="4" t="s">
        <v>7</v>
      </c>
      <c r="D2919" s="3" t="s">
        <v>1</v>
      </c>
      <c r="E2919" s="3" t="s">
        <v>45</v>
      </c>
      <c r="F2919" s="3">
        <v>72292.799999999901</v>
      </c>
    </row>
    <row r="2920" spans="1:6" x14ac:dyDescent="0.3">
      <c r="A2920" s="1" t="s">
        <v>8</v>
      </c>
      <c r="B2920" s="1" t="s">
        <v>43</v>
      </c>
      <c r="C2920" s="2" t="s">
        <v>7</v>
      </c>
      <c r="D2920" s="1" t="s">
        <v>1</v>
      </c>
      <c r="E2920" s="1" t="s">
        <v>49</v>
      </c>
      <c r="F2920" s="1">
        <v>1</v>
      </c>
    </row>
    <row r="2921" spans="1:6" x14ac:dyDescent="0.3">
      <c r="A2921" s="3" t="s">
        <v>8</v>
      </c>
      <c r="B2921" s="3" t="s">
        <v>43</v>
      </c>
      <c r="C2921" s="4" t="s">
        <v>7</v>
      </c>
      <c r="D2921" s="3" t="s">
        <v>6</v>
      </c>
      <c r="E2921" s="3" t="s">
        <v>44</v>
      </c>
      <c r="F2921" s="3">
        <v>72292.799999999901</v>
      </c>
    </row>
    <row r="2922" spans="1:6" x14ac:dyDescent="0.3">
      <c r="A2922" s="1" t="s">
        <v>8</v>
      </c>
      <c r="B2922" s="1" t="s">
        <v>43</v>
      </c>
      <c r="C2922" s="2" t="s">
        <v>7</v>
      </c>
      <c r="D2922" s="1" t="s">
        <v>6</v>
      </c>
      <c r="E2922" s="1" t="s">
        <v>45</v>
      </c>
      <c r="F2922" s="1">
        <v>72292.799999999901</v>
      </c>
    </row>
    <row r="2923" spans="1:6" x14ac:dyDescent="0.3">
      <c r="A2923" s="3" t="s">
        <v>8</v>
      </c>
      <c r="B2923" s="3" t="s">
        <v>43</v>
      </c>
      <c r="C2923" s="4" t="s">
        <v>7</v>
      </c>
      <c r="D2923" s="3" t="s">
        <v>6</v>
      </c>
      <c r="E2923" s="3" t="s">
        <v>49</v>
      </c>
      <c r="F2923" s="3">
        <v>1</v>
      </c>
    </row>
    <row r="2924" spans="1:6" x14ac:dyDescent="0.3">
      <c r="A2924" s="1" t="s">
        <v>8</v>
      </c>
      <c r="B2924" s="1" t="s">
        <v>43</v>
      </c>
      <c r="C2924" s="2" t="s">
        <v>7</v>
      </c>
      <c r="D2924" s="1" t="s">
        <v>9</v>
      </c>
      <c r="E2924" s="1" t="s">
        <v>44</v>
      </c>
      <c r="F2924" s="1">
        <v>72292.799999999901</v>
      </c>
    </row>
    <row r="2925" spans="1:6" x14ac:dyDescent="0.3">
      <c r="A2925" s="3" t="s">
        <v>8</v>
      </c>
      <c r="B2925" s="3" t="s">
        <v>43</v>
      </c>
      <c r="C2925" s="4" t="s">
        <v>7</v>
      </c>
      <c r="D2925" s="3" t="s">
        <v>9</v>
      </c>
      <c r="E2925" s="3" t="s">
        <v>45</v>
      </c>
      <c r="F2925" s="3">
        <v>72292.799999999901</v>
      </c>
    </row>
    <row r="2926" spans="1:6" x14ac:dyDescent="0.3">
      <c r="A2926" s="1" t="s">
        <v>8</v>
      </c>
      <c r="B2926" s="1" t="s">
        <v>43</v>
      </c>
      <c r="C2926" s="2" t="s">
        <v>7</v>
      </c>
      <c r="D2926" s="1" t="s">
        <v>9</v>
      </c>
      <c r="E2926" s="1" t="s">
        <v>49</v>
      </c>
      <c r="F2926" s="1">
        <v>1</v>
      </c>
    </row>
    <row r="2927" spans="1:6" x14ac:dyDescent="0.3">
      <c r="A2927" s="3" t="s">
        <v>8</v>
      </c>
      <c r="B2927" s="3" t="s">
        <v>43</v>
      </c>
      <c r="C2927" s="4" t="s">
        <v>7</v>
      </c>
      <c r="D2927" s="3" t="s">
        <v>11</v>
      </c>
      <c r="E2927" s="3" t="s">
        <v>44</v>
      </c>
      <c r="F2927" s="3">
        <v>72292.799999999901</v>
      </c>
    </row>
    <row r="2928" spans="1:6" x14ac:dyDescent="0.3">
      <c r="A2928" s="1" t="s">
        <v>8</v>
      </c>
      <c r="B2928" s="1" t="s">
        <v>43</v>
      </c>
      <c r="C2928" s="2" t="s">
        <v>7</v>
      </c>
      <c r="D2928" s="1" t="s">
        <v>11</v>
      </c>
      <c r="E2928" s="1" t="s">
        <v>45</v>
      </c>
      <c r="F2928" s="1">
        <v>72292.799999999901</v>
      </c>
    </row>
    <row r="2929" spans="1:6" x14ac:dyDescent="0.3">
      <c r="A2929" s="3" t="s">
        <v>8</v>
      </c>
      <c r="B2929" s="3" t="s">
        <v>43</v>
      </c>
      <c r="C2929" s="4" t="s">
        <v>7</v>
      </c>
      <c r="D2929" s="3" t="s">
        <v>11</v>
      </c>
      <c r="E2929" s="3" t="s">
        <v>49</v>
      </c>
      <c r="F2929" s="3">
        <v>1</v>
      </c>
    </row>
    <row r="2930" spans="1:6" x14ac:dyDescent="0.3">
      <c r="A2930" s="1" t="s">
        <v>8</v>
      </c>
      <c r="B2930" s="1" t="s">
        <v>43</v>
      </c>
      <c r="C2930" s="2" t="s">
        <v>7</v>
      </c>
      <c r="D2930" s="1" t="s">
        <v>1</v>
      </c>
      <c r="E2930" s="1" t="s">
        <v>44</v>
      </c>
      <c r="F2930" s="1">
        <v>-22572.75</v>
      </c>
    </row>
    <row r="2931" spans="1:6" x14ac:dyDescent="0.3">
      <c r="A2931" s="3" t="s">
        <v>8</v>
      </c>
      <c r="B2931" s="3" t="s">
        <v>43</v>
      </c>
      <c r="C2931" s="4" t="s">
        <v>7</v>
      </c>
      <c r="D2931" s="3" t="s">
        <v>1</v>
      </c>
      <c r="E2931" s="3" t="s">
        <v>45</v>
      </c>
      <c r="F2931" s="3">
        <v>38272.799999999901</v>
      </c>
    </row>
    <row r="2932" spans="1:6" x14ac:dyDescent="0.3">
      <c r="A2932" s="1" t="s">
        <v>8</v>
      </c>
      <c r="B2932" s="1" t="s">
        <v>43</v>
      </c>
      <c r="C2932" s="2" t="s">
        <v>7</v>
      </c>
      <c r="D2932" s="1" t="s">
        <v>1</v>
      </c>
      <c r="E2932" s="1" t="s">
        <v>48</v>
      </c>
      <c r="F2932" s="1">
        <v>60845.549999999901</v>
      </c>
    </row>
    <row r="2933" spans="1:6" x14ac:dyDescent="0.3">
      <c r="A2933" s="3" t="s">
        <v>8</v>
      </c>
      <c r="B2933" s="3" t="s">
        <v>43</v>
      </c>
      <c r="C2933" s="4" t="s">
        <v>7</v>
      </c>
      <c r="D2933" s="3" t="s">
        <v>1</v>
      </c>
      <c r="E2933" s="3" t="s">
        <v>49</v>
      </c>
      <c r="F2933" s="3">
        <v>-0.58978569636922296</v>
      </c>
    </row>
    <row r="2934" spans="1:6" x14ac:dyDescent="0.3">
      <c r="A2934" s="1" t="s">
        <v>8</v>
      </c>
      <c r="B2934" s="1" t="s">
        <v>43</v>
      </c>
      <c r="C2934" s="2" t="s">
        <v>7</v>
      </c>
      <c r="D2934" s="1" t="s">
        <v>6</v>
      </c>
      <c r="E2934" s="1" t="s">
        <v>44</v>
      </c>
      <c r="F2934" s="1">
        <v>-3436.95</v>
      </c>
    </row>
    <row r="2935" spans="1:6" x14ac:dyDescent="0.3">
      <c r="A2935" s="3" t="s">
        <v>8</v>
      </c>
      <c r="B2935" s="3" t="s">
        <v>43</v>
      </c>
      <c r="C2935" s="4" t="s">
        <v>7</v>
      </c>
      <c r="D2935" s="3" t="s">
        <v>6</v>
      </c>
      <c r="E2935" s="3" t="s">
        <v>45</v>
      </c>
      <c r="F2935" s="3">
        <v>57408.599999999897</v>
      </c>
    </row>
    <row r="2936" spans="1:6" x14ac:dyDescent="0.3">
      <c r="A2936" s="1" t="s">
        <v>8</v>
      </c>
      <c r="B2936" s="1" t="s">
        <v>43</v>
      </c>
      <c r="C2936" s="2" t="s">
        <v>7</v>
      </c>
      <c r="D2936" s="1" t="s">
        <v>6</v>
      </c>
      <c r="E2936" s="1" t="s">
        <v>48</v>
      </c>
      <c r="F2936" s="1">
        <v>60845.549999999901</v>
      </c>
    </row>
    <row r="2937" spans="1:6" x14ac:dyDescent="0.3">
      <c r="A2937" s="3" t="s">
        <v>8</v>
      </c>
      <c r="B2937" s="3" t="s">
        <v>43</v>
      </c>
      <c r="C2937" s="4" t="s">
        <v>7</v>
      </c>
      <c r="D2937" s="3" t="s">
        <v>6</v>
      </c>
      <c r="E2937" s="3" t="s">
        <v>49</v>
      </c>
      <c r="F2937" s="3">
        <v>-5.9868207899164999E-2</v>
      </c>
    </row>
    <row r="2938" spans="1:6" x14ac:dyDescent="0.3">
      <c r="A2938" s="1" t="s">
        <v>8</v>
      </c>
      <c r="B2938" s="1" t="s">
        <v>43</v>
      </c>
      <c r="C2938" s="2" t="s">
        <v>7</v>
      </c>
      <c r="D2938" s="1" t="s">
        <v>9</v>
      </c>
      <c r="E2938" s="1" t="s">
        <v>44</v>
      </c>
      <c r="F2938" s="1">
        <v>15699.45</v>
      </c>
    </row>
    <row r="2939" spans="1:6" x14ac:dyDescent="0.3">
      <c r="A2939" s="3" t="s">
        <v>8</v>
      </c>
      <c r="B2939" s="3" t="s">
        <v>43</v>
      </c>
      <c r="C2939" s="4" t="s">
        <v>7</v>
      </c>
      <c r="D2939" s="3" t="s">
        <v>9</v>
      </c>
      <c r="E2939" s="3" t="s">
        <v>45</v>
      </c>
      <c r="F2939" s="3">
        <v>76545</v>
      </c>
    </row>
    <row r="2940" spans="1:6" x14ac:dyDescent="0.3">
      <c r="A2940" s="1" t="s">
        <v>8</v>
      </c>
      <c r="B2940" s="1" t="s">
        <v>43</v>
      </c>
      <c r="C2940" s="2" t="s">
        <v>7</v>
      </c>
      <c r="D2940" s="1" t="s">
        <v>9</v>
      </c>
      <c r="E2940" s="1" t="s">
        <v>48</v>
      </c>
      <c r="F2940" s="1">
        <v>60845.549999999901</v>
      </c>
    </row>
    <row r="2941" spans="1:6" x14ac:dyDescent="0.3">
      <c r="A2941" s="3" t="s">
        <v>8</v>
      </c>
      <c r="B2941" s="3" t="s">
        <v>43</v>
      </c>
      <c r="C2941" s="4" t="s">
        <v>7</v>
      </c>
      <c r="D2941" s="3" t="s">
        <v>9</v>
      </c>
      <c r="E2941" s="3" t="s">
        <v>49</v>
      </c>
      <c r="F2941" s="3">
        <v>0.20510092102684699</v>
      </c>
    </row>
    <row r="2942" spans="1:6" x14ac:dyDescent="0.3">
      <c r="A2942" s="1" t="s">
        <v>8</v>
      </c>
      <c r="B2942" s="1" t="s">
        <v>43</v>
      </c>
      <c r="C2942" s="2" t="s">
        <v>7</v>
      </c>
      <c r="D2942" s="1" t="s">
        <v>11</v>
      </c>
      <c r="E2942" s="1" t="s">
        <v>44</v>
      </c>
      <c r="F2942" s="1">
        <v>34835.849999999897</v>
      </c>
    </row>
    <row r="2943" spans="1:6" x14ac:dyDescent="0.3">
      <c r="A2943" s="3" t="s">
        <v>8</v>
      </c>
      <c r="B2943" s="3" t="s">
        <v>43</v>
      </c>
      <c r="C2943" s="4" t="s">
        <v>7</v>
      </c>
      <c r="D2943" s="3" t="s">
        <v>11</v>
      </c>
      <c r="E2943" s="3" t="s">
        <v>45</v>
      </c>
      <c r="F2943" s="3">
        <v>95681.399999999907</v>
      </c>
    </row>
    <row r="2944" spans="1:6" x14ac:dyDescent="0.3">
      <c r="A2944" s="1" t="s">
        <v>8</v>
      </c>
      <c r="B2944" s="1" t="s">
        <v>43</v>
      </c>
      <c r="C2944" s="2" t="s">
        <v>7</v>
      </c>
      <c r="D2944" s="1" t="s">
        <v>11</v>
      </c>
      <c r="E2944" s="1" t="s">
        <v>48</v>
      </c>
      <c r="F2944" s="1">
        <v>60845.549999999901</v>
      </c>
    </row>
    <row r="2945" spans="1:6" x14ac:dyDescent="0.3">
      <c r="A2945" s="3" t="s">
        <v>8</v>
      </c>
      <c r="B2945" s="3" t="s">
        <v>43</v>
      </c>
      <c r="C2945" s="4" t="s">
        <v>7</v>
      </c>
      <c r="D2945" s="3" t="s">
        <v>11</v>
      </c>
      <c r="E2945" s="3" t="s">
        <v>49</v>
      </c>
      <c r="F2945" s="3">
        <v>0.36408173375389502</v>
      </c>
    </row>
    <row r="2946" spans="1:6" x14ac:dyDescent="0.3">
      <c r="A2946" s="1" t="s">
        <v>8</v>
      </c>
      <c r="B2946" s="1" t="s">
        <v>50</v>
      </c>
      <c r="C2946" s="2" t="s">
        <v>7</v>
      </c>
      <c r="D2946" s="1" t="s">
        <v>1</v>
      </c>
      <c r="E2946" s="1" t="s">
        <v>44</v>
      </c>
      <c r="F2946" s="1">
        <v>23467000</v>
      </c>
    </row>
    <row r="2947" spans="1:6" x14ac:dyDescent="0.3">
      <c r="A2947" s="3" t="s">
        <v>8</v>
      </c>
      <c r="B2947" s="3" t="s">
        <v>50</v>
      </c>
      <c r="C2947" s="4" t="s">
        <v>7</v>
      </c>
      <c r="D2947" s="3" t="s">
        <v>1</v>
      </c>
      <c r="E2947" s="3" t="s">
        <v>45</v>
      </c>
      <c r="F2947" s="3">
        <v>23467000</v>
      </c>
    </row>
    <row r="2948" spans="1:6" x14ac:dyDescent="0.3">
      <c r="A2948" s="1" t="s">
        <v>8</v>
      </c>
      <c r="B2948" s="1" t="s">
        <v>50</v>
      </c>
      <c r="C2948" s="2" t="s">
        <v>7</v>
      </c>
      <c r="D2948" s="1" t="s">
        <v>1</v>
      </c>
      <c r="E2948" s="1" t="s">
        <v>49</v>
      </c>
      <c r="F2948" s="1">
        <v>1</v>
      </c>
    </row>
    <row r="2949" spans="1:6" x14ac:dyDescent="0.3">
      <c r="A2949" s="3" t="s">
        <v>8</v>
      </c>
      <c r="B2949" s="3" t="s">
        <v>50</v>
      </c>
      <c r="C2949" s="4" t="s">
        <v>7</v>
      </c>
      <c r="D2949" s="3" t="s">
        <v>6</v>
      </c>
      <c r="E2949" s="3" t="s">
        <v>44</v>
      </c>
      <c r="F2949" s="3">
        <v>875000</v>
      </c>
    </row>
    <row r="2950" spans="1:6" x14ac:dyDescent="0.3">
      <c r="A2950" s="1" t="s">
        <v>8</v>
      </c>
      <c r="B2950" s="1" t="s">
        <v>50</v>
      </c>
      <c r="C2950" s="2" t="s">
        <v>7</v>
      </c>
      <c r="D2950" s="1" t="s">
        <v>6</v>
      </c>
      <c r="E2950" s="1" t="s">
        <v>45</v>
      </c>
      <c r="F2950" s="1">
        <v>875000</v>
      </c>
    </row>
    <row r="2951" spans="1:6" x14ac:dyDescent="0.3">
      <c r="A2951" s="3" t="s">
        <v>8</v>
      </c>
      <c r="B2951" s="3" t="s">
        <v>50</v>
      </c>
      <c r="C2951" s="4" t="s">
        <v>7</v>
      </c>
      <c r="D2951" s="3" t="s">
        <v>6</v>
      </c>
      <c r="E2951" s="3" t="s">
        <v>49</v>
      </c>
      <c r="F2951" s="3">
        <v>1</v>
      </c>
    </row>
    <row r="2952" spans="1:6" x14ac:dyDescent="0.3">
      <c r="A2952" s="1" t="s">
        <v>8</v>
      </c>
      <c r="B2952" s="1" t="s">
        <v>50</v>
      </c>
      <c r="C2952" s="2" t="s">
        <v>7</v>
      </c>
      <c r="D2952" s="1" t="s">
        <v>9</v>
      </c>
      <c r="E2952" s="1" t="s">
        <v>44</v>
      </c>
      <c r="F2952" s="1">
        <v>875000</v>
      </c>
    </row>
    <row r="2953" spans="1:6" x14ac:dyDescent="0.3">
      <c r="A2953" s="3" t="s">
        <v>8</v>
      </c>
      <c r="B2953" s="3" t="s">
        <v>50</v>
      </c>
      <c r="C2953" s="4" t="s">
        <v>7</v>
      </c>
      <c r="D2953" s="3" t="s">
        <v>9</v>
      </c>
      <c r="E2953" s="3" t="s">
        <v>45</v>
      </c>
      <c r="F2953" s="3">
        <v>875000</v>
      </c>
    </row>
    <row r="2954" spans="1:6" x14ac:dyDescent="0.3">
      <c r="A2954" s="1" t="s">
        <v>8</v>
      </c>
      <c r="B2954" s="1" t="s">
        <v>50</v>
      </c>
      <c r="C2954" s="2" t="s">
        <v>7</v>
      </c>
      <c r="D2954" s="1" t="s">
        <v>9</v>
      </c>
      <c r="E2954" s="1" t="s">
        <v>49</v>
      </c>
      <c r="F2954" s="1">
        <v>1</v>
      </c>
    </row>
    <row r="2955" spans="1:6" x14ac:dyDescent="0.3">
      <c r="A2955" s="3" t="s">
        <v>8</v>
      </c>
      <c r="B2955" s="3" t="s">
        <v>50</v>
      </c>
      <c r="C2955" s="4" t="s">
        <v>7</v>
      </c>
      <c r="D2955" s="3" t="s">
        <v>11</v>
      </c>
      <c r="E2955" s="3" t="s">
        <v>44</v>
      </c>
      <c r="F2955" s="3">
        <v>875000</v>
      </c>
    </row>
    <row r="2956" spans="1:6" x14ac:dyDescent="0.3">
      <c r="A2956" s="1" t="s">
        <v>8</v>
      </c>
      <c r="B2956" s="1" t="s">
        <v>50</v>
      </c>
      <c r="C2956" s="2" t="s">
        <v>7</v>
      </c>
      <c r="D2956" s="1" t="s">
        <v>11</v>
      </c>
      <c r="E2956" s="1" t="s">
        <v>45</v>
      </c>
      <c r="F2956" s="1">
        <v>875000</v>
      </c>
    </row>
    <row r="2957" spans="1:6" x14ac:dyDescent="0.3">
      <c r="A2957" s="3" t="s">
        <v>8</v>
      </c>
      <c r="B2957" s="3" t="s">
        <v>50</v>
      </c>
      <c r="C2957" s="4" t="s">
        <v>7</v>
      </c>
      <c r="D2957" s="3" t="s">
        <v>11</v>
      </c>
      <c r="E2957" s="3" t="s">
        <v>49</v>
      </c>
      <c r="F2957" s="3">
        <v>1</v>
      </c>
    </row>
    <row r="2958" spans="1:6" x14ac:dyDescent="0.3">
      <c r="A2958" s="1" t="s">
        <v>8</v>
      </c>
      <c r="B2958" s="1" t="s">
        <v>50</v>
      </c>
      <c r="C2958" s="2" t="s">
        <v>7</v>
      </c>
      <c r="D2958" s="1" t="s">
        <v>1</v>
      </c>
      <c r="E2958" s="1" t="s">
        <v>44</v>
      </c>
      <c r="F2958" s="1">
        <v>-95602.2</v>
      </c>
    </row>
    <row r="2959" spans="1:6" x14ac:dyDescent="0.3">
      <c r="A2959" s="3" t="s">
        <v>8</v>
      </c>
      <c r="B2959" s="3" t="s">
        <v>50</v>
      </c>
      <c r="C2959" s="4" t="s">
        <v>7</v>
      </c>
      <c r="D2959" s="3" t="s">
        <v>1</v>
      </c>
      <c r="E2959" s="3" t="s">
        <v>45</v>
      </c>
      <c r="F2959" s="3">
        <v>38272.799999999901</v>
      </c>
    </row>
    <row r="2960" spans="1:6" x14ac:dyDescent="0.3">
      <c r="A2960" s="1" t="s">
        <v>8</v>
      </c>
      <c r="B2960" s="1" t="s">
        <v>50</v>
      </c>
      <c r="C2960" s="2" t="s">
        <v>7</v>
      </c>
      <c r="D2960" s="1" t="s">
        <v>1</v>
      </c>
      <c r="E2960" s="1" t="s">
        <v>48</v>
      </c>
      <c r="F2960" s="1">
        <v>133875</v>
      </c>
    </row>
    <row r="2961" spans="1:6" x14ac:dyDescent="0.3">
      <c r="A2961" s="3" t="s">
        <v>8</v>
      </c>
      <c r="B2961" s="3" t="s">
        <v>50</v>
      </c>
      <c r="C2961" s="4" t="s">
        <v>7</v>
      </c>
      <c r="D2961" s="3" t="s">
        <v>1</v>
      </c>
      <c r="E2961" s="3" t="s">
        <v>49</v>
      </c>
      <c r="F2961" s="3">
        <v>-2.4979149683326001</v>
      </c>
    </row>
    <row r="2962" spans="1:6" x14ac:dyDescent="0.3">
      <c r="A2962" s="1" t="s">
        <v>8</v>
      </c>
      <c r="B2962" s="1" t="s">
        <v>50</v>
      </c>
      <c r="C2962" s="2" t="s">
        <v>7</v>
      </c>
      <c r="D2962" s="1" t="s">
        <v>6</v>
      </c>
      <c r="E2962" s="1" t="s">
        <v>44</v>
      </c>
      <c r="F2962" s="1">
        <v>-95602.2</v>
      </c>
    </row>
    <row r="2963" spans="1:6" x14ac:dyDescent="0.3">
      <c r="A2963" s="3" t="s">
        <v>8</v>
      </c>
      <c r="B2963" s="3" t="s">
        <v>50</v>
      </c>
      <c r="C2963" s="4" t="s">
        <v>7</v>
      </c>
      <c r="D2963" s="3" t="s">
        <v>6</v>
      </c>
      <c r="E2963" s="3" t="s">
        <v>45</v>
      </c>
      <c r="F2963" s="3">
        <v>38272.799999999901</v>
      </c>
    </row>
    <row r="2964" spans="1:6" x14ac:dyDescent="0.3">
      <c r="A2964" s="1" t="s">
        <v>8</v>
      </c>
      <c r="B2964" s="1" t="s">
        <v>50</v>
      </c>
      <c r="C2964" s="2" t="s">
        <v>7</v>
      </c>
      <c r="D2964" s="1" t="s">
        <v>6</v>
      </c>
      <c r="E2964" s="1" t="s">
        <v>48</v>
      </c>
      <c r="F2964" s="1">
        <v>133875</v>
      </c>
    </row>
    <row r="2965" spans="1:6" x14ac:dyDescent="0.3">
      <c r="A2965" s="3" t="s">
        <v>8</v>
      </c>
      <c r="B2965" s="3" t="s">
        <v>50</v>
      </c>
      <c r="C2965" s="4" t="s">
        <v>7</v>
      </c>
      <c r="D2965" s="3" t="s">
        <v>6</v>
      </c>
      <c r="E2965" s="3" t="s">
        <v>49</v>
      </c>
      <c r="F2965" s="3">
        <v>-2.4979149683326001</v>
      </c>
    </row>
    <row r="2966" spans="1:6" x14ac:dyDescent="0.3">
      <c r="A2966" s="1" t="s">
        <v>8</v>
      </c>
      <c r="B2966" s="1" t="s">
        <v>50</v>
      </c>
      <c r="C2966" s="2" t="s">
        <v>7</v>
      </c>
      <c r="D2966" s="1" t="s">
        <v>9</v>
      </c>
      <c r="E2966" s="1" t="s">
        <v>44</v>
      </c>
      <c r="F2966" s="1">
        <v>-95602.2</v>
      </c>
    </row>
    <row r="2967" spans="1:6" x14ac:dyDescent="0.3">
      <c r="A2967" s="3" t="s">
        <v>8</v>
      </c>
      <c r="B2967" s="3" t="s">
        <v>50</v>
      </c>
      <c r="C2967" s="4" t="s">
        <v>7</v>
      </c>
      <c r="D2967" s="3" t="s">
        <v>9</v>
      </c>
      <c r="E2967" s="3" t="s">
        <v>45</v>
      </c>
      <c r="F2967" s="3">
        <v>38272.799999999901</v>
      </c>
    </row>
    <row r="2968" spans="1:6" x14ac:dyDescent="0.3">
      <c r="A2968" s="1" t="s">
        <v>8</v>
      </c>
      <c r="B2968" s="1" t="s">
        <v>50</v>
      </c>
      <c r="C2968" s="2" t="s">
        <v>7</v>
      </c>
      <c r="D2968" s="1" t="s">
        <v>9</v>
      </c>
      <c r="E2968" s="1" t="s">
        <v>48</v>
      </c>
      <c r="F2968" s="1">
        <v>133875</v>
      </c>
    </row>
    <row r="2969" spans="1:6" x14ac:dyDescent="0.3">
      <c r="A2969" s="3" t="s">
        <v>8</v>
      </c>
      <c r="B2969" s="3" t="s">
        <v>50</v>
      </c>
      <c r="C2969" s="4" t="s">
        <v>7</v>
      </c>
      <c r="D2969" s="3" t="s">
        <v>9</v>
      </c>
      <c r="E2969" s="3" t="s">
        <v>49</v>
      </c>
      <c r="F2969" s="3">
        <v>-2.4979149683326001</v>
      </c>
    </row>
    <row r="2970" spans="1:6" x14ac:dyDescent="0.3">
      <c r="A2970" s="1" t="s">
        <v>8</v>
      </c>
      <c r="B2970" s="1" t="s">
        <v>50</v>
      </c>
      <c r="C2970" s="2" t="s">
        <v>7</v>
      </c>
      <c r="D2970" s="1" t="s">
        <v>11</v>
      </c>
      <c r="E2970" s="1" t="s">
        <v>44</v>
      </c>
      <c r="F2970" s="1">
        <v>-95602.2</v>
      </c>
    </row>
    <row r="2971" spans="1:6" x14ac:dyDescent="0.3">
      <c r="A2971" s="3" t="s">
        <v>8</v>
      </c>
      <c r="B2971" s="3" t="s">
        <v>50</v>
      </c>
      <c r="C2971" s="4" t="s">
        <v>7</v>
      </c>
      <c r="D2971" s="3" t="s">
        <v>11</v>
      </c>
      <c r="E2971" s="3" t="s">
        <v>45</v>
      </c>
      <c r="F2971" s="3">
        <v>38272.799999999901</v>
      </c>
    </row>
    <row r="2972" spans="1:6" x14ac:dyDescent="0.3">
      <c r="A2972" s="1" t="s">
        <v>8</v>
      </c>
      <c r="B2972" s="1" t="s">
        <v>50</v>
      </c>
      <c r="C2972" s="2" t="s">
        <v>7</v>
      </c>
      <c r="D2972" s="1" t="s">
        <v>11</v>
      </c>
      <c r="E2972" s="1" t="s">
        <v>48</v>
      </c>
      <c r="F2972" s="1">
        <v>133875</v>
      </c>
    </row>
    <row r="2973" spans="1:6" x14ac:dyDescent="0.3">
      <c r="A2973" s="3" t="s">
        <v>8</v>
      </c>
      <c r="B2973" s="3" t="s">
        <v>50</v>
      </c>
      <c r="C2973" s="4" t="s">
        <v>7</v>
      </c>
      <c r="D2973" s="3" t="s">
        <v>11</v>
      </c>
      <c r="E2973" s="3" t="s">
        <v>49</v>
      </c>
      <c r="F2973" s="3">
        <v>-2.4979149683326001</v>
      </c>
    </row>
    <row r="2974" spans="1:6" x14ac:dyDescent="0.3">
      <c r="A2974" s="1" t="s">
        <v>8</v>
      </c>
      <c r="B2974" s="1" t="s">
        <v>50</v>
      </c>
      <c r="C2974" s="2" t="s">
        <v>7</v>
      </c>
      <c r="D2974" s="1" t="s">
        <v>1</v>
      </c>
      <c r="E2974" s="1" t="s">
        <v>44</v>
      </c>
      <c r="F2974" s="1">
        <v>-1010951.79999999</v>
      </c>
    </row>
    <row r="2975" spans="1:6" x14ac:dyDescent="0.3">
      <c r="A2975" s="3" t="s">
        <v>8</v>
      </c>
      <c r="B2975" s="3" t="s">
        <v>50</v>
      </c>
      <c r="C2975" s="4" t="s">
        <v>7</v>
      </c>
      <c r="D2975" s="3" t="s">
        <v>1</v>
      </c>
      <c r="E2975" s="3" t="s">
        <v>45</v>
      </c>
      <c r="F2975" s="3">
        <v>32532</v>
      </c>
    </row>
    <row r="2976" spans="1:6" x14ac:dyDescent="0.3">
      <c r="A2976" s="1" t="s">
        <v>8</v>
      </c>
      <c r="B2976" s="1" t="s">
        <v>50</v>
      </c>
      <c r="C2976" s="2" t="s">
        <v>7</v>
      </c>
      <c r="D2976" s="1" t="s">
        <v>1</v>
      </c>
      <c r="E2976" s="1" t="s">
        <v>48</v>
      </c>
      <c r="F2976" s="1">
        <v>1043483.79999999</v>
      </c>
    </row>
    <row r="2977" spans="1:6" x14ac:dyDescent="0.3">
      <c r="A2977" s="3" t="s">
        <v>8</v>
      </c>
      <c r="B2977" s="3" t="s">
        <v>50</v>
      </c>
      <c r="C2977" s="4" t="s">
        <v>7</v>
      </c>
      <c r="D2977" s="3" t="s">
        <v>1</v>
      </c>
      <c r="E2977" s="3" t="s">
        <v>49</v>
      </c>
      <c r="F2977" s="3">
        <v>-31.075611705397701</v>
      </c>
    </row>
    <row r="2978" spans="1:6" x14ac:dyDescent="0.3">
      <c r="A2978" s="1" t="s">
        <v>8</v>
      </c>
      <c r="B2978" s="1" t="s">
        <v>50</v>
      </c>
      <c r="C2978" s="2" t="s">
        <v>7</v>
      </c>
      <c r="D2978" s="1" t="s">
        <v>6</v>
      </c>
      <c r="E2978" s="1" t="s">
        <v>44</v>
      </c>
      <c r="F2978" s="1">
        <v>-1133107.2</v>
      </c>
    </row>
    <row r="2979" spans="1:6" x14ac:dyDescent="0.3">
      <c r="A2979" s="3" t="s">
        <v>8</v>
      </c>
      <c r="B2979" s="3" t="s">
        <v>50</v>
      </c>
      <c r="C2979" s="4" t="s">
        <v>7</v>
      </c>
      <c r="D2979" s="3" t="s">
        <v>6</v>
      </c>
      <c r="E2979" s="3" t="s">
        <v>45</v>
      </c>
      <c r="F2979" s="3">
        <v>48797.3999999999</v>
      </c>
    </row>
    <row r="2980" spans="1:6" x14ac:dyDescent="0.3">
      <c r="A2980" s="1" t="s">
        <v>8</v>
      </c>
      <c r="B2980" s="1" t="s">
        <v>50</v>
      </c>
      <c r="C2980" s="2" t="s">
        <v>7</v>
      </c>
      <c r="D2980" s="1" t="s">
        <v>6</v>
      </c>
      <c r="E2980" s="1" t="s">
        <v>48</v>
      </c>
      <c r="F2980" s="1">
        <v>1181904.6000000001</v>
      </c>
    </row>
    <row r="2981" spans="1:6" x14ac:dyDescent="0.3">
      <c r="A2981" s="3" t="s">
        <v>8</v>
      </c>
      <c r="B2981" s="3" t="s">
        <v>50</v>
      </c>
      <c r="C2981" s="4" t="s">
        <v>7</v>
      </c>
      <c r="D2981" s="3" t="s">
        <v>6</v>
      </c>
      <c r="E2981" s="3" t="s">
        <v>49</v>
      </c>
      <c r="F2981" s="3">
        <v>-23.220647001684501</v>
      </c>
    </row>
    <row r="2982" spans="1:6" x14ac:dyDescent="0.3">
      <c r="A2982" s="1" t="s">
        <v>8</v>
      </c>
      <c r="B2982" s="1" t="s">
        <v>50</v>
      </c>
      <c r="C2982" s="2" t="s">
        <v>7</v>
      </c>
      <c r="D2982" s="1" t="s">
        <v>9</v>
      </c>
      <c r="E2982" s="1" t="s">
        <v>44</v>
      </c>
      <c r="F2982" s="1">
        <v>-1180728.8999999899</v>
      </c>
    </row>
    <row r="2983" spans="1:6" x14ac:dyDescent="0.3">
      <c r="A2983" s="3" t="s">
        <v>8</v>
      </c>
      <c r="B2983" s="3" t="s">
        <v>50</v>
      </c>
      <c r="C2983" s="4" t="s">
        <v>7</v>
      </c>
      <c r="D2983" s="3" t="s">
        <v>9</v>
      </c>
      <c r="E2983" s="3" t="s">
        <v>45</v>
      </c>
      <c r="F2983" s="3">
        <v>65063.3999999999</v>
      </c>
    </row>
    <row r="2984" spans="1:6" x14ac:dyDescent="0.3">
      <c r="A2984" s="1" t="s">
        <v>8</v>
      </c>
      <c r="B2984" s="1" t="s">
        <v>50</v>
      </c>
      <c r="C2984" s="2" t="s">
        <v>7</v>
      </c>
      <c r="D2984" s="1" t="s">
        <v>9</v>
      </c>
      <c r="E2984" s="1" t="s">
        <v>48</v>
      </c>
      <c r="F2984" s="1">
        <v>1245792.3</v>
      </c>
    </row>
    <row r="2985" spans="1:6" x14ac:dyDescent="0.3">
      <c r="A2985" s="3" t="s">
        <v>8</v>
      </c>
      <c r="B2985" s="3" t="s">
        <v>50</v>
      </c>
      <c r="C2985" s="4" t="s">
        <v>7</v>
      </c>
      <c r="D2985" s="3" t="s">
        <v>9</v>
      </c>
      <c r="E2985" s="3" t="s">
        <v>49</v>
      </c>
      <c r="F2985" s="3">
        <v>-18.1473593448851</v>
      </c>
    </row>
    <row r="2986" spans="1:6" x14ac:dyDescent="0.3">
      <c r="A2986" s="1" t="s">
        <v>8</v>
      </c>
      <c r="B2986" s="1" t="s">
        <v>50</v>
      </c>
      <c r="C2986" s="2" t="s">
        <v>7</v>
      </c>
      <c r="D2986" s="1" t="s">
        <v>11</v>
      </c>
      <c r="E2986" s="1" t="s">
        <v>44</v>
      </c>
      <c r="F2986" s="1">
        <v>-1302883.7</v>
      </c>
    </row>
    <row r="2987" spans="1:6" x14ac:dyDescent="0.3">
      <c r="A2987" s="3" t="s">
        <v>8</v>
      </c>
      <c r="B2987" s="3" t="s">
        <v>50</v>
      </c>
      <c r="C2987" s="4" t="s">
        <v>7</v>
      </c>
      <c r="D2987" s="3" t="s">
        <v>11</v>
      </c>
      <c r="E2987" s="3" t="s">
        <v>45</v>
      </c>
      <c r="F2987" s="3">
        <v>81329.399999999907</v>
      </c>
    </row>
    <row r="2988" spans="1:6" x14ac:dyDescent="0.3">
      <c r="A2988" s="1" t="s">
        <v>8</v>
      </c>
      <c r="B2988" s="1" t="s">
        <v>50</v>
      </c>
      <c r="C2988" s="2" t="s">
        <v>7</v>
      </c>
      <c r="D2988" s="1" t="s">
        <v>11</v>
      </c>
      <c r="E2988" s="1" t="s">
        <v>48</v>
      </c>
      <c r="F2988" s="1">
        <v>1384213.1</v>
      </c>
    </row>
    <row r="2989" spans="1:6" x14ac:dyDescent="0.3">
      <c r="A2989" s="3" t="s">
        <v>8</v>
      </c>
      <c r="B2989" s="3" t="s">
        <v>50</v>
      </c>
      <c r="C2989" s="4" t="s">
        <v>7</v>
      </c>
      <c r="D2989" s="3" t="s">
        <v>11</v>
      </c>
      <c r="E2989" s="3" t="s">
        <v>49</v>
      </c>
      <c r="F2989" s="3">
        <v>-16.0198366150494</v>
      </c>
    </row>
    <row r="2990" spans="1:6" x14ac:dyDescent="0.3">
      <c r="A2990" s="1" t="s">
        <v>8</v>
      </c>
      <c r="B2990" s="1" t="s">
        <v>50</v>
      </c>
      <c r="C2990" s="2" t="s">
        <v>7</v>
      </c>
      <c r="D2990" s="1" t="s">
        <v>1</v>
      </c>
      <c r="E2990" s="1" t="s">
        <v>44</v>
      </c>
      <c r="F2990" s="1">
        <v>-1422488.25</v>
      </c>
    </row>
    <row r="2991" spans="1:6" x14ac:dyDescent="0.3">
      <c r="A2991" s="3" t="s">
        <v>8</v>
      </c>
      <c r="B2991" s="3" t="s">
        <v>50</v>
      </c>
      <c r="C2991" s="4" t="s">
        <v>7</v>
      </c>
      <c r="D2991" s="3" t="s">
        <v>1</v>
      </c>
      <c r="E2991" s="3" t="s">
        <v>45</v>
      </c>
      <c r="F2991" s="3">
        <v>14964.5999999999</v>
      </c>
    </row>
    <row r="2992" spans="1:6" x14ac:dyDescent="0.3">
      <c r="A2992" s="1" t="s">
        <v>8</v>
      </c>
      <c r="B2992" s="1" t="s">
        <v>50</v>
      </c>
      <c r="C2992" s="2" t="s">
        <v>7</v>
      </c>
      <c r="D2992" s="1" t="s">
        <v>1</v>
      </c>
      <c r="E2992" s="1" t="s">
        <v>48</v>
      </c>
      <c r="F2992" s="1">
        <v>1437452.85</v>
      </c>
    </row>
    <row r="2993" spans="1:6" x14ac:dyDescent="0.3">
      <c r="A2993" s="3" t="s">
        <v>8</v>
      </c>
      <c r="B2993" s="3" t="s">
        <v>50</v>
      </c>
      <c r="C2993" s="4" t="s">
        <v>7</v>
      </c>
      <c r="D2993" s="3" t="s">
        <v>1</v>
      </c>
      <c r="E2993" s="3" t="s">
        <v>49</v>
      </c>
      <c r="F2993" s="3">
        <v>-95.056884246822506</v>
      </c>
    </row>
    <row r="2994" spans="1:6" x14ac:dyDescent="0.3">
      <c r="A2994" s="1" t="s">
        <v>8</v>
      </c>
      <c r="B2994" s="1" t="s">
        <v>50</v>
      </c>
      <c r="C2994" s="2" t="s">
        <v>7</v>
      </c>
      <c r="D2994" s="1" t="s">
        <v>6</v>
      </c>
      <c r="E2994" s="1" t="s">
        <v>44</v>
      </c>
      <c r="F2994" s="1">
        <v>-1422488.25</v>
      </c>
    </row>
    <row r="2995" spans="1:6" x14ac:dyDescent="0.3">
      <c r="A2995" s="3" t="s">
        <v>8</v>
      </c>
      <c r="B2995" s="3" t="s">
        <v>50</v>
      </c>
      <c r="C2995" s="4" t="s">
        <v>7</v>
      </c>
      <c r="D2995" s="3" t="s">
        <v>6</v>
      </c>
      <c r="E2995" s="3" t="s">
        <v>45</v>
      </c>
      <c r="F2995" s="3">
        <v>14964.5999999999</v>
      </c>
    </row>
    <row r="2996" spans="1:6" x14ac:dyDescent="0.3">
      <c r="A2996" s="1" t="s">
        <v>8</v>
      </c>
      <c r="B2996" s="1" t="s">
        <v>50</v>
      </c>
      <c r="C2996" s="2" t="s">
        <v>7</v>
      </c>
      <c r="D2996" s="1" t="s">
        <v>6</v>
      </c>
      <c r="E2996" s="1" t="s">
        <v>48</v>
      </c>
      <c r="F2996" s="1">
        <v>1437452.85</v>
      </c>
    </row>
    <row r="2997" spans="1:6" x14ac:dyDescent="0.3">
      <c r="A2997" s="3" t="s">
        <v>8</v>
      </c>
      <c r="B2997" s="3" t="s">
        <v>50</v>
      </c>
      <c r="C2997" s="4" t="s">
        <v>7</v>
      </c>
      <c r="D2997" s="3" t="s">
        <v>6</v>
      </c>
      <c r="E2997" s="3" t="s">
        <v>49</v>
      </c>
      <c r="F2997" s="3">
        <v>-95.056884246822506</v>
      </c>
    </row>
    <row r="2998" spans="1:6" x14ac:dyDescent="0.3">
      <c r="A2998" s="1" t="s">
        <v>8</v>
      </c>
      <c r="B2998" s="1" t="s">
        <v>50</v>
      </c>
      <c r="C2998" s="2" t="s">
        <v>7</v>
      </c>
      <c r="D2998" s="1" t="s">
        <v>9</v>
      </c>
      <c r="E2998" s="1" t="s">
        <v>44</v>
      </c>
      <c r="F2998" s="1">
        <v>-1412511.85</v>
      </c>
    </row>
    <row r="2999" spans="1:6" x14ac:dyDescent="0.3">
      <c r="A2999" s="3" t="s">
        <v>8</v>
      </c>
      <c r="B2999" s="3" t="s">
        <v>50</v>
      </c>
      <c r="C2999" s="4" t="s">
        <v>7</v>
      </c>
      <c r="D2999" s="3" t="s">
        <v>9</v>
      </c>
      <c r="E2999" s="3" t="s">
        <v>45</v>
      </c>
      <c r="F2999" s="3">
        <v>24940.999999999902</v>
      </c>
    </row>
    <row r="3000" spans="1:6" x14ac:dyDescent="0.3">
      <c r="A3000" s="1" t="s">
        <v>8</v>
      </c>
      <c r="B3000" s="1" t="s">
        <v>50</v>
      </c>
      <c r="C3000" s="2" t="s">
        <v>7</v>
      </c>
      <c r="D3000" s="1" t="s">
        <v>9</v>
      </c>
      <c r="E3000" s="1" t="s">
        <v>48</v>
      </c>
      <c r="F3000" s="1">
        <v>1437452.85</v>
      </c>
    </row>
    <row r="3001" spans="1:6" x14ac:dyDescent="0.3">
      <c r="A3001" s="3" t="s">
        <v>8</v>
      </c>
      <c r="B3001" s="3" t="s">
        <v>50</v>
      </c>
      <c r="C3001" s="4" t="s">
        <v>7</v>
      </c>
      <c r="D3001" s="3" t="s">
        <v>9</v>
      </c>
      <c r="E3001" s="3" t="s">
        <v>49</v>
      </c>
      <c r="F3001" s="3">
        <v>-56.634130548093502</v>
      </c>
    </row>
    <row r="3002" spans="1:6" x14ac:dyDescent="0.3">
      <c r="A3002" s="1" t="s">
        <v>8</v>
      </c>
      <c r="B3002" s="1" t="s">
        <v>50</v>
      </c>
      <c r="C3002" s="2" t="s">
        <v>7</v>
      </c>
      <c r="D3002" s="1" t="s">
        <v>11</v>
      </c>
      <c r="E3002" s="1" t="s">
        <v>44</v>
      </c>
      <c r="F3002" s="1">
        <v>-1407523.65</v>
      </c>
    </row>
    <row r="3003" spans="1:6" x14ac:dyDescent="0.3">
      <c r="A3003" s="3" t="s">
        <v>8</v>
      </c>
      <c r="B3003" s="3" t="s">
        <v>50</v>
      </c>
      <c r="C3003" s="4" t="s">
        <v>7</v>
      </c>
      <c r="D3003" s="3" t="s">
        <v>11</v>
      </c>
      <c r="E3003" s="3" t="s">
        <v>45</v>
      </c>
      <c r="F3003" s="3">
        <v>29929.199999999899</v>
      </c>
    </row>
    <row r="3004" spans="1:6" x14ac:dyDescent="0.3">
      <c r="A3004" s="1" t="s">
        <v>8</v>
      </c>
      <c r="B3004" s="1" t="s">
        <v>50</v>
      </c>
      <c r="C3004" s="2" t="s">
        <v>7</v>
      </c>
      <c r="D3004" s="1" t="s">
        <v>11</v>
      </c>
      <c r="E3004" s="1" t="s">
        <v>48</v>
      </c>
      <c r="F3004" s="1">
        <v>1437452.85</v>
      </c>
    </row>
    <row r="3005" spans="1:6" x14ac:dyDescent="0.3">
      <c r="A3005" s="3" t="s">
        <v>8</v>
      </c>
      <c r="B3005" s="3" t="s">
        <v>50</v>
      </c>
      <c r="C3005" s="4" t="s">
        <v>7</v>
      </c>
      <c r="D3005" s="3" t="s">
        <v>11</v>
      </c>
      <c r="E3005" s="3" t="s">
        <v>49</v>
      </c>
      <c r="F3005" s="3">
        <v>-47.028442123411203</v>
      </c>
    </row>
    <row r="3006" spans="1:6" x14ac:dyDescent="0.3">
      <c r="A3006" s="1" t="s">
        <v>8</v>
      </c>
      <c r="B3006" s="1" t="s">
        <v>50</v>
      </c>
      <c r="C3006" s="2" t="s">
        <v>7</v>
      </c>
      <c r="D3006" s="1" t="s">
        <v>1</v>
      </c>
      <c r="E3006" s="1" t="s">
        <v>44</v>
      </c>
      <c r="F3006" s="1">
        <v>15649.199999999901</v>
      </c>
    </row>
    <row r="3007" spans="1:6" x14ac:dyDescent="0.3">
      <c r="A3007" s="3" t="s">
        <v>8</v>
      </c>
      <c r="B3007" s="3" t="s">
        <v>50</v>
      </c>
      <c r="C3007" s="4" t="s">
        <v>7</v>
      </c>
      <c r="D3007" s="3" t="s">
        <v>1</v>
      </c>
      <c r="E3007" s="3" t="s">
        <v>45</v>
      </c>
      <c r="F3007" s="3">
        <v>15649.199999999901</v>
      </c>
    </row>
    <row r="3008" spans="1:6" x14ac:dyDescent="0.3">
      <c r="A3008" s="1" t="s">
        <v>8</v>
      </c>
      <c r="B3008" s="1" t="s">
        <v>50</v>
      </c>
      <c r="C3008" s="2" t="s">
        <v>7</v>
      </c>
      <c r="D3008" s="1" t="s">
        <v>1</v>
      </c>
      <c r="E3008" s="1" t="s">
        <v>49</v>
      </c>
      <c r="F3008" s="1">
        <v>1</v>
      </c>
    </row>
    <row r="3009" spans="1:6" x14ac:dyDescent="0.3">
      <c r="A3009" s="3" t="s">
        <v>8</v>
      </c>
      <c r="B3009" s="3" t="s">
        <v>50</v>
      </c>
      <c r="C3009" s="4" t="s">
        <v>7</v>
      </c>
      <c r="D3009" s="3" t="s">
        <v>6</v>
      </c>
      <c r="E3009" s="3" t="s">
        <v>44</v>
      </c>
      <c r="F3009" s="3">
        <v>15649.199999999901</v>
      </c>
    </row>
    <row r="3010" spans="1:6" x14ac:dyDescent="0.3">
      <c r="A3010" s="1" t="s">
        <v>8</v>
      </c>
      <c r="B3010" s="1" t="s">
        <v>50</v>
      </c>
      <c r="C3010" s="2" t="s">
        <v>7</v>
      </c>
      <c r="D3010" s="1" t="s">
        <v>6</v>
      </c>
      <c r="E3010" s="1" t="s">
        <v>45</v>
      </c>
      <c r="F3010" s="1">
        <v>15649.199999999901</v>
      </c>
    </row>
    <row r="3011" spans="1:6" x14ac:dyDescent="0.3">
      <c r="A3011" s="3" t="s">
        <v>8</v>
      </c>
      <c r="B3011" s="3" t="s">
        <v>50</v>
      </c>
      <c r="C3011" s="4" t="s">
        <v>7</v>
      </c>
      <c r="D3011" s="3" t="s">
        <v>6</v>
      </c>
      <c r="E3011" s="3" t="s">
        <v>49</v>
      </c>
      <c r="F3011" s="3">
        <v>1</v>
      </c>
    </row>
    <row r="3012" spans="1:6" x14ac:dyDescent="0.3">
      <c r="A3012" s="1" t="s">
        <v>8</v>
      </c>
      <c r="B3012" s="1" t="s">
        <v>50</v>
      </c>
      <c r="C3012" s="2" t="s">
        <v>7</v>
      </c>
      <c r="D3012" s="1" t="s">
        <v>9</v>
      </c>
      <c r="E3012" s="1" t="s">
        <v>44</v>
      </c>
      <c r="F3012" s="1">
        <v>26081.999999999902</v>
      </c>
    </row>
    <row r="3013" spans="1:6" x14ac:dyDescent="0.3">
      <c r="A3013" s="3" t="s">
        <v>8</v>
      </c>
      <c r="B3013" s="3" t="s">
        <v>50</v>
      </c>
      <c r="C3013" s="4" t="s">
        <v>7</v>
      </c>
      <c r="D3013" s="3" t="s">
        <v>9</v>
      </c>
      <c r="E3013" s="3" t="s">
        <v>45</v>
      </c>
      <c r="F3013" s="3">
        <v>26081.999999999902</v>
      </c>
    </row>
    <row r="3014" spans="1:6" x14ac:dyDescent="0.3">
      <c r="A3014" s="1" t="s">
        <v>8</v>
      </c>
      <c r="B3014" s="1" t="s">
        <v>50</v>
      </c>
      <c r="C3014" s="2" t="s">
        <v>7</v>
      </c>
      <c r="D3014" s="1" t="s">
        <v>9</v>
      </c>
      <c r="E3014" s="1" t="s">
        <v>49</v>
      </c>
      <c r="F3014" s="1">
        <v>1</v>
      </c>
    </row>
    <row r="3015" spans="1:6" x14ac:dyDescent="0.3">
      <c r="A3015" s="3" t="s">
        <v>8</v>
      </c>
      <c r="B3015" s="3" t="s">
        <v>50</v>
      </c>
      <c r="C3015" s="4" t="s">
        <v>7</v>
      </c>
      <c r="D3015" s="3" t="s">
        <v>11</v>
      </c>
      <c r="E3015" s="3" t="s">
        <v>44</v>
      </c>
      <c r="F3015" s="3">
        <v>31298.3999999999</v>
      </c>
    </row>
    <row r="3016" spans="1:6" x14ac:dyDescent="0.3">
      <c r="A3016" s="1" t="s">
        <v>8</v>
      </c>
      <c r="B3016" s="1" t="s">
        <v>50</v>
      </c>
      <c r="C3016" s="2" t="s">
        <v>7</v>
      </c>
      <c r="D3016" s="1" t="s">
        <v>11</v>
      </c>
      <c r="E3016" s="1" t="s">
        <v>45</v>
      </c>
      <c r="F3016" s="1">
        <v>31298.3999999999</v>
      </c>
    </row>
    <row r="3017" spans="1:6" x14ac:dyDescent="0.3">
      <c r="A3017" s="3" t="s">
        <v>8</v>
      </c>
      <c r="B3017" s="3" t="s">
        <v>50</v>
      </c>
      <c r="C3017" s="4" t="s">
        <v>7</v>
      </c>
      <c r="D3017" s="3" t="s">
        <v>11</v>
      </c>
      <c r="E3017" s="3" t="s">
        <v>49</v>
      </c>
      <c r="F3017" s="3">
        <v>1</v>
      </c>
    </row>
    <row r="3018" spans="1:6" x14ac:dyDescent="0.3">
      <c r="A3018" s="1" t="s">
        <v>8</v>
      </c>
      <c r="B3018" s="1" t="s">
        <v>50</v>
      </c>
      <c r="C3018" s="2" t="s">
        <v>7</v>
      </c>
      <c r="D3018" s="1" t="s">
        <v>1</v>
      </c>
      <c r="E3018" s="1" t="s">
        <v>44</v>
      </c>
      <c r="F3018" s="1">
        <v>-1083998.6000000001</v>
      </c>
    </row>
    <row r="3019" spans="1:6" x14ac:dyDescent="0.3">
      <c r="A3019" s="3" t="s">
        <v>8</v>
      </c>
      <c r="B3019" s="3" t="s">
        <v>50</v>
      </c>
      <c r="C3019" s="4" t="s">
        <v>7</v>
      </c>
      <c r="D3019" s="3" t="s">
        <v>1</v>
      </c>
      <c r="E3019" s="3" t="s">
        <v>45</v>
      </c>
      <c r="F3019" s="3">
        <v>34020</v>
      </c>
    </row>
    <row r="3020" spans="1:6" x14ac:dyDescent="0.3">
      <c r="A3020" s="1" t="s">
        <v>8</v>
      </c>
      <c r="B3020" s="1" t="s">
        <v>50</v>
      </c>
      <c r="C3020" s="2" t="s">
        <v>7</v>
      </c>
      <c r="D3020" s="1" t="s">
        <v>1</v>
      </c>
      <c r="E3020" s="1" t="s">
        <v>48</v>
      </c>
      <c r="F3020" s="1">
        <v>1118018.6000000001</v>
      </c>
    </row>
    <row r="3021" spans="1:6" x14ac:dyDescent="0.3">
      <c r="A3021" s="3" t="s">
        <v>8</v>
      </c>
      <c r="B3021" s="3" t="s">
        <v>50</v>
      </c>
      <c r="C3021" s="4" t="s">
        <v>7</v>
      </c>
      <c r="D3021" s="3" t="s">
        <v>1</v>
      </c>
      <c r="E3021" s="3" t="s">
        <v>49</v>
      </c>
      <c r="F3021" s="3">
        <v>-31.863568489123999</v>
      </c>
    </row>
    <row r="3022" spans="1:6" x14ac:dyDescent="0.3">
      <c r="A3022" s="1" t="s">
        <v>8</v>
      </c>
      <c r="B3022" s="1" t="s">
        <v>50</v>
      </c>
      <c r="C3022" s="2" t="s">
        <v>7</v>
      </c>
      <c r="D3022" s="1" t="s">
        <v>6</v>
      </c>
      <c r="E3022" s="1" t="s">
        <v>44</v>
      </c>
      <c r="F3022" s="1">
        <v>-1147884.6000000001</v>
      </c>
    </row>
    <row r="3023" spans="1:6" x14ac:dyDescent="0.3">
      <c r="A3023" s="3" t="s">
        <v>8</v>
      </c>
      <c r="B3023" s="3" t="s">
        <v>50</v>
      </c>
      <c r="C3023" s="4" t="s">
        <v>7</v>
      </c>
      <c r="D3023" s="3" t="s">
        <v>6</v>
      </c>
      <c r="E3023" s="3" t="s">
        <v>45</v>
      </c>
      <c r="F3023" s="3">
        <v>34020</v>
      </c>
    </row>
    <row r="3024" spans="1:6" x14ac:dyDescent="0.3">
      <c r="A3024" s="1" t="s">
        <v>8</v>
      </c>
      <c r="B3024" s="1" t="s">
        <v>50</v>
      </c>
      <c r="C3024" s="2" t="s">
        <v>7</v>
      </c>
      <c r="D3024" s="1" t="s">
        <v>6</v>
      </c>
      <c r="E3024" s="1" t="s">
        <v>48</v>
      </c>
      <c r="F3024" s="1">
        <v>1181904.6000000001</v>
      </c>
    </row>
    <row r="3025" spans="1:6" x14ac:dyDescent="0.3">
      <c r="A3025" s="3" t="s">
        <v>8</v>
      </c>
      <c r="B3025" s="3" t="s">
        <v>50</v>
      </c>
      <c r="C3025" s="4" t="s">
        <v>7</v>
      </c>
      <c r="D3025" s="3" t="s">
        <v>6</v>
      </c>
      <c r="E3025" s="3" t="s">
        <v>49</v>
      </c>
      <c r="F3025" s="3">
        <v>-33.741463844797103</v>
      </c>
    </row>
    <row r="3026" spans="1:6" x14ac:dyDescent="0.3">
      <c r="A3026" s="1" t="s">
        <v>8</v>
      </c>
      <c r="B3026" s="1" t="s">
        <v>50</v>
      </c>
      <c r="C3026" s="2" t="s">
        <v>7</v>
      </c>
      <c r="D3026" s="1" t="s">
        <v>9</v>
      </c>
      <c r="E3026" s="1" t="s">
        <v>44</v>
      </c>
      <c r="F3026" s="1">
        <v>-1243715.29999999</v>
      </c>
    </row>
    <row r="3027" spans="1:6" x14ac:dyDescent="0.3">
      <c r="A3027" s="3" t="s">
        <v>8</v>
      </c>
      <c r="B3027" s="3" t="s">
        <v>50</v>
      </c>
      <c r="C3027" s="4" t="s">
        <v>7</v>
      </c>
      <c r="D3027" s="3" t="s">
        <v>9</v>
      </c>
      <c r="E3027" s="3" t="s">
        <v>45</v>
      </c>
      <c r="F3027" s="3">
        <v>34020</v>
      </c>
    </row>
    <row r="3028" spans="1:6" x14ac:dyDescent="0.3">
      <c r="A3028" s="1" t="s">
        <v>8</v>
      </c>
      <c r="B3028" s="1" t="s">
        <v>50</v>
      </c>
      <c r="C3028" s="2" t="s">
        <v>7</v>
      </c>
      <c r="D3028" s="1" t="s">
        <v>9</v>
      </c>
      <c r="E3028" s="1" t="s">
        <v>48</v>
      </c>
      <c r="F3028" s="1">
        <v>1277735.29999999</v>
      </c>
    </row>
    <row r="3029" spans="1:6" x14ac:dyDescent="0.3">
      <c r="A3029" s="3" t="s">
        <v>8</v>
      </c>
      <c r="B3029" s="3" t="s">
        <v>50</v>
      </c>
      <c r="C3029" s="4" t="s">
        <v>7</v>
      </c>
      <c r="D3029" s="3" t="s">
        <v>9</v>
      </c>
      <c r="E3029" s="3" t="s">
        <v>49</v>
      </c>
      <c r="F3029" s="3">
        <v>-36.558356848912297</v>
      </c>
    </row>
    <row r="3030" spans="1:6" x14ac:dyDescent="0.3">
      <c r="A3030" s="1" t="s">
        <v>8</v>
      </c>
      <c r="B3030" s="1" t="s">
        <v>50</v>
      </c>
      <c r="C3030" s="2" t="s">
        <v>7</v>
      </c>
      <c r="D3030" s="1" t="s">
        <v>11</v>
      </c>
      <c r="E3030" s="1" t="s">
        <v>44</v>
      </c>
      <c r="F3030" s="1">
        <v>-1296954.2</v>
      </c>
    </row>
    <row r="3031" spans="1:6" x14ac:dyDescent="0.3">
      <c r="A3031" s="3" t="s">
        <v>8</v>
      </c>
      <c r="B3031" s="3" t="s">
        <v>50</v>
      </c>
      <c r="C3031" s="4" t="s">
        <v>7</v>
      </c>
      <c r="D3031" s="3" t="s">
        <v>11</v>
      </c>
      <c r="E3031" s="3" t="s">
        <v>45</v>
      </c>
      <c r="F3031" s="3">
        <v>34020</v>
      </c>
    </row>
    <row r="3032" spans="1:6" x14ac:dyDescent="0.3">
      <c r="A3032" s="1" t="s">
        <v>8</v>
      </c>
      <c r="B3032" s="1" t="s">
        <v>50</v>
      </c>
      <c r="C3032" s="2" t="s">
        <v>7</v>
      </c>
      <c r="D3032" s="1" t="s">
        <v>11</v>
      </c>
      <c r="E3032" s="1" t="s">
        <v>48</v>
      </c>
      <c r="F3032" s="1">
        <v>1330974.2</v>
      </c>
    </row>
    <row r="3033" spans="1:6" x14ac:dyDescent="0.3">
      <c r="A3033" s="3" t="s">
        <v>8</v>
      </c>
      <c r="B3033" s="3" t="s">
        <v>50</v>
      </c>
      <c r="C3033" s="4" t="s">
        <v>7</v>
      </c>
      <c r="D3033" s="3" t="s">
        <v>11</v>
      </c>
      <c r="E3033" s="3" t="s">
        <v>49</v>
      </c>
      <c r="F3033" s="3">
        <v>-38.123286302175103</v>
      </c>
    </row>
    <row r="3034" spans="1:6" x14ac:dyDescent="0.3">
      <c r="A3034" s="1" t="s">
        <v>8</v>
      </c>
      <c r="B3034" s="1" t="s">
        <v>51</v>
      </c>
      <c r="C3034" s="2" t="s">
        <v>7</v>
      </c>
      <c r="D3034" s="1" t="s">
        <v>1</v>
      </c>
      <c r="E3034" s="1" t="s">
        <v>44</v>
      </c>
      <c r="F3034" s="1">
        <v>-12198</v>
      </c>
    </row>
    <row r="3035" spans="1:6" x14ac:dyDescent="0.3">
      <c r="A3035" s="3" t="s">
        <v>8</v>
      </c>
      <c r="B3035" s="3" t="s">
        <v>51</v>
      </c>
      <c r="C3035" s="4" t="s">
        <v>7</v>
      </c>
      <c r="D3035" s="3" t="s">
        <v>1</v>
      </c>
      <c r="E3035" s="3" t="s">
        <v>45</v>
      </c>
      <c r="F3035" s="3">
        <v>13302</v>
      </c>
    </row>
    <row r="3036" spans="1:6" x14ac:dyDescent="0.3">
      <c r="A3036" s="1" t="s">
        <v>8</v>
      </c>
      <c r="B3036" s="1" t="s">
        <v>51</v>
      </c>
      <c r="C3036" s="2" t="s">
        <v>7</v>
      </c>
      <c r="D3036" s="1" t="s">
        <v>1</v>
      </c>
      <c r="E3036" s="1" t="s">
        <v>48</v>
      </c>
      <c r="F3036" s="1">
        <v>25500</v>
      </c>
    </row>
    <row r="3037" spans="1:6" x14ac:dyDescent="0.3">
      <c r="A3037" s="3" t="s">
        <v>8</v>
      </c>
      <c r="B3037" s="3" t="s">
        <v>51</v>
      </c>
      <c r="C3037" s="4" t="s">
        <v>7</v>
      </c>
      <c r="D3037" s="3" t="s">
        <v>1</v>
      </c>
      <c r="E3037" s="3" t="s">
        <v>49</v>
      </c>
      <c r="F3037" s="3">
        <v>-0.91700496165989998</v>
      </c>
    </row>
    <row r="3038" spans="1:6" x14ac:dyDescent="0.3">
      <c r="A3038" s="1" t="s">
        <v>8</v>
      </c>
      <c r="B3038" s="1" t="s">
        <v>51</v>
      </c>
      <c r="C3038" s="2" t="s">
        <v>7</v>
      </c>
      <c r="D3038" s="1" t="s">
        <v>6</v>
      </c>
      <c r="E3038" s="1" t="s">
        <v>44</v>
      </c>
      <c r="F3038" s="1">
        <v>-12198</v>
      </c>
    </row>
    <row r="3039" spans="1:6" x14ac:dyDescent="0.3">
      <c r="A3039" s="3" t="s">
        <v>8</v>
      </c>
      <c r="B3039" s="3" t="s">
        <v>51</v>
      </c>
      <c r="C3039" s="4" t="s">
        <v>7</v>
      </c>
      <c r="D3039" s="3" t="s">
        <v>6</v>
      </c>
      <c r="E3039" s="3" t="s">
        <v>45</v>
      </c>
      <c r="F3039" s="3">
        <v>13302</v>
      </c>
    </row>
    <row r="3040" spans="1:6" x14ac:dyDescent="0.3">
      <c r="A3040" s="1" t="s">
        <v>8</v>
      </c>
      <c r="B3040" s="1" t="s">
        <v>51</v>
      </c>
      <c r="C3040" s="2" t="s">
        <v>7</v>
      </c>
      <c r="D3040" s="1" t="s">
        <v>6</v>
      </c>
      <c r="E3040" s="1" t="s">
        <v>48</v>
      </c>
      <c r="F3040" s="1">
        <v>25500</v>
      </c>
    </row>
    <row r="3041" spans="1:6" x14ac:dyDescent="0.3">
      <c r="A3041" s="3" t="s">
        <v>8</v>
      </c>
      <c r="B3041" s="3" t="s">
        <v>51</v>
      </c>
      <c r="C3041" s="4" t="s">
        <v>7</v>
      </c>
      <c r="D3041" s="3" t="s">
        <v>6</v>
      </c>
      <c r="E3041" s="3" t="s">
        <v>49</v>
      </c>
      <c r="F3041" s="3">
        <v>-0.91700496165989998</v>
      </c>
    </row>
    <row r="3042" spans="1:6" x14ac:dyDescent="0.3">
      <c r="A3042" s="1" t="s">
        <v>8</v>
      </c>
      <c r="B3042" s="1" t="s">
        <v>51</v>
      </c>
      <c r="C3042" s="2" t="s">
        <v>7</v>
      </c>
      <c r="D3042" s="1" t="s">
        <v>9</v>
      </c>
      <c r="E3042" s="1" t="s">
        <v>44</v>
      </c>
      <c r="F3042" s="1">
        <v>-3330</v>
      </c>
    </row>
    <row r="3043" spans="1:6" x14ac:dyDescent="0.3">
      <c r="A3043" s="3" t="s">
        <v>8</v>
      </c>
      <c r="B3043" s="3" t="s">
        <v>51</v>
      </c>
      <c r="C3043" s="4" t="s">
        <v>7</v>
      </c>
      <c r="D3043" s="3" t="s">
        <v>9</v>
      </c>
      <c r="E3043" s="3" t="s">
        <v>45</v>
      </c>
      <c r="F3043" s="3">
        <v>22170</v>
      </c>
    </row>
    <row r="3044" spans="1:6" x14ac:dyDescent="0.3">
      <c r="A3044" s="1" t="s">
        <v>8</v>
      </c>
      <c r="B3044" s="1" t="s">
        <v>51</v>
      </c>
      <c r="C3044" s="2" t="s">
        <v>7</v>
      </c>
      <c r="D3044" s="1" t="s">
        <v>9</v>
      </c>
      <c r="E3044" s="1" t="s">
        <v>48</v>
      </c>
      <c r="F3044" s="1">
        <v>25500</v>
      </c>
    </row>
    <row r="3045" spans="1:6" x14ac:dyDescent="0.3">
      <c r="A3045" s="3" t="s">
        <v>8</v>
      </c>
      <c r="B3045" s="3" t="s">
        <v>51</v>
      </c>
      <c r="C3045" s="4" t="s">
        <v>7</v>
      </c>
      <c r="D3045" s="3" t="s">
        <v>9</v>
      </c>
      <c r="E3045" s="3" t="s">
        <v>49</v>
      </c>
      <c r="F3045" s="3">
        <v>-0.15020297699594001</v>
      </c>
    </row>
    <row r="3046" spans="1:6" x14ac:dyDescent="0.3">
      <c r="A3046" s="1" t="s">
        <v>8</v>
      </c>
      <c r="B3046" s="1" t="s">
        <v>51</v>
      </c>
      <c r="C3046" s="2" t="s">
        <v>7</v>
      </c>
      <c r="D3046" s="1" t="s">
        <v>11</v>
      </c>
      <c r="E3046" s="1" t="s">
        <v>44</v>
      </c>
      <c r="F3046" s="1">
        <v>1104</v>
      </c>
    </row>
    <row r="3047" spans="1:6" x14ac:dyDescent="0.3">
      <c r="A3047" s="3" t="s">
        <v>8</v>
      </c>
      <c r="B3047" s="3" t="s">
        <v>51</v>
      </c>
      <c r="C3047" s="4" t="s">
        <v>7</v>
      </c>
      <c r="D3047" s="3" t="s">
        <v>11</v>
      </c>
      <c r="E3047" s="3" t="s">
        <v>45</v>
      </c>
      <c r="F3047" s="3">
        <v>26604</v>
      </c>
    </row>
    <row r="3048" spans="1:6" x14ac:dyDescent="0.3">
      <c r="A3048" s="1" t="s">
        <v>8</v>
      </c>
      <c r="B3048" s="1" t="s">
        <v>51</v>
      </c>
      <c r="C3048" s="2" t="s">
        <v>7</v>
      </c>
      <c r="D3048" s="1" t="s">
        <v>11</v>
      </c>
      <c r="E3048" s="1" t="s">
        <v>48</v>
      </c>
      <c r="F3048" s="1">
        <v>25500</v>
      </c>
    </row>
    <row r="3049" spans="1:6" x14ac:dyDescent="0.3">
      <c r="A3049" s="3" t="s">
        <v>8</v>
      </c>
      <c r="B3049" s="3" t="s">
        <v>51</v>
      </c>
      <c r="C3049" s="4" t="s">
        <v>7</v>
      </c>
      <c r="D3049" s="3" t="s">
        <v>11</v>
      </c>
      <c r="E3049" s="3" t="s">
        <v>49</v>
      </c>
      <c r="F3049" s="3">
        <v>4.1497519170049603E-2</v>
      </c>
    </row>
    <row r="3050" spans="1:6" x14ac:dyDescent="0.3">
      <c r="A3050" s="1" t="s">
        <v>8</v>
      </c>
      <c r="B3050" s="1" t="s">
        <v>51</v>
      </c>
      <c r="C3050" s="2" t="s">
        <v>7</v>
      </c>
      <c r="D3050" s="1" t="s">
        <v>1</v>
      </c>
      <c r="E3050" s="1" t="s">
        <v>44</v>
      </c>
      <c r="F3050" s="1">
        <v>-609949.80000000005</v>
      </c>
    </row>
    <row r="3051" spans="1:6" x14ac:dyDescent="0.3">
      <c r="A3051" s="3" t="s">
        <v>8</v>
      </c>
      <c r="B3051" s="3" t="s">
        <v>51</v>
      </c>
      <c r="C3051" s="4" t="s">
        <v>7</v>
      </c>
      <c r="D3051" s="3" t="s">
        <v>1</v>
      </c>
      <c r="E3051" s="3" t="s">
        <v>45</v>
      </c>
      <c r="F3051" s="3">
        <v>28917</v>
      </c>
    </row>
    <row r="3052" spans="1:6" x14ac:dyDescent="0.3">
      <c r="A3052" s="1" t="s">
        <v>8</v>
      </c>
      <c r="B3052" s="1" t="s">
        <v>51</v>
      </c>
      <c r="C3052" s="2" t="s">
        <v>7</v>
      </c>
      <c r="D3052" s="1" t="s">
        <v>1</v>
      </c>
      <c r="E3052" s="1" t="s">
        <v>48</v>
      </c>
      <c r="F3052" s="1">
        <v>638866.80000000005</v>
      </c>
    </row>
    <row r="3053" spans="1:6" x14ac:dyDescent="0.3">
      <c r="A3053" s="3" t="s">
        <v>8</v>
      </c>
      <c r="B3053" s="3" t="s">
        <v>51</v>
      </c>
      <c r="C3053" s="4" t="s">
        <v>7</v>
      </c>
      <c r="D3053" s="3" t="s">
        <v>1</v>
      </c>
      <c r="E3053" s="3" t="s">
        <v>49</v>
      </c>
      <c r="F3053" s="3">
        <v>-21.093121693121599</v>
      </c>
    </row>
    <row r="3054" spans="1:6" x14ac:dyDescent="0.3">
      <c r="A3054" s="1" t="s">
        <v>8</v>
      </c>
      <c r="B3054" s="1" t="s">
        <v>51</v>
      </c>
      <c r="C3054" s="2" t="s">
        <v>7</v>
      </c>
      <c r="D3054" s="1" t="s">
        <v>6</v>
      </c>
      <c r="E3054" s="1" t="s">
        <v>44</v>
      </c>
      <c r="F3054" s="1">
        <v>-620091.15</v>
      </c>
    </row>
    <row r="3055" spans="1:6" x14ac:dyDescent="0.3">
      <c r="A3055" s="3" t="s">
        <v>8</v>
      </c>
      <c r="B3055" s="3" t="s">
        <v>51</v>
      </c>
      <c r="C3055" s="4" t="s">
        <v>7</v>
      </c>
      <c r="D3055" s="3" t="s">
        <v>6</v>
      </c>
      <c r="E3055" s="3" t="s">
        <v>45</v>
      </c>
      <c r="F3055" s="3">
        <v>28917</v>
      </c>
    </row>
    <row r="3056" spans="1:6" x14ac:dyDescent="0.3">
      <c r="A3056" s="1" t="s">
        <v>8</v>
      </c>
      <c r="B3056" s="1" t="s">
        <v>51</v>
      </c>
      <c r="C3056" s="2" t="s">
        <v>7</v>
      </c>
      <c r="D3056" s="1" t="s">
        <v>6</v>
      </c>
      <c r="E3056" s="1" t="s">
        <v>48</v>
      </c>
      <c r="F3056" s="1">
        <v>649008.15</v>
      </c>
    </row>
    <row r="3057" spans="1:6" x14ac:dyDescent="0.3">
      <c r="A3057" s="3" t="s">
        <v>8</v>
      </c>
      <c r="B3057" s="3" t="s">
        <v>51</v>
      </c>
      <c r="C3057" s="4" t="s">
        <v>7</v>
      </c>
      <c r="D3057" s="3" t="s">
        <v>6</v>
      </c>
      <c r="E3057" s="3" t="s">
        <v>49</v>
      </c>
      <c r="F3057" s="3">
        <v>-21.4438271604938</v>
      </c>
    </row>
    <row r="3058" spans="1:6" x14ac:dyDescent="0.3">
      <c r="A3058" s="1" t="s">
        <v>8</v>
      </c>
      <c r="B3058" s="1" t="s">
        <v>51</v>
      </c>
      <c r="C3058" s="2" t="s">
        <v>7</v>
      </c>
      <c r="D3058" s="1" t="s">
        <v>9</v>
      </c>
      <c r="E3058" s="1" t="s">
        <v>44</v>
      </c>
      <c r="F3058" s="1">
        <v>-660654.85</v>
      </c>
    </row>
    <row r="3059" spans="1:6" x14ac:dyDescent="0.3">
      <c r="A3059" s="3" t="s">
        <v>8</v>
      </c>
      <c r="B3059" s="3" t="s">
        <v>51</v>
      </c>
      <c r="C3059" s="4" t="s">
        <v>7</v>
      </c>
      <c r="D3059" s="3" t="s">
        <v>9</v>
      </c>
      <c r="E3059" s="3" t="s">
        <v>45</v>
      </c>
      <c r="F3059" s="3">
        <v>28917</v>
      </c>
    </row>
    <row r="3060" spans="1:6" x14ac:dyDescent="0.3">
      <c r="A3060" s="1" t="s">
        <v>8</v>
      </c>
      <c r="B3060" s="1" t="s">
        <v>51</v>
      </c>
      <c r="C3060" s="2" t="s">
        <v>7</v>
      </c>
      <c r="D3060" s="1" t="s">
        <v>9</v>
      </c>
      <c r="E3060" s="1" t="s">
        <v>48</v>
      </c>
      <c r="F3060" s="1">
        <v>689571.85</v>
      </c>
    </row>
    <row r="3061" spans="1:6" x14ac:dyDescent="0.3">
      <c r="A3061" s="3" t="s">
        <v>8</v>
      </c>
      <c r="B3061" s="3" t="s">
        <v>51</v>
      </c>
      <c r="C3061" s="4" t="s">
        <v>7</v>
      </c>
      <c r="D3061" s="3" t="s">
        <v>9</v>
      </c>
      <c r="E3061" s="3" t="s">
        <v>49</v>
      </c>
      <c r="F3061" s="3">
        <v>-22.846590241034601</v>
      </c>
    </row>
    <row r="3062" spans="1:6" x14ac:dyDescent="0.3">
      <c r="A3062" s="1" t="s">
        <v>8</v>
      </c>
      <c r="B3062" s="1" t="s">
        <v>51</v>
      </c>
      <c r="C3062" s="2" t="s">
        <v>7</v>
      </c>
      <c r="D3062" s="1" t="s">
        <v>11</v>
      </c>
      <c r="E3062" s="1" t="s">
        <v>44</v>
      </c>
      <c r="F3062" s="1">
        <v>-701216.85</v>
      </c>
    </row>
    <row r="3063" spans="1:6" x14ac:dyDescent="0.3">
      <c r="A3063" s="3" t="s">
        <v>8</v>
      </c>
      <c r="B3063" s="3" t="s">
        <v>51</v>
      </c>
      <c r="C3063" s="4" t="s">
        <v>7</v>
      </c>
      <c r="D3063" s="3" t="s">
        <v>11</v>
      </c>
      <c r="E3063" s="3" t="s">
        <v>45</v>
      </c>
      <c r="F3063" s="3">
        <v>28917</v>
      </c>
    </row>
    <row r="3064" spans="1:6" x14ac:dyDescent="0.3">
      <c r="A3064" s="1" t="s">
        <v>8</v>
      </c>
      <c r="B3064" s="1" t="s">
        <v>51</v>
      </c>
      <c r="C3064" s="2" t="s">
        <v>7</v>
      </c>
      <c r="D3064" s="1" t="s">
        <v>11</v>
      </c>
      <c r="E3064" s="1" t="s">
        <v>48</v>
      </c>
      <c r="F3064" s="1">
        <v>730133.85</v>
      </c>
    </row>
    <row r="3065" spans="1:6" x14ac:dyDescent="0.3">
      <c r="A3065" s="3" t="s">
        <v>8</v>
      </c>
      <c r="B3065" s="3" t="s">
        <v>51</v>
      </c>
      <c r="C3065" s="4" t="s">
        <v>7</v>
      </c>
      <c r="D3065" s="3" t="s">
        <v>11</v>
      </c>
      <c r="E3065" s="3" t="s">
        <v>49</v>
      </c>
      <c r="F3065" s="3">
        <v>-24.2492945326278</v>
      </c>
    </row>
    <row r="3066" spans="1:6" x14ac:dyDescent="0.3">
      <c r="A3066" s="1" t="s">
        <v>8</v>
      </c>
      <c r="B3066" s="1" t="s">
        <v>51</v>
      </c>
      <c r="C3066" s="2" t="s">
        <v>7</v>
      </c>
      <c r="D3066" s="1" t="s">
        <v>1</v>
      </c>
      <c r="E3066" s="1" t="s">
        <v>44</v>
      </c>
      <c r="F3066" s="1">
        <v>-75958.049999999901</v>
      </c>
    </row>
    <row r="3067" spans="1:6" x14ac:dyDescent="0.3">
      <c r="A3067" s="3" t="s">
        <v>8</v>
      </c>
      <c r="B3067" s="3" t="s">
        <v>51</v>
      </c>
      <c r="C3067" s="4" t="s">
        <v>7</v>
      </c>
      <c r="D3067" s="3" t="s">
        <v>1</v>
      </c>
      <c r="E3067" s="3" t="s">
        <v>45</v>
      </c>
      <c r="F3067" s="3">
        <v>15309</v>
      </c>
    </row>
    <row r="3068" spans="1:6" x14ac:dyDescent="0.3">
      <c r="A3068" s="1" t="s">
        <v>8</v>
      </c>
      <c r="B3068" s="1" t="s">
        <v>51</v>
      </c>
      <c r="C3068" s="2" t="s">
        <v>7</v>
      </c>
      <c r="D3068" s="1" t="s">
        <v>1</v>
      </c>
      <c r="E3068" s="1" t="s">
        <v>48</v>
      </c>
      <c r="F3068" s="1">
        <v>91267.049999999901</v>
      </c>
    </row>
    <row r="3069" spans="1:6" x14ac:dyDescent="0.3">
      <c r="A3069" s="3" t="s">
        <v>8</v>
      </c>
      <c r="B3069" s="3" t="s">
        <v>51</v>
      </c>
      <c r="C3069" s="4" t="s">
        <v>7</v>
      </c>
      <c r="D3069" s="3" t="s">
        <v>1</v>
      </c>
      <c r="E3069" s="3" t="s">
        <v>49</v>
      </c>
      <c r="F3069" s="3">
        <v>-4.9616598079561003</v>
      </c>
    </row>
    <row r="3070" spans="1:6" x14ac:dyDescent="0.3">
      <c r="A3070" s="1" t="s">
        <v>8</v>
      </c>
      <c r="B3070" s="1" t="s">
        <v>51</v>
      </c>
      <c r="C3070" s="2" t="s">
        <v>7</v>
      </c>
      <c r="D3070" s="1" t="s">
        <v>6</v>
      </c>
      <c r="E3070" s="1" t="s">
        <v>44</v>
      </c>
      <c r="F3070" s="1">
        <v>-68303.850000000006</v>
      </c>
    </row>
    <row r="3071" spans="1:6" x14ac:dyDescent="0.3">
      <c r="A3071" s="3" t="s">
        <v>8</v>
      </c>
      <c r="B3071" s="3" t="s">
        <v>51</v>
      </c>
      <c r="C3071" s="4" t="s">
        <v>7</v>
      </c>
      <c r="D3071" s="3" t="s">
        <v>6</v>
      </c>
      <c r="E3071" s="3" t="s">
        <v>45</v>
      </c>
      <c r="F3071" s="3">
        <v>22963.199999999899</v>
      </c>
    </row>
    <row r="3072" spans="1:6" x14ac:dyDescent="0.3">
      <c r="A3072" s="1" t="s">
        <v>8</v>
      </c>
      <c r="B3072" s="1" t="s">
        <v>51</v>
      </c>
      <c r="C3072" s="2" t="s">
        <v>7</v>
      </c>
      <c r="D3072" s="1" t="s">
        <v>6</v>
      </c>
      <c r="E3072" s="1" t="s">
        <v>48</v>
      </c>
      <c r="F3072" s="1">
        <v>91267.049999999901</v>
      </c>
    </row>
    <row r="3073" spans="1:6" x14ac:dyDescent="0.3">
      <c r="A3073" s="3" t="s">
        <v>8</v>
      </c>
      <c r="B3073" s="3" t="s">
        <v>51</v>
      </c>
      <c r="C3073" s="4" t="s">
        <v>7</v>
      </c>
      <c r="D3073" s="3" t="s">
        <v>6</v>
      </c>
      <c r="E3073" s="3" t="s">
        <v>49</v>
      </c>
      <c r="F3073" s="3">
        <v>-2.9744917955685599</v>
      </c>
    </row>
    <row r="3074" spans="1:6" x14ac:dyDescent="0.3">
      <c r="A3074" s="1" t="s">
        <v>8</v>
      </c>
      <c r="B3074" s="1" t="s">
        <v>51</v>
      </c>
      <c r="C3074" s="2" t="s">
        <v>7</v>
      </c>
      <c r="D3074" s="1" t="s">
        <v>9</v>
      </c>
      <c r="E3074" s="1" t="s">
        <v>44</v>
      </c>
      <c r="F3074" s="1">
        <v>-60649.049999999901</v>
      </c>
    </row>
    <row r="3075" spans="1:6" x14ac:dyDescent="0.3">
      <c r="A3075" s="3" t="s">
        <v>8</v>
      </c>
      <c r="B3075" s="3" t="s">
        <v>51</v>
      </c>
      <c r="C3075" s="4" t="s">
        <v>7</v>
      </c>
      <c r="D3075" s="3" t="s">
        <v>9</v>
      </c>
      <c r="E3075" s="3" t="s">
        <v>45</v>
      </c>
      <c r="F3075" s="3">
        <v>30618</v>
      </c>
    </row>
    <row r="3076" spans="1:6" x14ac:dyDescent="0.3">
      <c r="A3076" s="1" t="s">
        <v>8</v>
      </c>
      <c r="B3076" s="1" t="s">
        <v>51</v>
      </c>
      <c r="C3076" s="2" t="s">
        <v>7</v>
      </c>
      <c r="D3076" s="1" t="s">
        <v>9</v>
      </c>
      <c r="E3076" s="1" t="s">
        <v>48</v>
      </c>
      <c r="F3076" s="1">
        <v>91267.049999999901</v>
      </c>
    </row>
    <row r="3077" spans="1:6" x14ac:dyDescent="0.3">
      <c r="A3077" s="3" t="s">
        <v>8</v>
      </c>
      <c r="B3077" s="3" t="s">
        <v>51</v>
      </c>
      <c r="C3077" s="4" t="s">
        <v>7</v>
      </c>
      <c r="D3077" s="3" t="s">
        <v>9</v>
      </c>
      <c r="E3077" s="3" t="s">
        <v>49</v>
      </c>
      <c r="F3077" s="3">
        <v>-1.9808299039780499</v>
      </c>
    </row>
    <row r="3078" spans="1:6" x14ac:dyDescent="0.3">
      <c r="A3078" s="1" t="s">
        <v>8</v>
      </c>
      <c r="B3078" s="1" t="s">
        <v>51</v>
      </c>
      <c r="C3078" s="2" t="s">
        <v>7</v>
      </c>
      <c r="D3078" s="1" t="s">
        <v>11</v>
      </c>
      <c r="E3078" s="1" t="s">
        <v>44</v>
      </c>
      <c r="F3078" s="1">
        <v>-52994.25</v>
      </c>
    </row>
    <row r="3079" spans="1:6" x14ac:dyDescent="0.3">
      <c r="A3079" s="3" t="s">
        <v>8</v>
      </c>
      <c r="B3079" s="3" t="s">
        <v>51</v>
      </c>
      <c r="C3079" s="4" t="s">
        <v>7</v>
      </c>
      <c r="D3079" s="3" t="s">
        <v>11</v>
      </c>
      <c r="E3079" s="3" t="s">
        <v>45</v>
      </c>
      <c r="F3079" s="3">
        <v>38272.799999999901</v>
      </c>
    </row>
    <row r="3080" spans="1:6" x14ac:dyDescent="0.3">
      <c r="A3080" s="1" t="s">
        <v>8</v>
      </c>
      <c r="B3080" s="1" t="s">
        <v>51</v>
      </c>
      <c r="C3080" s="2" t="s">
        <v>7</v>
      </c>
      <c r="D3080" s="1" t="s">
        <v>11</v>
      </c>
      <c r="E3080" s="1" t="s">
        <v>48</v>
      </c>
      <c r="F3080" s="1">
        <v>91267.049999999901</v>
      </c>
    </row>
    <row r="3081" spans="1:6" x14ac:dyDescent="0.3">
      <c r="A3081" s="3" t="s">
        <v>8</v>
      </c>
      <c r="B3081" s="3" t="s">
        <v>51</v>
      </c>
      <c r="C3081" s="4" t="s">
        <v>7</v>
      </c>
      <c r="D3081" s="3" t="s">
        <v>11</v>
      </c>
      <c r="E3081" s="3" t="s">
        <v>49</v>
      </c>
      <c r="F3081" s="3">
        <v>-1.38464523107794</v>
      </c>
    </row>
    <row r="3082" spans="1:6" x14ac:dyDescent="0.3">
      <c r="A3082" s="1" t="s">
        <v>8</v>
      </c>
      <c r="B3082" s="1" t="s">
        <v>51</v>
      </c>
      <c r="C3082" s="2" t="s">
        <v>7</v>
      </c>
      <c r="D3082" s="1" t="s">
        <v>1</v>
      </c>
      <c r="E3082" s="1" t="s">
        <v>44</v>
      </c>
      <c r="F3082" s="1">
        <v>13012.799999999899</v>
      </c>
    </row>
    <row r="3083" spans="1:6" x14ac:dyDescent="0.3">
      <c r="A3083" s="3" t="s">
        <v>8</v>
      </c>
      <c r="B3083" s="3" t="s">
        <v>51</v>
      </c>
      <c r="C3083" s="4" t="s">
        <v>7</v>
      </c>
      <c r="D3083" s="3" t="s">
        <v>1</v>
      </c>
      <c r="E3083" s="3" t="s">
        <v>45</v>
      </c>
      <c r="F3083" s="3">
        <v>13012.799999999899</v>
      </c>
    </row>
    <row r="3084" spans="1:6" x14ac:dyDescent="0.3">
      <c r="A3084" s="1" t="s">
        <v>8</v>
      </c>
      <c r="B3084" s="1" t="s">
        <v>51</v>
      </c>
      <c r="C3084" s="2" t="s">
        <v>7</v>
      </c>
      <c r="D3084" s="1" t="s">
        <v>1</v>
      </c>
      <c r="E3084" s="1" t="s">
        <v>49</v>
      </c>
      <c r="F3084" s="1">
        <v>1</v>
      </c>
    </row>
    <row r="3085" spans="1:6" x14ac:dyDescent="0.3">
      <c r="A3085" s="3" t="s">
        <v>8</v>
      </c>
      <c r="B3085" s="3" t="s">
        <v>51</v>
      </c>
      <c r="C3085" s="4" t="s">
        <v>7</v>
      </c>
      <c r="D3085" s="3" t="s">
        <v>6</v>
      </c>
      <c r="E3085" s="3" t="s">
        <v>44</v>
      </c>
      <c r="F3085" s="3">
        <v>19519.199999999899</v>
      </c>
    </row>
    <row r="3086" spans="1:6" x14ac:dyDescent="0.3">
      <c r="A3086" s="1" t="s">
        <v>8</v>
      </c>
      <c r="B3086" s="1" t="s">
        <v>51</v>
      </c>
      <c r="C3086" s="2" t="s">
        <v>7</v>
      </c>
      <c r="D3086" s="1" t="s">
        <v>6</v>
      </c>
      <c r="E3086" s="1" t="s">
        <v>45</v>
      </c>
      <c r="F3086" s="1">
        <v>19519.199999999899</v>
      </c>
    </row>
    <row r="3087" spans="1:6" x14ac:dyDescent="0.3">
      <c r="A3087" s="3" t="s">
        <v>8</v>
      </c>
      <c r="B3087" s="3" t="s">
        <v>51</v>
      </c>
      <c r="C3087" s="4" t="s">
        <v>7</v>
      </c>
      <c r="D3087" s="3" t="s">
        <v>6</v>
      </c>
      <c r="E3087" s="3" t="s">
        <v>49</v>
      </c>
      <c r="F3087" s="3">
        <v>1</v>
      </c>
    </row>
    <row r="3088" spans="1:6" x14ac:dyDescent="0.3">
      <c r="A3088" s="1" t="s">
        <v>8</v>
      </c>
      <c r="B3088" s="1" t="s">
        <v>51</v>
      </c>
      <c r="C3088" s="2" t="s">
        <v>7</v>
      </c>
      <c r="D3088" s="1" t="s">
        <v>9</v>
      </c>
      <c r="E3088" s="1" t="s">
        <v>44</v>
      </c>
      <c r="F3088" s="1">
        <v>26025.5999999999</v>
      </c>
    </row>
    <row r="3089" spans="1:6" x14ac:dyDescent="0.3">
      <c r="A3089" s="3" t="s">
        <v>8</v>
      </c>
      <c r="B3089" s="3" t="s">
        <v>51</v>
      </c>
      <c r="C3089" s="4" t="s">
        <v>7</v>
      </c>
      <c r="D3089" s="3" t="s">
        <v>9</v>
      </c>
      <c r="E3089" s="3" t="s">
        <v>45</v>
      </c>
      <c r="F3089" s="3">
        <v>26025.5999999999</v>
      </c>
    </row>
    <row r="3090" spans="1:6" x14ac:dyDescent="0.3">
      <c r="A3090" s="1" t="s">
        <v>8</v>
      </c>
      <c r="B3090" s="1" t="s">
        <v>51</v>
      </c>
      <c r="C3090" s="2" t="s">
        <v>7</v>
      </c>
      <c r="D3090" s="1" t="s">
        <v>9</v>
      </c>
      <c r="E3090" s="1" t="s">
        <v>49</v>
      </c>
      <c r="F3090" s="1">
        <v>1</v>
      </c>
    </row>
    <row r="3091" spans="1:6" x14ac:dyDescent="0.3">
      <c r="A3091" s="3" t="s">
        <v>8</v>
      </c>
      <c r="B3091" s="3" t="s">
        <v>51</v>
      </c>
      <c r="C3091" s="4" t="s">
        <v>7</v>
      </c>
      <c r="D3091" s="3" t="s">
        <v>11</v>
      </c>
      <c r="E3091" s="3" t="s">
        <v>44</v>
      </c>
      <c r="F3091" s="3">
        <v>32532</v>
      </c>
    </row>
    <row r="3092" spans="1:6" x14ac:dyDescent="0.3">
      <c r="A3092" s="1" t="s">
        <v>8</v>
      </c>
      <c r="B3092" s="1" t="s">
        <v>51</v>
      </c>
      <c r="C3092" s="2" t="s">
        <v>7</v>
      </c>
      <c r="D3092" s="1" t="s">
        <v>11</v>
      </c>
      <c r="E3092" s="1" t="s">
        <v>45</v>
      </c>
      <c r="F3092" s="1">
        <v>32532</v>
      </c>
    </row>
    <row r="3093" spans="1:6" x14ac:dyDescent="0.3">
      <c r="A3093" s="3" t="s">
        <v>8</v>
      </c>
      <c r="B3093" s="3" t="s">
        <v>51</v>
      </c>
      <c r="C3093" s="4" t="s">
        <v>7</v>
      </c>
      <c r="D3093" s="3" t="s">
        <v>11</v>
      </c>
      <c r="E3093" s="3" t="s">
        <v>49</v>
      </c>
      <c r="F3093" s="3">
        <v>1</v>
      </c>
    </row>
    <row r="3094" spans="1:6" x14ac:dyDescent="0.3">
      <c r="A3094" s="1" t="s">
        <v>8</v>
      </c>
      <c r="B3094" s="1" t="s">
        <v>51</v>
      </c>
      <c r="C3094" s="2" t="s">
        <v>7</v>
      </c>
      <c r="D3094" s="1" t="s">
        <v>1</v>
      </c>
      <c r="E3094" s="1" t="s">
        <v>44</v>
      </c>
      <c r="F3094" s="1">
        <v>-24435.9</v>
      </c>
    </row>
    <row r="3095" spans="1:6" x14ac:dyDescent="0.3">
      <c r="A3095" s="3" t="s">
        <v>8</v>
      </c>
      <c r="B3095" s="3" t="s">
        <v>51</v>
      </c>
      <c r="C3095" s="4" t="s">
        <v>7</v>
      </c>
      <c r="D3095" s="3" t="s">
        <v>1</v>
      </c>
      <c r="E3095" s="3" t="s">
        <v>45</v>
      </c>
      <c r="F3095" s="3">
        <v>5985.5999999999904</v>
      </c>
    </row>
    <row r="3096" spans="1:6" x14ac:dyDescent="0.3">
      <c r="A3096" s="1" t="s">
        <v>8</v>
      </c>
      <c r="B3096" s="1" t="s">
        <v>51</v>
      </c>
      <c r="C3096" s="2" t="s">
        <v>7</v>
      </c>
      <c r="D3096" s="1" t="s">
        <v>1</v>
      </c>
      <c r="E3096" s="1" t="s">
        <v>48</v>
      </c>
      <c r="F3096" s="1">
        <v>30421.5</v>
      </c>
    </row>
    <row r="3097" spans="1:6" x14ac:dyDescent="0.3">
      <c r="A3097" s="3" t="s">
        <v>8</v>
      </c>
      <c r="B3097" s="3" t="s">
        <v>51</v>
      </c>
      <c r="C3097" s="4" t="s">
        <v>7</v>
      </c>
      <c r="D3097" s="3" t="s">
        <v>1</v>
      </c>
      <c r="E3097" s="3" t="s">
        <v>49</v>
      </c>
      <c r="F3097" s="3">
        <v>-4.0824478748997501</v>
      </c>
    </row>
    <row r="3098" spans="1:6" x14ac:dyDescent="0.3">
      <c r="A3098" s="1" t="s">
        <v>8</v>
      </c>
      <c r="B3098" s="1" t="s">
        <v>51</v>
      </c>
      <c r="C3098" s="2" t="s">
        <v>7</v>
      </c>
      <c r="D3098" s="1" t="s">
        <v>6</v>
      </c>
      <c r="E3098" s="1" t="s">
        <v>44</v>
      </c>
      <c r="F3098" s="1">
        <v>-24435.9</v>
      </c>
    </row>
    <row r="3099" spans="1:6" x14ac:dyDescent="0.3">
      <c r="A3099" s="3" t="s">
        <v>8</v>
      </c>
      <c r="B3099" s="3" t="s">
        <v>51</v>
      </c>
      <c r="C3099" s="4" t="s">
        <v>7</v>
      </c>
      <c r="D3099" s="3" t="s">
        <v>6</v>
      </c>
      <c r="E3099" s="3" t="s">
        <v>45</v>
      </c>
      <c r="F3099" s="3">
        <v>5985.5999999999904</v>
      </c>
    </row>
    <row r="3100" spans="1:6" x14ac:dyDescent="0.3">
      <c r="A3100" s="1" t="s">
        <v>8</v>
      </c>
      <c r="B3100" s="1" t="s">
        <v>51</v>
      </c>
      <c r="C3100" s="2" t="s">
        <v>7</v>
      </c>
      <c r="D3100" s="1" t="s">
        <v>6</v>
      </c>
      <c r="E3100" s="1" t="s">
        <v>48</v>
      </c>
      <c r="F3100" s="1">
        <v>30421.5</v>
      </c>
    </row>
    <row r="3101" spans="1:6" x14ac:dyDescent="0.3">
      <c r="A3101" s="3" t="s">
        <v>8</v>
      </c>
      <c r="B3101" s="3" t="s">
        <v>51</v>
      </c>
      <c r="C3101" s="4" t="s">
        <v>7</v>
      </c>
      <c r="D3101" s="3" t="s">
        <v>6</v>
      </c>
      <c r="E3101" s="3" t="s">
        <v>49</v>
      </c>
      <c r="F3101" s="3">
        <v>-4.0824478748997501</v>
      </c>
    </row>
    <row r="3102" spans="1:6" x14ac:dyDescent="0.3">
      <c r="A3102" s="1" t="s">
        <v>8</v>
      </c>
      <c r="B3102" s="1" t="s">
        <v>51</v>
      </c>
      <c r="C3102" s="2" t="s">
        <v>7</v>
      </c>
      <c r="D3102" s="1" t="s">
        <v>9</v>
      </c>
      <c r="E3102" s="1" t="s">
        <v>44</v>
      </c>
      <c r="F3102" s="1">
        <v>-20445.099999999999</v>
      </c>
    </row>
    <row r="3103" spans="1:6" x14ac:dyDescent="0.3">
      <c r="A3103" s="3" t="s">
        <v>8</v>
      </c>
      <c r="B3103" s="3" t="s">
        <v>51</v>
      </c>
      <c r="C3103" s="4" t="s">
        <v>7</v>
      </c>
      <c r="D3103" s="3" t="s">
        <v>9</v>
      </c>
      <c r="E3103" s="3" t="s">
        <v>45</v>
      </c>
      <c r="F3103" s="3">
        <v>9976.3999999999905</v>
      </c>
    </row>
    <row r="3104" spans="1:6" x14ac:dyDescent="0.3">
      <c r="A3104" s="1" t="s">
        <v>8</v>
      </c>
      <c r="B3104" s="1" t="s">
        <v>51</v>
      </c>
      <c r="C3104" s="2" t="s">
        <v>7</v>
      </c>
      <c r="D3104" s="1" t="s">
        <v>9</v>
      </c>
      <c r="E3104" s="1" t="s">
        <v>48</v>
      </c>
      <c r="F3104" s="1">
        <v>30421.5</v>
      </c>
    </row>
    <row r="3105" spans="1:6" x14ac:dyDescent="0.3">
      <c r="A3105" s="3" t="s">
        <v>8</v>
      </c>
      <c r="B3105" s="3" t="s">
        <v>51</v>
      </c>
      <c r="C3105" s="4" t="s">
        <v>7</v>
      </c>
      <c r="D3105" s="3" t="s">
        <v>9</v>
      </c>
      <c r="E3105" s="3" t="s">
        <v>49</v>
      </c>
      <c r="F3105" s="3">
        <v>-2.0493464576400302</v>
      </c>
    </row>
    <row r="3106" spans="1:6" x14ac:dyDescent="0.3">
      <c r="A3106" s="1" t="s">
        <v>8</v>
      </c>
      <c r="B3106" s="1" t="s">
        <v>51</v>
      </c>
      <c r="C3106" s="2" t="s">
        <v>7</v>
      </c>
      <c r="D3106" s="1" t="s">
        <v>11</v>
      </c>
      <c r="E3106" s="1" t="s">
        <v>44</v>
      </c>
      <c r="F3106" s="1">
        <v>-18449.7</v>
      </c>
    </row>
    <row r="3107" spans="1:6" x14ac:dyDescent="0.3">
      <c r="A3107" s="3" t="s">
        <v>8</v>
      </c>
      <c r="B3107" s="3" t="s">
        <v>51</v>
      </c>
      <c r="C3107" s="4" t="s">
        <v>7</v>
      </c>
      <c r="D3107" s="3" t="s">
        <v>11</v>
      </c>
      <c r="E3107" s="3" t="s">
        <v>45</v>
      </c>
      <c r="F3107" s="3">
        <v>11971.799999999899</v>
      </c>
    </row>
    <row r="3108" spans="1:6" x14ac:dyDescent="0.3">
      <c r="A3108" s="1" t="s">
        <v>8</v>
      </c>
      <c r="B3108" s="1" t="s">
        <v>51</v>
      </c>
      <c r="C3108" s="2" t="s">
        <v>7</v>
      </c>
      <c r="D3108" s="1" t="s">
        <v>11</v>
      </c>
      <c r="E3108" s="1" t="s">
        <v>48</v>
      </c>
      <c r="F3108" s="1">
        <v>30421.5</v>
      </c>
    </row>
    <row r="3109" spans="1:6" x14ac:dyDescent="0.3">
      <c r="A3109" s="3" t="s">
        <v>8</v>
      </c>
      <c r="B3109" s="3" t="s">
        <v>51</v>
      </c>
      <c r="C3109" s="4" t="s">
        <v>7</v>
      </c>
      <c r="D3109" s="3" t="s">
        <v>11</v>
      </c>
      <c r="E3109" s="3" t="s">
        <v>49</v>
      </c>
      <c r="F3109" s="3">
        <v>-1.54109657695584</v>
      </c>
    </row>
    <row r="3110" spans="1:6" x14ac:dyDescent="0.3">
      <c r="A3110" s="1" t="s">
        <v>8</v>
      </c>
      <c r="B3110" s="1" t="s">
        <v>52</v>
      </c>
      <c r="C3110" s="2" t="s">
        <v>7</v>
      </c>
      <c r="D3110" s="1" t="s">
        <v>1</v>
      </c>
      <c r="E3110" s="1" t="s">
        <v>44</v>
      </c>
      <c r="F3110" s="1">
        <v>98500</v>
      </c>
    </row>
    <row r="3111" spans="1:6" x14ac:dyDescent="0.3">
      <c r="A3111" s="3" t="s">
        <v>8</v>
      </c>
      <c r="B3111" s="3" t="s">
        <v>52</v>
      </c>
      <c r="C3111" s="4" t="s">
        <v>7</v>
      </c>
      <c r="D3111" s="3" t="s">
        <v>1</v>
      </c>
      <c r="E3111" s="3" t="s">
        <v>45</v>
      </c>
      <c r="F3111" s="3">
        <v>98500</v>
      </c>
    </row>
    <row r="3112" spans="1:6" x14ac:dyDescent="0.3">
      <c r="A3112" s="1" t="s">
        <v>8</v>
      </c>
      <c r="B3112" s="1" t="s">
        <v>52</v>
      </c>
      <c r="C3112" s="2" t="s">
        <v>7</v>
      </c>
      <c r="D3112" s="1" t="s">
        <v>1</v>
      </c>
      <c r="E3112" s="1" t="s">
        <v>49</v>
      </c>
      <c r="F3112" s="1">
        <v>1</v>
      </c>
    </row>
    <row r="3113" spans="1:6" x14ac:dyDescent="0.3">
      <c r="A3113" s="3" t="s">
        <v>8</v>
      </c>
      <c r="B3113" s="3" t="s">
        <v>52</v>
      </c>
      <c r="C3113" s="4" t="s">
        <v>7</v>
      </c>
      <c r="D3113" s="3" t="s">
        <v>6</v>
      </c>
      <c r="E3113" s="3" t="s">
        <v>44</v>
      </c>
      <c r="F3113" s="3">
        <v>84500</v>
      </c>
    </row>
    <row r="3114" spans="1:6" x14ac:dyDescent="0.3">
      <c r="A3114" s="1" t="s">
        <v>8</v>
      </c>
      <c r="B3114" s="1" t="s">
        <v>52</v>
      </c>
      <c r="C3114" s="2" t="s">
        <v>7</v>
      </c>
      <c r="D3114" s="1" t="s">
        <v>6</v>
      </c>
      <c r="E3114" s="1" t="s">
        <v>45</v>
      </c>
      <c r="F3114" s="1">
        <v>84500</v>
      </c>
    </row>
    <row r="3115" spans="1:6" x14ac:dyDescent="0.3">
      <c r="A3115" s="3" t="s">
        <v>8</v>
      </c>
      <c r="B3115" s="3" t="s">
        <v>52</v>
      </c>
      <c r="C3115" s="4" t="s">
        <v>7</v>
      </c>
      <c r="D3115" s="3" t="s">
        <v>6</v>
      </c>
      <c r="E3115" s="3" t="s">
        <v>49</v>
      </c>
      <c r="F3115" s="3">
        <v>1</v>
      </c>
    </row>
    <row r="3116" spans="1:6" x14ac:dyDescent="0.3">
      <c r="A3116" s="1" t="s">
        <v>8</v>
      </c>
      <c r="B3116" s="1" t="s">
        <v>52</v>
      </c>
      <c r="C3116" s="2" t="s">
        <v>7</v>
      </c>
      <c r="D3116" s="1" t="s">
        <v>9</v>
      </c>
      <c r="E3116" s="1" t="s">
        <v>44</v>
      </c>
      <c r="F3116" s="1">
        <v>98500</v>
      </c>
    </row>
    <row r="3117" spans="1:6" x14ac:dyDescent="0.3">
      <c r="A3117" s="3" t="s">
        <v>8</v>
      </c>
      <c r="B3117" s="3" t="s">
        <v>52</v>
      </c>
      <c r="C3117" s="4" t="s">
        <v>7</v>
      </c>
      <c r="D3117" s="3" t="s">
        <v>9</v>
      </c>
      <c r="E3117" s="3" t="s">
        <v>45</v>
      </c>
      <c r="F3117" s="3">
        <v>98500</v>
      </c>
    </row>
    <row r="3118" spans="1:6" x14ac:dyDescent="0.3">
      <c r="A3118" s="1" t="s">
        <v>8</v>
      </c>
      <c r="B3118" s="1" t="s">
        <v>52</v>
      </c>
      <c r="C3118" s="2" t="s">
        <v>7</v>
      </c>
      <c r="D3118" s="1" t="s">
        <v>9</v>
      </c>
      <c r="E3118" s="1" t="s">
        <v>49</v>
      </c>
      <c r="F3118" s="1">
        <v>1</v>
      </c>
    </row>
    <row r="3119" spans="1:6" x14ac:dyDescent="0.3">
      <c r="A3119" s="3" t="s">
        <v>8</v>
      </c>
      <c r="B3119" s="3" t="s">
        <v>52</v>
      </c>
      <c r="C3119" s="4" t="s">
        <v>7</v>
      </c>
      <c r="D3119" s="3" t="s">
        <v>11</v>
      </c>
      <c r="E3119" s="3" t="s">
        <v>44</v>
      </c>
      <c r="F3119" s="3">
        <v>84500</v>
      </c>
    </row>
    <row r="3120" spans="1:6" x14ac:dyDescent="0.3">
      <c r="A3120" s="1" t="s">
        <v>8</v>
      </c>
      <c r="B3120" s="1" t="s">
        <v>52</v>
      </c>
      <c r="C3120" s="2" t="s">
        <v>7</v>
      </c>
      <c r="D3120" s="1" t="s">
        <v>11</v>
      </c>
      <c r="E3120" s="1" t="s">
        <v>45</v>
      </c>
      <c r="F3120" s="1">
        <v>84500</v>
      </c>
    </row>
    <row r="3121" spans="1:6" x14ac:dyDescent="0.3">
      <c r="A3121" s="3" t="s">
        <v>8</v>
      </c>
      <c r="B3121" s="3" t="s">
        <v>52</v>
      </c>
      <c r="C3121" s="4" t="s">
        <v>7</v>
      </c>
      <c r="D3121" s="3" t="s">
        <v>11</v>
      </c>
      <c r="E3121" s="3" t="s">
        <v>49</v>
      </c>
      <c r="F3121" s="3">
        <v>1</v>
      </c>
    </row>
    <row r="3122" spans="1:6" x14ac:dyDescent="0.3">
      <c r="A3122" s="1" t="s">
        <v>8</v>
      </c>
      <c r="B3122" s="1" t="s">
        <v>52</v>
      </c>
      <c r="C3122" s="2" t="s">
        <v>7</v>
      </c>
      <c r="D3122" s="1" t="s">
        <v>1</v>
      </c>
      <c r="E3122" s="1" t="s">
        <v>44</v>
      </c>
      <c r="F3122" s="1">
        <v>10849.799999999899</v>
      </c>
    </row>
    <row r="3123" spans="1:6" x14ac:dyDescent="0.3">
      <c r="A3123" s="3" t="s">
        <v>8</v>
      </c>
      <c r="B3123" s="3" t="s">
        <v>52</v>
      </c>
      <c r="C3123" s="4" t="s">
        <v>7</v>
      </c>
      <c r="D3123" s="3" t="s">
        <v>1</v>
      </c>
      <c r="E3123" s="3" t="s">
        <v>45</v>
      </c>
      <c r="F3123" s="3">
        <v>21049.799999999901</v>
      </c>
    </row>
    <row r="3124" spans="1:6" x14ac:dyDescent="0.3">
      <c r="A3124" s="1" t="s">
        <v>8</v>
      </c>
      <c r="B3124" s="1" t="s">
        <v>52</v>
      </c>
      <c r="C3124" s="2" t="s">
        <v>7</v>
      </c>
      <c r="D3124" s="1" t="s">
        <v>1</v>
      </c>
      <c r="E3124" s="1" t="s">
        <v>48</v>
      </c>
      <c r="F3124" s="1">
        <v>10200</v>
      </c>
    </row>
    <row r="3125" spans="1:6" x14ac:dyDescent="0.3">
      <c r="A3125" s="3" t="s">
        <v>8</v>
      </c>
      <c r="B3125" s="3" t="s">
        <v>52</v>
      </c>
      <c r="C3125" s="4" t="s">
        <v>7</v>
      </c>
      <c r="D3125" s="3" t="s">
        <v>1</v>
      </c>
      <c r="E3125" s="3" t="s">
        <v>49</v>
      </c>
      <c r="F3125" s="3">
        <v>0.51543482598409396</v>
      </c>
    </row>
    <row r="3126" spans="1:6" x14ac:dyDescent="0.3">
      <c r="A3126" s="1" t="s">
        <v>8</v>
      </c>
      <c r="B3126" s="1" t="s">
        <v>52</v>
      </c>
      <c r="C3126" s="2" t="s">
        <v>7</v>
      </c>
      <c r="D3126" s="1" t="s">
        <v>6</v>
      </c>
      <c r="E3126" s="1" t="s">
        <v>44</v>
      </c>
      <c r="F3126" s="1">
        <v>21375</v>
      </c>
    </row>
    <row r="3127" spans="1:6" x14ac:dyDescent="0.3">
      <c r="A3127" s="3" t="s">
        <v>8</v>
      </c>
      <c r="B3127" s="3" t="s">
        <v>52</v>
      </c>
      <c r="C3127" s="4" t="s">
        <v>7</v>
      </c>
      <c r="D3127" s="3" t="s">
        <v>6</v>
      </c>
      <c r="E3127" s="3" t="s">
        <v>45</v>
      </c>
      <c r="F3127" s="3">
        <v>31575</v>
      </c>
    </row>
    <row r="3128" spans="1:6" x14ac:dyDescent="0.3">
      <c r="A3128" s="1" t="s">
        <v>8</v>
      </c>
      <c r="B3128" s="1" t="s">
        <v>52</v>
      </c>
      <c r="C3128" s="2" t="s">
        <v>7</v>
      </c>
      <c r="D3128" s="1" t="s">
        <v>6</v>
      </c>
      <c r="E3128" s="1" t="s">
        <v>48</v>
      </c>
      <c r="F3128" s="1">
        <v>10200</v>
      </c>
    </row>
    <row r="3129" spans="1:6" x14ac:dyDescent="0.3">
      <c r="A3129" s="3" t="s">
        <v>8</v>
      </c>
      <c r="B3129" s="3" t="s">
        <v>52</v>
      </c>
      <c r="C3129" s="4" t="s">
        <v>7</v>
      </c>
      <c r="D3129" s="3" t="s">
        <v>6</v>
      </c>
      <c r="E3129" s="3" t="s">
        <v>49</v>
      </c>
      <c r="F3129" s="3">
        <v>0.67695961995249399</v>
      </c>
    </row>
    <row r="3130" spans="1:6" x14ac:dyDescent="0.3">
      <c r="A3130" s="1" t="s">
        <v>8</v>
      </c>
      <c r="B3130" s="1" t="s">
        <v>52</v>
      </c>
      <c r="C3130" s="2" t="s">
        <v>7</v>
      </c>
      <c r="D3130" s="1" t="s">
        <v>9</v>
      </c>
      <c r="E3130" s="1" t="s">
        <v>44</v>
      </c>
      <c r="F3130" s="1">
        <v>31899.5999999999</v>
      </c>
    </row>
    <row r="3131" spans="1:6" x14ac:dyDescent="0.3">
      <c r="A3131" s="3" t="s">
        <v>8</v>
      </c>
      <c r="B3131" s="3" t="s">
        <v>52</v>
      </c>
      <c r="C3131" s="4" t="s">
        <v>7</v>
      </c>
      <c r="D3131" s="3" t="s">
        <v>9</v>
      </c>
      <c r="E3131" s="3" t="s">
        <v>45</v>
      </c>
      <c r="F3131" s="3">
        <v>42099.599999999897</v>
      </c>
    </row>
    <row r="3132" spans="1:6" x14ac:dyDescent="0.3">
      <c r="A3132" s="1" t="s">
        <v>8</v>
      </c>
      <c r="B3132" s="1" t="s">
        <v>52</v>
      </c>
      <c r="C3132" s="2" t="s">
        <v>7</v>
      </c>
      <c r="D3132" s="1" t="s">
        <v>9</v>
      </c>
      <c r="E3132" s="1" t="s">
        <v>48</v>
      </c>
      <c r="F3132" s="1">
        <v>10200</v>
      </c>
    </row>
    <row r="3133" spans="1:6" x14ac:dyDescent="0.3">
      <c r="A3133" s="3" t="s">
        <v>8</v>
      </c>
      <c r="B3133" s="3" t="s">
        <v>52</v>
      </c>
      <c r="C3133" s="4" t="s">
        <v>7</v>
      </c>
      <c r="D3133" s="3" t="s">
        <v>9</v>
      </c>
      <c r="E3133" s="3" t="s">
        <v>49</v>
      </c>
      <c r="F3133" s="3">
        <v>0.75771741299204698</v>
      </c>
    </row>
    <row r="3134" spans="1:6" x14ac:dyDescent="0.3">
      <c r="A3134" s="1" t="s">
        <v>8</v>
      </c>
      <c r="B3134" s="1" t="s">
        <v>52</v>
      </c>
      <c r="C3134" s="2" t="s">
        <v>7</v>
      </c>
      <c r="D3134" s="1" t="s">
        <v>11</v>
      </c>
      <c r="E3134" s="1" t="s">
        <v>44</v>
      </c>
      <c r="F3134" s="1">
        <v>42424.799999999901</v>
      </c>
    </row>
    <row r="3135" spans="1:6" x14ac:dyDescent="0.3">
      <c r="A3135" s="3" t="s">
        <v>8</v>
      </c>
      <c r="B3135" s="3" t="s">
        <v>52</v>
      </c>
      <c r="C3135" s="4" t="s">
        <v>7</v>
      </c>
      <c r="D3135" s="3" t="s">
        <v>11</v>
      </c>
      <c r="E3135" s="3" t="s">
        <v>45</v>
      </c>
      <c r="F3135" s="3">
        <v>52624.799999999901</v>
      </c>
    </row>
    <row r="3136" spans="1:6" x14ac:dyDescent="0.3">
      <c r="A3136" s="1" t="s">
        <v>8</v>
      </c>
      <c r="B3136" s="1" t="s">
        <v>52</v>
      </c>
      <c r="C3136" s="2" t="s">
        <v>7</v>
      </c>
      <c r="D3136" s="1" t="s">
        <v>11</v>
      </c>
      <c r="E3136" s="1" t="s">
        <v>48</v>
      </c>
      <c r="F3136" s="1">
        <v>10200</v>
      </c>
    </row>
    <row r="3137" spans="1:6" x14ac:dyDescent="0.3">
      <c r="A3137" s="3" t="s">
        <v>8</v>
      </c>
      <c r="B3137" s="3" t="s">
        <v>52</v>
      </c>
      <c r="C3137" s="4" t="s">
        <v>7</v>
      </c>
      <c r="D3137" s="3" t="s">
        <v>11</v>
      </c>
      <c r="E3137" s="3" t="s">
        <v>49</v>
      </c>
      <c r="F3137" s="3">
        <v>0.80617503534455204</v>
      </c>
    </row>
    <row r="3138" spans="1:6" x14ac:dyDescent="0.3">
      <c r="A3138" s="1" t="s">
        <v>8</v>
      </c>
      <c r="B3138" s="1" t="s">
        <v>52</v>
      </c>
      <c r="C3138" s="2" t="s">
        <v>7</v>
      </c>
      <c r="D3138" s="1" t="s">
        <v>1</v>
      </c>
      <c r="E3138" s="1" t="s">
        <v>44</v>
      </c>
      <c r="F3138" s="1">
        <v>-20738.7</v>
      </c>
    </row>
    <row r="3139" spans="1:6" x14ac:dyDescent="0.3">
      <c r="A3139" s="3" t="s">
        <v>8</v>
      </c>
      <c r="B3139" s="3" t="s">
        <v>52</v>
      </c>
      <c r="C3139" s="4" t="s">
        <v>7</v>
      </c>
      <c r="D3139" s="3" t="s">
        <v>1</v>
      </c>
      <c r="E3139" s="3" t="s">
        <v>45</v>
      </c>
      <c r="F3139" s="3">
        <v>9682.7999999999902</v>
      </c>
    </row>
    <row r="3140" spans="1:6" x14ac:dyDescent="0.3">
      <c r="A3140" s="1" t="s">
        <v>8</v>
      </c>
      <c r="B3140" s="1" t="s">
        <v>52</v>
      </c>
      <c r="C3140" s="2" t="s">
        <v>7</v>
      </c>
      <c r="D3140" s="1" t="s">
        <v>1</v>
      </c>
      <c r="E3140" s="1" t="s">
        <v>48</v>
      </c>
      <c r="F3140" s="1">
        <v>30421.5</v>
      </c>
    </row>
    <row r="3141" spans="1:6" x14ac:dyDescent="0.3">
      <c r="A3141" s="3" t="s">
        <v>8</v>
      </c>
      <c r="B3141" s="3" t="s">
        <v>52</v>
      </c>
      <c r="C3141" s="4" t="s">
        <v>7</v>
      </c>
      <c r="D3141" s="3" t="s">
        <v>1</v>
      </c>
      <c r="E3141" s="3" t="s">
        <v>49</v>
      </c>
      <c r="F3141" s="3">
        <v>-2.1418081546660002</v>
      </c>
    </row>
    <row r="3142" spans="1:6" x14ac:dyDescent="0.3">
      <c r="A3142" s="1" t="s">
        <v>8</v>
      </c>
      <c r="B3142" s="1" t="s">
        <v>52</v>
      </c>
      <c r="C3142" s="2" t="s">
        <v>7</v>
      </c>
      <c r="D3142" s="1" t="s">
        <v>6</v>
      </c>
      <c r="E3142" s="1" t="s">
        <v>44</v>
      </c>
      <c r="F3142" s="1">
        <v>-20738.7</v>
      </c>
    </row>
    <row r="3143" spans="1:6" x14ac:dyDescent="0.3">
      <c r="A3143" s="3" t="s">
        <v>8</v>
      </c>
      <c r="B3143" s="3" t="s">
        <v>52</v>
      </c>
      <c r="C3143" s="4" t="s">
        <v>7</v>
      </c>
      <c r="D3143" s="3" t="s">
        <v>6</v>
      </c>
      <c r="E3143" s="3" t="s">
        <v>45</v>
      </c>
      <c r="F3143" s="3">
        <v>9682.7999999999902</v>
      </c>
    </row>
    <row r="3144" spans="1:6" x14ac:dyDescent="0.3">
      <c r="A3144" s="1" t="s">
        <v>8</v>
      </c>
      <c r="B3144" s="1" t="s">
        <v>52</v>
      </c>
      <c r="C3144" s="2" t="s">
        <v>7</v>
      </c>
      <c r="D3144" s="1" t="s">
        <v>6</v>
      </c>
      <c r="E3144" s="1" t="s">
        <v>48</v>
      </c>
      <c r="F3144" s="1">
        <v>30421.5</v>
      </c>
    </row>
    <row r="3145" spans="1:6" x14ac:dyDescent="0.3">
      <c r="A3145" s="3" t="s">
        <v>8</v>
      </c>
      <c r="B3145" s="3" t="s">
        <v>52</v>
      </c>
      <c r="C3145" s="4" t="s">
        <v>7</v>
      </c>
      <c r="D3145" s="3" t="s">
        <v>6</v>
      </c>
      <c r="E3145" s="3" t="s">
        <v>49</v>
      </c>
      <c r="F3145" s="3">
        <v>-2.1418081546660002</v>
      </c>
    </row>
    <row r="3146" spans="1:6" x14ac:dyDescent="0.3">
      <c r="A3146" s="1" t="s">
        <v>8</v>
      </c>
      <c r="B3146" s="1" t="s">
        <v>52</v>
      </c>
      <c r="C3146" s="2" t="s">
        <v>7</v>
      </c>
      <c r="D3146" s="1" t="s">
        <v>9</v>
      </c>
      <c r="E3146" s="1" t="s">
        <v>44</v>
      </c>
      <c r="F3146" s="1">
        <v>-14283.1</v>
      </c>
    </row>
    <row r="3147" spans="1:6" x14ac:dyDescent="0.3">
      <c r="A3147" s="3" t="s">
        <v>8</v>
      </c>
      <c r="B3147" s="3" t="s">
        <v>52</v>
      </c>
      <c r="C3147" s="4" t="s">
        <v>7</v>
      </c>
      <c r="D3147" s="3" t="s">
        <v>9</v>
      </c>
      <c r="E3147" s="3" t="s">
        <v>45</v>
      </c>
      <c r="F3147" s="3">
        <v>16138.3999999999</v>
      </c>
    </row>
    <row r="3148" spans="1:6" x14ac:dyDescent="0.3">
      <c r="A3148" s="1" t="s">
        <v>8</v>
      </c>
      <c r="B3148" s="1" t="s">
        <v>52</v>
      </c>
      <c r="C3148" s="2" t="s">
        <v>7</v>
      </c>
      <c r="D3148" s="1" t="s">
        <v>9</v>
      </c>
      <c r="E3148" s="1" t="s">
        <v>48</v>
      </c>
      <c r="F3148" s="1">
        <v>30421.5</v>
      </c>
    </row>
    <row r="3149" spans="1:6" x14ac:dyDescent="0.3">
      <c r="A3149" s="3" t="s">
        <v>8</v>
      </c>
      <c r="B3149" s="3" t="s">
        <v>52</v>
      </c>
      <c r="C3149" s="4" t="s">
        <v>7</v>
      </c>
      <c r="D3149" s="3" t="s">
        <v>9</v>
      </c>
      <c r="E3149" s="3" t="s">
        <v>49</v>
      </c>
      <c r="F3149" s="3">
        <v>-0.88503816983096195</v>
      </c>
    </row>
    <row r="3150" spans="1:6" x14ac:dyDescent="0.3">
      <c r="A3150" s="1" t="s">
        <v>8</v>
      </c>
      <c r="B3150" s="1" t="s">
        <v>52</v>
      </c>
      <c r="C3150" s="2" t="s">
        <v>7</v>
      </c>
      <c r="D3150" s="1" t="s">
        <v>11</v>
      </c>
      <c r="E3150" s="1" t="s">
        <v>44</v>
      </c>
      <c r="F3150" s="1">
        <v>-11055.3</v>
      </c>
    </row>
    <row r="3151" spans="1:6" x14ac:dyDescent="0.3">
      <c r="A3151" s="3" t="s">
        <v>8</v>
      </c>
      <c r="B3151" s="3" t="s">
        <v>52</v>
      </c>
      <c r="C3151" s="4" t="s">
        <v>7</v>
      </c>
      <c r="D3151" s="3" t="s">
        <v>11</v>
      </c>
      <c r="E3151" s="3" t="s">
        <v>45</v>
      </c>
      <c r="F3151" s="3">
        <v>19366.199999999899</v>
      </c>
    </row>
    <row r="3152" spans="1:6" x14ac:dyDescent="0.3">
      <c r="A3152" s="1" t="s">
        <v>8</v>
      </c>
      <c r="B3152" s="1" t="s">
        <v>52</v>
      </c>
      <c r="C3152" s="2" t="s">
        <v>7</v>
      </c>
      <c r="D3152" s="1" t="s">
        <v>11</v>
      </c>
      <c r="E3152" s="1" t="s">
        <v>48</v>
      </c>
      <c r="F3152" s="1">
        <v>30421.5</v>
      </c>
    </row>
    <row r="3153" spans="1:6" x14ac:dyDescent="0.3">
      <c r="A3153" s="3" t="s">
        <v>8</v>
      </c>
      <c r="B3153" s="3" t="s">
        <v>52</v>
      </c>
      <c r="C3153" s="4" t="s">
        <v>7</v>
      </c>
      <c r="D3153" s="3" t="s">
        <v>11</v>
      </c>
      <c r="E3153" s="3" t="s">
        <v>49</v>
      </c>
      <c r="F3153" s="3">
        <v>-0.57085540787557698</v>
      </c>
    </row>
    <row r="3154" spans="1:6" x14ac:dyDescent="0.3">
      <c r="A3154" s="1" t="s">
        <v>8</v>
      </c>
      <c r="B3154" s="1" t="s">
        <v>52</v>
      </c>
      <c r="C3154" s="2" t="s">
        <v>7</v>
      </c>
      <c r="D3154" s="1" t="s">
        <v>1</v>
      </c>
      <c r="E3154" s="1" t="s">
        <v>44</v>
      </c>
      <c r="F3154" s="1">
        <v>-39795.75</v>
      </c>
    </row>
    <row r="3155" spans="1:6" x14ac:dyDescent="0.3">
      <c r="A3155" s="3" t="s">
        <v>8</v>
      </c>
      <c r="B3155" s="3" t="s">
        <v>52</v>
      </c>
      <c r="C3155" s="4" t="s">
        <v>7</v>
      </c>
      <c r="D3155" s="3" t="s">
        <v>1</v>
      </c>
      <c r="E3155" s="3" t="s">
        <v>45</v>
      </c>
      <c r="F3155" s="3">
        <v>21049.799999999901</v>
      </c>
    </row>
    <row r="3156" spans="1:6" x14ac:dyDescent="0.3">
      <c r="A3156" s="1" t="s">
        <v>8</v>
      </c>
      <c r="B3156" s="1" t="s">
        <v>52</v>
      </c>
      <c r="C3156" s="2" t="s">
        <v>7</v>
      </c>
      <c r="D3156" s="1" t="s">
        <v>1</v>
      </c>
      <c r="E3156" s="1" t="s">
        <v>48</v>
      </c>
      <c r="F3156" s="1">
        <v>60845.549999999901</v>
      </c>
    </row>
    <row r="3157" spans="1:6" x14ac:dyDescent="0.3">
      <c r="A3157" s="3" t="s">
        <v>8</v>
      </c>
      <c r="B3157" s="3" t="s">
        <v>52</v>
      </c>
      <c r="C3157" s="4" t="s">
        <v>7</v>
      </c>
      <c r="D3157" s="3" t="s">
        <v>1</v>
      </c>
      <c r="E3157" s="3" t="s">
        <v>49</v>
      </c>
      <c r="F3157" s="3">
        <v>-1.8905524042983699</v>
      </c>
    </row>
    <row r="3158" spans="1:6" x14ac:dyDescent="0.3">
      <c r="A3158" s="1" t="s">
        <v>8</v>
      </c>
      <c r="B3158" s="1" t="s">
        <v>52</v>
      </c>
      <c r="C3158" s="2" t="s">
        <v>7</v>
      </c>
      <c r="D3158" s="1" t="s">
        <v>6</v>
      </c>
      <c r="E3158" s="1" t="s">
        <v>44</v>
      </c>
      <c r="F3158" s="1">
        <v>-39795.75</v>
      </c>
    </row>
    <row r="3159" spans="1:6" x14ac:dyDescent="0.3">
      <c r="A3159" s="3" t="s">
        <v>8</v>
      </c>
      <c r="B3159" s="3" t="s">
        <v>52</v>
      </c>
      <c r="C3159" s="4" t="s">
        <v>7</v>
      </c>
      <c r="D3159" s="3" t="s">
        <v>6</v>
      </c>
      <c r="E3159" s="3" t="s">
        <v>45</v>
      </c>
      <c r="F3159" s="3">
        <v>21049.799999999901</v>
      </c>
    </row>
    <row r="3160" spans="1:6" x14ac:dyDescent="0.3">
      <c r="A3160" s="1" t="s">
        <v>8</v>
      </c>
      <c r="B3160" s="1" t="s">
        <v>52</v>
      </c>
      <c r="C3160" s="2" t="s">
        <v>7</v>
      </c>
      <c r="D3160" s="1" t="s">
        <v>6</v>
      </c>
      <c r="E3160" s="1" t="s">
        <v>48</v>
      </c>
      <c r="F3160" s="1">
        <v>60845.549999999901</v>
      </c>
    </row>
    <row r="3161" spans="1:6" x14ac:dyDescent="0.3">
      <c r="A3161" s="3" t="s">
        <v>8</v>
      </c>
      <c r="B3161" s="3" t="s">
        <v>52</v>
      </c>
      <c r="C3161" s="4" t="s">
        <v>7</v>
      </c>
      <c r="D3161" s="3" t="s">
        <v>6</v>
      </c>
      <c r="E3161" s="3" t="s">
        <v>49</v>
      </c>
      <c r="F3161" s="3">
        <v>-1.8905524042983699</v>
      </c>
    </row>
    <row r="3162" spans="1:6" x14ac:dyDescent="0.3">
      <c r="A3162" s="1" t="s">
        <v>8</v>
      </c>
      <c r="B3162" s="1" t="s">
        <v>52</v>
      </c>
      <c r="C3162" s="2" t="s">
        <v>7</v>
      </c>
      <c r="D3162" s="1" t="s">
        <v>9</v>
      </c>
      <c r="E3162" s="1" t="s">
        <v>44</v>
      </c>
      <c r="F3162" s="1">
        <v>-39795.75</v>
      </c>
    </row>
    <row r="3163" spans="1:6" x14ac:dyDescent="0.3">
      <c r="A3163" s="3" t="s">
        <v>8</v>
      </c>
      <c r="B3163" s="3" t="s">
        <v>52</v>
      </c>
      <c r="C3163" s="4" t="s">
        <v>7</v>
      </c>
      <c r="D3163" s="3" t="s">
        <v>9</v>
      </c>
      <c r="E3163" s="3" t="s">
        <v>45</v>
      </c>
      <c r="F3163" s="3">
        <v>21049.799999999901</v>
      </c>
    </row>
    <row r="3164" spans="1:6" x14ac:dyDescent="0.3">
      <c r="A3164" s="1" t="s">
        <v>8</v>
      </c>
      <c r="B3164" s="1" t="s">
        <v>52</v>
      </c>
      <c r="C3164" s="2" t="s">
        <v>7</v>
      </c>
      <c r="D3164" s="1" t="s">
        <v>9</v>
      </c>
      <c r="E3164" s="1" t="s">
        <v>48</v>
      </c>
      <c r="F3164" s="1">
        <v>60845.549999999901</v>
      </c>
    </row>
    <row r="3165" spans="1:6" x14ac:dyDescent="0.3">
      <c r="A3165" s="3" t="s">
        <v>8</v>
      </c>
      <c r="B3165" s="3" t="s">
        <v>52</v>
      </c>
      <c r="C3165" s="4" t="s">
        <v>7</v>
      </c>
      <c r="D3165" s="3" t="s">
        <v>9</v>
      </c>
      <c r="E3165" s="3" t="s">
        <v>49</v>
      </c>
      <c r="F3165" s="3">
        <v>-1.8905524042983699</v>
      </c>
    </row>
    <row r="3166" spans="1:6" x14ac:dyDescent="0.3">
      <c r="A3166" s="1" t="s">
        <v>8</v>
      </c>
      <c r="B3166" s="1" t="s">
        <v>52</v>
      </c>
      <c r="C3166" s="2" t="s">
        <v>7</v>
      </c>
      <c r="D3166" s="1" t="s">
        <v>11</v>
      </c>
      <c r="E3166" s="1" t="s">
        <v>44</v>
      </c>
      <c r="F3166" s="1">
        <v>-39795.75</v>
      </c>
    </row>
    <row r="3167" spans="1:6" x14ac:dyDescent="0.3">
      <c r="A3167" s="3" t="s">
        <v>8</v>
      </c>
      <c r="B3167" s="3" t="s">
        <v>52</v>
      </c>
      <c r="C3167" s="4" t="s">
        <v>7</v>
      </c>
      <c r="D3167" s="3" t="s">
        <v>11</v>
      </c>
      <c r="E3167" s="3" t="s">
        <v>45</v>
      </c>
      <c r="F3167" s="3">
        <v>21049.799999999901</v>
      </c>
    </row>
    <row r="3168" spans="1:6" x14ac:dyDescent="0.3">
      <c r="A3168" s="1" t="s">
        <v>8</v>
      </c>
      <c r="B3168" s="1" t="s">
        <v>52</v>
      </c>
      <c r="C3168" s="2" t="s">
        <v>7</v>
      </c>
      <c r="D3168" s="1" t="s">
        <v>11</v>
      </c>
      <c r="E3168" s="1" t="s">
        <v>48</v>
      </c>
      <c r="F3168" s="1">
        <v>60845.549999999901</v>
      </c>
    </row>
    <row r="3169" spans="1:6" x14ac:dyDescent="0.3">
      <c r="A3169" s="3" t="s">
        <v>8</v>
      </c>
      <c r="B3169" s="3" t="s">
        <v>52</v>
      </c>
      <c r="C3169" s="4" t="s">
        <v>7</v>
      </c>
      <c r="D3169" s="3" t="s">
        <v>11</v>
      </c>
      <c r="E3169" s="3" t="s">
        <v>49</v>
      </c>
      <c r="F3169" s="3">
        <v>-1.8905524042983699</v>
      </c>
    </row>
    <row r="3170" spans="1:6" x14ac:dyDescent="0.3">
      <c r="A3170" s="1" t="s">
        <v>8</v>
      </c>
      <c r="B3170" s="1" t="s">
        <v>52</v>
      </c>
      <c r="C3170" s="2" t="s">
        <v>7</v>
      </c>
      <c r="D3170" s="1" t="s">
        <v>1</v>
      </c>
      <c r="E3170" s="1" t="s">
        <v>44</v>
      </c>
      <c r="F3170" s="1">
        <v>98500</v>
      </c>
    </row>
    <row r="3171" spans="1:6" x14ac:dyDescent="0.3">
      <c r="A3171" s="3" t="s">
        <v>8</v>
      </c>
      <c r="B3171" s="3" t="s">
        <v>52</v>
      </c>
      <c r="C3171" s="4" t="s">
        <v>7</v>
      </c>
      <c r="D3171" s="3" t="s">
        <v>1</v>
      </c>
      <c r="E3171" s="3" t="s">
        <v>45</v>
      </c>
      <c r="F3171" s="3">
        <v>98500</v>
      </c>
    </row>
    <row r="3172" spans="1:6" x14ac:dyDescent="0.3">
      <c r="A3172" s="1" t="s">
        <v>8</v>
      </c>
      <c r="B3172" s="1" t="s">
        <v>52</v>
      </c>
      <c r="C3172" s="2" t="s">
        <v>7</v>
      </c>
      <c r="D3172" s="1" t="s">
        <v>1</v>
      </c>
      <c r="E3172" s="1" t="s">
        <v>49</v>
      </c>
      <c r="F3172" s="1">
        <v>1</v>
      </c>
    </row>
    <row r="3173" spans="1:6" x14ac:dyDescent="0.3">
      <c r="A3173" s="3" t="s">
        <v>8</v>
      </c>
      <c r="B3173" s="3" t="s">
        <v>52</v>
      </c>
      <c r="C3173" s="4" t="s">
        <v>7</v>
      </c>
      <c r="D3173" s="3" t="s">
        <v>6</v>
      </c>
      <c r="E3173" s="3" t="s">
        <v>44</v>
      </c>
      <c r="F3173" s="3">
        <v>84500</v>
      </c>
    </row>
    <row r="3174" spans="1:6" x14ac:dyDescent="0.3">
      <c r="A3174" s="1" t="s">
        <v>8</v>
      </c>
      <c r="B3174" s="1" t="s">
        <v>52</v>
      </c>
      <c r="C3174" s="2" t="s">
        <v>7</v>
      </c>
      <c r="D3174" s="1" t="s">
        <v>6</v>
      </c>
      <c r="E3174" s="1" t="s">
        <v>45</v>
      </c>
      <c r="F3174" s="1">
        <v>84500</v>
      </c>
    </row>
    <row r="3175" spans="1:6" x14ac:dyDescent="0.3">
      <c r="A3175" s="3" t="s">
        <v>8</v>
      </c>
      <c r="B3175" s="3" t="s">
        <v>52</v>
      </c>
      <c r="C3175" s="4" t="s">
        <v>7</v>
      </c>
      <c r="D3175" s="3" t="s">
        <v>6</v>
      </c>
      <c r="E3175" s="3" t="s">
        <v>49</v>
      </c>
      <c r="F3175" s="3">
        <v>1</v>
      </c>
    </row>
    <row r="3176" spans="1:6" x14ac:dyDescent="0.3">
      <c r="A3176" s="1" t="s">
        <v>8</v>
      </c>
      <c r="B3176" s="1" t="s">
        <v>52</v>
      </c>
      <c r="C3176" s="2" t="s">
        <v>7</v>
      </c>
      <c r="D3176" s="1" t="s">
        <v>9</v>
      </c>
      <c r="E3176" s="1" t="s">
        <v>44</v>
      </c>
      <c r="F3176" s="1">
        <v>98500</v>
      </c>
    </row>
    <row r="3177" spans="1:6" x14ac:dyDescent="0.3">
      <c r="A3177" s="3" t="s">
        <v>8</v>
      </c>
      <c r="B3177" s="3" t="s">
        <v>52</v>
      </c>
      <c r="C3177" s="4" t="s">
        <v>7</v>
      </c>
      <c r="D3177" s="3" t="s">
        <v>9</v>
      </c>
      <c r="E3177" s="3" t="s">
        <v>45</v>
      </c>
      <c r="F3177" s="3">
        <v>98500</v>
      </c>
    </row>
    <row r="3178" spans="1:6" x14ac:dyDescent="0.3">
      <c r="A3178" s="1" t="s">
        <v>8</v>
      </c>
      <c r="B3178" s="1" t="s">
        <v>52</v>
      </c>
      <c r="C3178" s="2" t="s">
        <v>7</v>
      </c>
      <c r="D3178" s="1" t="s">
        <v>9</v>
      </c>
      <c r="E3178" s="1" t="s">
        <v>49</v>
      </c>
      <c r="F3178" s="1">
        <v>1</v>
      </c>
    </row>
    <row r="3179" spans="1:6" x14ac:dyDescent="0.3">
      <c r="A3179" s="3" t="s">
        <v>8</v>
      </c>
      <c r="B3179" s="3" t="s">
        <v>52</v>
      </c>
      <c r="C3179" s="4" t="s">
        <v>7</v>
      </c>
      <c r="D3179" s="3" t="s">
        <v>11</v>
      </c>
      <c r="E3179" s="3" t="s">
        <v>44</v>
      </c>
      <c r="F3179" s="3">
        <v>84500</v>
      </c>
    </row>
    <row r="3180" spans="1:6" x14ac:dyDescent="0.3">
      <c r="A3180" s="1" t="s">
        <v>8</v>
      </c>
      <c r="B3180" s="1" t="s">
        <v>52</v>
      </c>
      <c r="C3180" s="2" t="s">
        <v>7</v>
      </c>
      <c r="D3180" s="1" t="s">
        <v>11</v>
      </c>
      <c r="E3180" s="1" t="s">
        <v>45</v>
      </c>
      <c r="F3180" s="1">
        <v>84500</v>
      </c>
    </row>
    <row r="3181" spans="1:6" x14ac:dyDescent="0.3">
      <c r="A3181" s="3" t="s">
        <v>8</v>
      </c>
      <c r="B3181" s="3" t="s">
        <v>52</v>
      </c>
      <c r="C3181" s="4" t="s">
        <v>7</v>
      </c>
      <c r="D3181" s="3" t="s">
        <v>11</v>
      </c>
      <c r="E3181" s="3" t="s">
        <v>49</v>
      </c>
      <c r="F3181" s="3">
        <v>1</v>
      </c>
    </row>
    <row r="3182" spans="1:6" x14ac:dyDescent="0.3">
      <c r="A3182" s="1" t="s">
        <v>8</v>
      </c>
      <c r="B3182" s="1" t="s">
        <v>52</v>
      </c>
      <c r="C3182" s="2" t="s">
        <v>7</v>
      </c>
      <c r="D3182" s="1" t="s">
        <v>1</v>
      </c>
      <c r="E3182" s="1" t="s">
        <v>44</v>
      </c>
      <c r="F3182" s="1">
        <v>9759.5999999999894</v>
      </c>
    </row>
    <row r="3183" spans="1:6" x14ac:dyDescent="0.3">
      <c r="A3183" s="3" t="s">
        <v>8</v>
      </c>
      <c r="B3183" s="3" t="s">
        <v>52</v>
      </c>
      <c r="C3183" s="4" t="s">
        <v>7</v>
      </c>
      <c r="D3183" s="3" t="s">
        <v>1</v>
      </c>
      <c r="E3183" s="3" t="s">
        <v>45</v>
      </c>
      <c r="F3183" s="3">
        <v>9759.5999999999894</v>
      </c>
    </row>
    <row r="3184" spans="1:6" x14ac:dyDescent="0.3">
      <c r="A3184" s="1" t="s">
        <v>8</v>
      </c>
      <c r="B3184" s="1" t="s">
        <v>52</v>
      </c>
      <c r="C3184" s="2" t="s">
        <v>7</v>
      </c>
      <c r="D3184" s="1" t="s">
        <v>1</v>
      </c>
      <c r="E3184" s="1" t="s">
        <v>49</v>
      </c>
      <c r="F3184" s="1">
        <v>1</v>
      </c>
    </row>
    <row r="3185" spans="1:6" x14ac:dyDescent="0.3">
      <c r="A3185" s="3" t="s">
        <v>8</v>
      </c>
      <c r="B3185" s="3" t="s">
        <v>52</v>
      </c>
      <c r="C3185" s="4" t="s">
        <v>7</v>
      </c>
      <c r="D3185" s="3" t="s">
        <v>6</v>
      </c>
      <c r="E3185" s="3" t="s">
        <v>44</v>
      </c>
      <c r="F3185" s="3">
        <v>9759.5999999999894</v>
      </c>
    </row>
    <row r="3186" spans="1:6" x14ac:dyDescent="0.3">
      <c r="A3186" s="1" t="s">
        <v>8</v>
      </c>
      <c r="B3186" s="1" t="s">
        <v>52</v>
      </c>
      <c r="C3186" s="2" t="s">
        <v>7</v>
      </c>
      <c r="D3186" s="1" t="s">
        <v>6</v>
      </c>
      <c r="E3186" s="1" t="s">
        <v>45</v>
      </c>
      <c r="F3186" s="1">
        <v>9759.5999999999894</v>
      </c>
    </row>
    <row r="3187" spans="1:6" x14ac:dyDescent="0.3">
      <c r="A3187" s="3" t="s">
        <v>8</v>
      </c>
      <c r="B3187" s="3" t="s">
        <v>52</v>
      </c>
      <c r="C3187" s="4" t="s">
        <v>7</v>
      </c>
      <c r="D3187" s="3" t="s">
        <v>6</v>
      </c>
      <c r="E3187" s="3" t="s">
        <v>49</v>
      </c>
      <c r="F3187" s="3">
        <v>1</v>
      </c>
    </row>
    <row r="3188" spans="1:6" x14ac:dyDescent="0.3">
      <c r="A3188" s="1" t="s">
        <v>8</v>
      </c>
      <c r="B3188" s="1" t="s">
        <v>52</v>
      </c>
      <c r="C3188" s="2" t="s">
        <v>7</v>
      </c>
      <c r="D3188" s="1" t="s">
        <v>9</v>
      </c>
      <c r="E3188" s="1" t="s">
        <v>44</v>
      </c>
      <c r="F3188" s="1">
        <v>9759.5999999999894</v>
      </c>
    </row>
    <row r="3189" spans="1:6" x14ac:dyDescent="0.3">
      <c r="A3189" s="3" t="s">
        <v>8</v>
      </c>
      <c r="B3189" s="3" t="s">
        <v>52</v>
      </c>
      <c r="C3189" s="4" t="s">
        <v>7</v>
      </c>
      <c r="D3189" s="3" t="s">
        <v>9</v>
      </c>
      <c r="E3189" s="3" t="s">
        <v>45</v>
      </c>
      <c r="F3189" s="3">
        <v>9759.5999999999894</v>
      </c>
    </row>
    <row r="3190" spans="1:6" x14ac:dyDescent="0.3">
      <c r="A3190" s="1" t="s">
        <v>8</v>
      </c>
      <c r="B3190" s="1" t="s">
        <v>52</v>
      </c>
      <c r="C3190" s="2" t="s">
        <v>7</v>
      </c>
      <c r="D3190" s="1" t="s">
        <v>9</v>
      </c>
      <c r="E3190" s="1" t="s">
        <v>49</v>
      </c>
      <c r="F3190" s="1">
        <v>1</v>
      </c>
    </row>
    <row r="3191" spans="1:6" x14ac:dyDescent="0.3">
      <c r="A3191" s="3" t="s">
        <v>8</v>
      </c>
      <c r="B3191" s="3" t="s">
        <v>52</v>
      </c>
      <c r="C3191" s="4" t="s">
        <v>7</v>
      </c>
      <c r="D3191" s="3" t="s">
        <v>11</v>
      </c>
      <c r="E3191" s="3" t="s">
        <v>44</v>
      </c>
      <c r="F3191" s="3">
        <v>9759.5999999999894</v>
      </c>
    </row>
    <row r="3192" spans="1:6" x14ac:dyDescent="0.3">
      <c r="A3192" s="1" t="s">
        <v>8</v>
      </c>
      <c r="B3192" s="1" t="s">
        <v>52</v>
      </c>
      <c r="C3192" s="2" t="s">
        <v>7</v>
      </c>
      <c r="D3192" s="1" t="s">
        <v>11</v>
      </c>
      <c r="E3192" s="1" t="s">
        <v>45</v>
      </c>
      <c r="F3192" s="1">
        <v>9759.5999999999894</v>
      </c>
    </row>
    <row r="3193" spans="1:6" x14ac:dyDescent="0.3">
      <c r="A3193" s="3" t="s">
        <v>8</v>
      </c>
      <c r="B3193" s="3" t="s">
        <v>52</v>
      </c>
      <c r="C3193" s="4" t="s">
        <v>7</v>
      </c>
      <c r="D3193" s="3" t="s">
        <v>11</v>
      </c>
      <c r="E3193" s="3" t="s">
        <v>49</v>
      </c>
      <c r="F3193" s="3">
        <v>1</v>
      </c>
    </row>
    <row r="3194" spans="1:6" x14ac:dyDescent="0.3">
      <c r="A3194" s="1" t="s">
        <v>8</v>
      </c>
      <c r="B3194" s="1" t="s">
        <v>52</v>
      </c>
      <c r="C3194" s="2" t="s">
        <v>7</v>
      </c>
      <c r="D3194" s="1" t="s">
        <v>1</v>
      </c>
      <c r="E3194" s="1" t="s">
        <v>44</v>
      </c>
      <c r="F3194" s="1">
        <v>-20215.5</v>
      </c>
    </row>
    <row r="3195" spans="1:6" x14ac:dyDescent="0.3">
      <c r="A3195" s="3" t="s">
        <v>8</v>
      </c>
      <c r="B3195" s="3" t="s">
        <v>52</v>
      </c>
      <c r="C3195" s="4" t="s">
        <v>7</v>
      </c>
      <c r="D3195" s="3" t="s">
        <v>1</v>
      </c>
      <c r="E3195" s="3" t="s">
        <v>45</v>
      </c>
      <c r="F3195" s="3">
        <v>10206</v>
      </c>
    </row>
    <row r="3196" spans="1:6" x14ac:dyDescent="0.3">
      <c r="A3196" s="1" t="s">
        <v>8</v>
      </c>
      <c r="B3196" s="1" t="s">
        <v>52</v>
      </c>
      <c r="C3196" s="2" t="s">
        <v>7</v>
      </c>
      <c r="D3196" s="1" t="s">
        <v>1</v>
      </c>
      <c r="E3196" s="1" t="s">
        <v>48</v>
      </c>
      <c r="F3196" s="1">
        <v>30421.5</v>
      </c>
    </row>
    <row r="3197" spans="1:6" x14ac:dyDescent="0.3">
      <c r="A3197" s="3" t="s">
        <v>8</v>
      </c>
      <c r="B3197" s="3" t="s">
        <v>52</v>
      </c>
      <c r="C3197" s="4" t="s">
        <v>7</v>
      </c>
      <c r="D3197" s="3" t="s">
        <v>1</v>
      </c>
      <c r="E3197" s="3" t="s">
        <v>49</v>
      </c>
      <c r="F3197" s="3">
        <v>-1.9807466196354999</v>
      </c>
    </row>
    <row r="3198" spans="1:6" x14ac:dyDescent="0.3">
      <c r="A3198" s="1" t="s">
        <v>8</v>
      </c>
      <c r="B3198" s="1" t="s">
        <v>52</v>
      </c>
      <c r="C3198" s="2" t="s">
        <v>7</v>
      </c>
      <c r="D3198" s="1" t="s">
        <v>6</v>
      </c>
      <c r="E3198" s="1" t="s">
        <v>44</v>
      </c>
      <c r="F3198" s="1">
        <v>-15112.5</v>
      </c>
    </row>
    <row r="3199" spans="1:6" x14ac:dyDescent="0.3">
      <c r="A3199" s="3" t="s">
        <v>8</v>
      </c>
      <c r="B3199" s="3" t="s">
        <v>52</v>
      </c>
      <c r="C3199" s="4" t="s">
        <v>7</v>
      </c>
      <c r="D3199" s="3" t="s">
        <v>6</v>
      </c>
      <c r="E3199" s="3" t="s">
        <v>45</v>
      </c>
      <c r="F3199" s="3">
        <v>15309</v>
      </c>
    </row>
    <row r="3200" spans="1:6" x14ac:dyDescent="0.3">
      <c r="A3200" s="1" t="s">
        <v>8</v>
      </c>
      <c r="B3200" s="1" t="s">
        <v>52</v>
      </c>
      <c r="C3200" s="2" t="s">
        <v>7</v>
      </c>
      <c r="D3200" s="1" t="s">
        <v>6</v>
      </c>
      <c r="E3200" s="1" t="s">
        <v>48</v>
      </c>
      <c r="F3200" s="1">
        <v>30421.5</v>
      </c>
    </row>
    <row r="3201" spans="1:6" x14ac:dyDescent="0.3">
      <c r="A3201" s="3" t="s">
        <v>8</v>
      </c>
      <c r="B3201" s="3" t="s">
        <v>52</v>
      </c>
      <c r="C3201" s="4" t="s">
        <v>7</v>
      </c>
      <c r="D3201" s="3" t="s">
        <v>6</v>
      </c>
      <c r="E3201" s="3" t="s">
        <v>49</v>
      </c>
      <c r="F3201" s="3">
        <v>-0.98716441309033898</v>
      </c>
    </row>
    <row r="3202" spans="1:6" x14ac:dyDescent="0.3">
      <c r="A3202" s="1" t="s">
        <v>8</v>
      </c>
      <c r="B3202" s="1" t="s">
        <v>52</v>
      </c>
      <c r="C3202" s="2" t="s">
        <v>7</v>
      </c>
      <c r="D3202" s="1" t="s">
        <v>9</v>
      </c>
      <c r="E3202" s="1" t="s">
        <v>44</v>
      </c>
      <c r="F3202" s="1">
        <v>-30292.199999999899</v>
      </c>
    </row>
    <row r="3203" spans="1:6" x14ac:dyDescent="0.3">
      <c r="A3203" s="3" t="s">
        <v>8</v>
      </c>
      <c r="B3203" s="3" t="s">
        <v>52</v>
      </c>
      <c r="C3203" s="4" t="s">
        <v>7</v>
      </c>
      <c r="D3203" s="3" t="s">
        <v>9</v>
      </c>
      <c r="E3203" s="3" t="s">
        <v>45</v>
      </c>
      <c r="F3203" s="3">
        <v>20412</v>
      </c>
    </row>
    <row r="3204" spans="1:6" x14ac:dyDescent="0.3">
      <c r="A3204" s="1" t="s">
        <v>8</v>
      </c>
      <c r="B3204" s="1" t="s">
        <v>52</v>
      </c>
      <c r="C3204" s="2" t="s">
        <v>7</v>
      </c>
      <c r="D3204" s="1" t="s">
        <v>9</v>
      </c>
      <c r="E3204" s="1" t="s">
        <v>48</v>
      </c>
      <c r="F3204" s="1">
        <v>50704.199999999903</v>
      </c>
    </row>
    <row r="3205" spans="1:6" x14ac:dyDescent="0.3">
      <c r="A3205" s="3" t="s">
        <v>8</v>
      </c>
      <c r="B3205" s="3" t="s">
        <v>52</v>
      </c>
      <c r="C3205" s="4" t="s">
        <v>7</v>
      </c>
      <c r="D3205" s="3" t="s">
        <v>9</v>
      </c>
      <c r="E3205" s="3" t="s">
        <v>49</v>
      </c>
      <c r="F3205" s="3">
        <v>-1.4840388007054599</v>
      </c>
    </row>
    <row r="3206" spans="1:6" x14ac:dyDescent="0.3">
      <c r="A3206" s="1" t="s">
        <v>8</v>
      </c>
      <c r="B3206" s="1" t="s">
        <v>52</v>
      </c>
      <c r="C3206" s="2" t="s">
        <v>7</v>
      </c>
      <c r="D3206" s="1" t="s">
        <v>11</v>
      </c>
      <c r="E3206" s="1" t="s">
        <v>44</v>
      </c>
      <c r="F3206" s="1">
        <v>-35330.549999999901</v>
      </c>
    </row>
    <row r="3207" spans="1:6" x14ac:dyDescent="0.3">
      <c r="A3207" s="3" t="s">
        <v>8</v>
      </c>
      <c r="B3207" s="3" t="s">
        <v>52</v>
      </c>
      <c r="C3207" s="4" t="s">
        <v>7</v>
      </c>
      <c r="D3207" s="3" t="s">
        <v>11</v>
      </c>
      <c r="E3207" s="3" t="s">
        <v>45</v>
      </c>
      <c r="F3207" s="3">
        <v>25515</v>
      </c>
    </row>
    <row r="3208" spans="1:6" x14ac:dyDescent="0.3">
      <c r="A3208" s="1" t="s">
        <v>8</v>
      </c>
      <c r="B3208" s="1" t="s">
        <v>52</v>
      </c>
      <c r="C3208" s="2" t="s">
        <v>7</v>
      </c>
      <c r="D3208" s="1" t="s">
        <v>11</v>
      </c>
      <c r="E3208" s="1" t="s">
        <v>48</v>
      </c>
      <c r="F3208" s="1">
        <v>60845.549999999901</v>
      </c>
    </row>
    <row r="3209" spans="1:6" x14ac:dyDescent="0.3">
      <c r="A3209" s="3" t="s">
        <v>8</v>
      </c>
      <c r="B3209" s="3" t="s">
        <v>52</v>
      </c>
      <c r="C3209" s="4" t="s">
        <v>7</v>
      </c>
      <c r="D3209" s="3" t="s">
        <v>11</v>
      </c>
      <c r="E3209" s="3" t="s">
        <v>49</v>
      </c>
      <c r="F3209" s="3">
        <v>-1.3846972369194499</v>
      </c>
    </row>
    <row r="3210" spans="1:6" x14ac:dyDescent="0.3">
      <c r="A3210" s="1" t="s">
        <v>10</v>
      </c>
      <c r="B3210" s="1" t="s">
        <v>43</v>
      </c>
      <c r="C3210" s="2" t="s">
        <v>4</v>
      </c>
      <c r="D3210" s="1" t="s">
        <v>1</v>
      </c>
      <c r="E3210" s="1" t="s">
        <v>44</v>
      </c>
      <c r="F3210" s="1">
        <v>42525</v>
      </c>
    </row>
    <row r="3211" spans="1:6" x14ac:dyDescent="0.3">
      <c r="A3211" s="3" t="s">
        <v>10</v>
      </c>
      <c r="B3211" s="3" t="s">
        <v>43</v>
      </c>
      <c r="C3211" s="4" t="s">
        <v>4</v>
      </c>
      <c r="D3211" s="3" t="s">
        <v>1</v>
      </c>
      <c r="E3211" s="3" t="s">
        <v>45</v>
      </c>
      <c r="F3211" s="3">
        <v>42525</v>
      </c>
    </row>
    <row r="3212" spans="1:6" x14ac:dyDescent="0.3">
      <c r="A3212" s="1" t="s">
        <v>10</v>
      </c>
      <c r="B3212" s="1" t="s">
        <v>43</v>
      </c>
      <c r="C3212" s="2" t="s">
        <v>4</v>
      </c>
      <c r="D3212" s="1" t="s">
        <v>1</v>
      </c>
      <c r="E3212" s="1" t="s">
        <v>49</v>
      </c>
      <c r="F3212" s="1">
        <v>1</v>
      </c>
    </row>
    <row r="3213" spans="1:6" x14ac:dyDescent="0.3">
      <c r="A3213" s="3" t="s">
        <v>10</v>
      </c>
      <c r="B3213" s="3" t="s">
        <v>43</v>
      </c>
      <c r="C3213" s="4" t="s">
        <v>4</v>
      </c>
      <c r="D3213" s="3" t="s">
        <v>6</v>
      </c>
      <c r="E3213" s="3" t="s">
        <v>44</v>
      </c>
      <c r="F3213" s="3">
        <v>63787.5</v>
      </c>
    </row>
    <row r="3214" spans="1:6" x14ac:dyDescent="0.3">
      <c r="A3214" s="1" t="s">
        <v>10</v>
      </c>
      <c r="B3214" s="1" t="s">
        <v>43</v>
      </c>
      <c r="C3214" s="2" t="s">
        <v>4</v>
      </c>
      <c r="D3214" s="1" t="s">
        <v>6</v>
      </c>
      <c r="E3214" s="1" t="s">
        <v>45</v>
      </c>
      <c r="F3214" s="1">
        <v>63787.5</v>
      </c>
    </row>
    <row r="3215" spans="1:6" x14ac:dyDescent="0.3">
      <c r="A3215" s="3" t="s">
        <v>10</v>
      </c>
      <c r="B3215" s="3" t="s">
        <v>43</v>
      </c>
      <c r="C3215" s="4" t="s">
        <v>4</v>
      </c>
      <c r="D3215" s="3" t="s">
        <v>6</v>
      </c>
      <c r="E3215" s="3" t="s">
        <v>49</v>
      </c>
      <c r="F3215" s="3">
        <v>1</v>
      </c>
    </row>
    <row r="3216" spans="1:6" x14ac:dyDescent="0.3">
      <c r="A3216" s="1" t="s">
        <v>10</v>
      </c>
      <c r="B3216" s="1" t="s">
        <v>43</v>
      </c>
      <c r="C3216" s="2" t="s">
        <v>4</v>
      </c>
      <c r="D3216" s="1" t="s">
        <v>9</v>
      </c>
      <c r="E3216" s="1" t="s">
        <v>44</v>
      </c>
      <c r="F3216" s="1">
        <v>85050</v>
      </c>
    </row>
    <row r="3217" spans="1:6" x14ac:dyDescent="0.3">
      <c r="A3217" s="3" t="s">
        <v>10</v>
      </c>
      <c r="B3217" s="3" t="s">
        <v>43</v>
      </c>
      <c r="C3217" s="4" t="s">
        <v>4</v>
      </c>
      <c r="D3217" s="3" t="s">
        <v>9</v>
      </c>
      <c r="E3217" s="3" t="s">
        <v>45</v>
      </c>
      <c r="F3217" s="3">
        <v>85050</v>
      </c>
    </row>
    <row r="3218" spans="1:6" x14ac:dyDescent="0.3">
      <c r="A3218" s="1" t="s">
        <v>10</v>
      </c>
      <c r="B3218" s="1" t="s">
        <v>43</v>
      </c>
      <c r="C3218" s="2" t="s">
        <v>4</v>
      </c>
      <c r="D3218" s="1" t="s">
        <v>9</v>
      </c>
      <c r="E3218" s="1" t="s">
        <v>49</v>
      </c>
      <c r="F3218" s="1">
        <v>1</v>
      </c>
    </row>
    <row r="3219" spans="1:6" x14ac:dyDescent="0.3">
      <c r="A3219" s="3" t="s">
        <v>10</v>
      </c>
      <c r="B3219" s="3" t="s">
        <v>43</v>
      </c>
      <c r="C3219" s="4" t="s">
        <v>4</v>
      </c>
      <c r="D3219" s="3" t="s">
        <v>11</v>
      </c>
      <c r="E3219" s="3" t="s">
        <v>44</v>
      </c>
      <c r="F3219" s="3">
        <v>106312.5</v>
      </c>
    </row>
    <row r="3220" spans="1:6" x14ac:dyDescent="0.3">
      <c r="A3220" s="1" t="s">
        <v>10</v>
      </c>
      <c r="B3220" s="1" t="s">
        <v>43</v>
      </c>
      <c r="C3220" s="2" t="s">
        <v>4</v>
      </c>
      <c r="D3220" s="1" t="s">
        <v>11</v>
      </c>
      <c r="E3220" s="1" t="s">
        <v>45</v>
      </c>
      <c r="F3220" s="1">
        <v>106312.5</v>
      </c>
    </row>
    <row r="3221" spans="1:6" x14ac:dyDescent="0.3">
      <c r="A3221" s="3" t="s">
        <v>10</v>
      </c>
      <c r="B3221" s="3" t="s">
        <v>43</v>
      </c>
      <c r="C3221" s="4" t="s">
        <v>4</v>
      </c>
      <c r="D3221" s="3" t="s">
        <v>11</v>
      </c>
      <c r="E3221" s="3" t="s">
        <v>49</v>
      </c>
      <c r="F3221" s="3">
        <v>1</v>
      </c>
    </row>
    <row r="3222" spans="1:6" x14ac:dyDescent="0.3">
      <c r="A3222" s="1" t="s">
        <v>10</v>
      </c>
      <c r="B3222" s="1" t="s">
        <v>43</v>
      </c>
      <c r="C3222" s="2" t="s">
        <v>4</v>
      </c>
      <c r="D3222" s="1" t="s">
        <v>1</v>
      </c>
      <c r="E3222" s="1" t="s">
        <v>44</v>
      </c>
      <c r="F3222" s="1">
        <v>19561.5</v>
      </c>
    </row>
    <row r="3223" spans="1:6" x14ac:dyDescent="0.3">
      <c r="A3223" s="3" t="s">
        <v>10</v>
      </c>
      <c r="B3223" s="3" t="s">
        <v>43</v>
      </c>
      <c r="C3223" s="4" t="s">
        <v>4</v>
      </c>
      <c r="D3223" s="3" t="s">
        <v>1</v>
      </c>
      <c r="E3223" s="3" t="s">
        <v>45</v>
      </c>
      <c r="F3223" s="3">
        <v>19561.5</v>
      </c>
    </row>
    <row r="3224" spans="1:6" x14ac:dyDescent="0.3">
      <c r="A3224" s="1" t="s">
        <v>10</v>
      </c>
      <c r="B3224" s="1" t="s">
        <v>43</v>
      </c>
      <c r="C3224" s="2" t="s">
        <v>4</v>
      </c>
      <c r="D3224" s="1" t="s">
        <v>1</v>
      </c>
      <c r="E3224" s="1" t="s">
        <v>49</v>
      </c>
      <c r="F3224" s="1">
        <v>1</v>
      </c>
    </row>
    <row r="3225" spans="1:6" x14ac:dyDescent="0.3">
      <c r="A3225" s="3" t="s">
        <v>10</v>
      </c>
      <c r="B3225" s="3" t="s">
        <v>43</v>
      </c>
      <c r="C3225" s="4" t="s">
        <v>4</v>
      </c>
      <c r="D3225" s="3" t="s">
        <v>6</v>
      </c>
      <c r="E3225" s="3" t="s">
        <v>44</v>
      </c>
      <c r="F3225" s="3">
        <v>19561.5</v>
      </c>
    </row>
    <row r="3226" spans="1:6" x14ac:dyDescent="0.3">
      <c r="A3226" s="1" t="s">
        <v>10</v>
      </c>
      <c r="B3226" s="1" t="s">
        <v>43</v>
      </c>
      <c r="C3226" s="2" t="s">
        <v>4</v>
      </c>
      <c r="D3226" s="1" t="s">
        <v>6</v>
      </c>
      <c r="E3226" s="1" t="s">
        <v>45</v>
      </c>
      <c r="F3226" s="1">
        <v>19561.5</v>
      </c>
    </row>
    <row r="3227" spans="1:6" x14ac:dyDescent="0.3">
      <c r="A3227" s="3" t="s">
        <v>10</v>
      </c>
      <c r="B3227" s="3" t="s">
        <v>43</v>
      </c>
      <c r="C3227" s="4" t="s">
        <v>4</v>
      </c>
      <c r="D3227" s="3" t="s">
        <v>6</v>
      </c>
      <c r="E3227" s="3" t="s">
        <v>49</v>
      </c>
      <c r="F3227" s="3">
        <v>1</v>
      </c>
    </row>
    <row r="3228" spans="1:6" x14ac:dyDescent="0.3">
      <c r="A3228" s="1" t="s">
        <v>10</v>
      </c>
      <c r="B3228" s="1" t="s">
        <v>43</v>
      </c>
      <c r="C3228" s="2" t="s">
        <v>4</v>
      </c>
      <c r="D3228" s="1" t="s">
        <v>9</v>
      </c>
      <c r="E3228" s="1" t="s">
        <v>44</v>
      </c>
      <c r="F3228" s="1">
        <v>32602.5</v>
      </c>
    </row>
    <row r="3229" spans="1:6" x14ac:dyDescent="0.3">
      <c r="A3229" s="3" t="s">
        <v>10</v>
      </c>
      <c r="B3229" s="3" t="s">
        <v>43</v>
      </c>
      <c r="C3229" s="4" t="s">
        <v>4</v>
      </c>
      <c r="D3229" s="3" t="s">
        <v>9</v>
      </c>
      <c r="E3229" s="3" t="s">
        <v>45</v>
      </c>
      <c r="F3229" s="3">
        <v>32602.5</v>
      </c>
    </row>
    <row r="3230" spans="1:6" x14ac:dyDescent="0.3">
      <c r="A3230" s="1" t="s">
        <v>10</v>
      </c>
      <c r="B3230" s="1" t="s">
        <v>43</v>
      </c>
      <c r="C3230" s="2" t="s">
        <v>4</v>
      </c>
      <c r="D3230" s="1" t="s">
        <v>9</v>
      </c>
      <c r="E3230" s="1" t="s">
        <v>49</v>
      </c>
      <c r="F3230" s="1">
        <v>1</v>
      </c>
    </row>
    <row r="3231" spans="1:6" x14ac:dyDescent="0.3">
      <c r="A3231" s="3" t="s">
        <v>10</v>
      </c>
      <c r="B3231" s="3" t="s">
        <v>43</v>
      </c>
      <c r="C3231" s="4" t="s">
        <v>4</v>
      </c>
      <c r="D3231" s="3" t="s">
        <v>11</v>
      </c>
      <c r="E3231" s="3" t="s">
        <v>44</v>
      </c>
      <c r="F3231" s="3">
        <v>39123</v>
      </c>
    </row>
    <row r="3232" spans="1:6" x14ac:dyDescent="0.3">
      <c r="A3232" s="1" t="s">
        <v>10</v>
      </c>
      <c r="B3232" s="1" t="s">
        <v>43</v>
      </c>
      <c r="C3232" s="2" t="s">
        <v>4</v>
      </c>
      <c r="D3232" s="1" t="s">
        <v>11</v>
      </c>
      <c r="E3232" s="1" t="s">
        <v>45</v>
      </c>
      <c r="F3232" s="1">
        <v>39123</v>
      </c>
    </row>
    <row r="3233" spans="1:6" x14ac:dyDescent="0.3">
      <c r="A3233" s="3" t="s">
        <v>10</v>
      </c>
      <c r="B3233" s="3" t="s">
        <v>43</v>
      </c>
      <c r="C3233" s="4" t="s">
        <v>4</v>
      </c>
      <c r="D3233" s="3" t="s">
        <v>11</v>
      </c>
      <c r="E3233" s="3" t="s">
        <v>49</v>
      </c>
      <c r="F3233" s="3">
        <v>1</v>
      </c>
    </row>
    <row r="3234" spans="1:6" x14ac:dyDescent="0.3">
      <c r="A3234" s="1" t="s">
        <v>10</v>
      </c>
      <c r="B3234" s="1" t="s">
        <v>43</v>
      </c>
      <c r="C3234" s="2" t="s">
        <v>4</v>
      </c>
      <c r="D3234" s="1" t="s">
        <v>1</v>
      </c>
      <c r="E3234" s="1" t="s">
        <v>44</v>
      </c>
      <c r="F3234" s="1">
        <v>42525</v>
      </c>
    </row>
    <row r="3235" spans="1:6" x14ac:dyDescent="0.3">
      <c r="A3235" s="3" t="s">
        <v>10</v>
      </c>
      <c r="B3235" s="3" t="s">
        <v>43</v>
      </c>
      <c r="C3235" s="4" t="s">
        <v>4</v>
      </c>
      <c r="D3235" s="3" t="s">
        <v>1</v>
      </c>
      <c r="E3235" s="3" t="s">
        <v>45</v>
      </c>
      <c r="F3235" s="3">
        <v>42525</v>
      </c>
    </row>
    <row r="3236" spans="1:6" x14ac:dyDescent="0.3">
      <c r="A3236" s="1" t="s">
        <v>10</v>
      </c>
      <c r="B3236" s="1" t="s">
        <v>43</v>
      </c>
      <c r="C3236" s="2" t="s">
        <v>4</v>
      </c>
      <c r="D3236" s="1" t="s">
        <v>1</v>
      </c>
      <c r="E3236" s="1" t="s">
        <v>49</v>
      </c>
      <c r="F3236" s="1">
        <v>1</v>
      </c>
    </row>
    <row r="3237" spans="1:6" x14ac:dyDescent="0.3">
      <c r="A3237" s="3" t="s">
        <v>10</v>
      </c>
      <c r="B3237" s="3" t="s">
        <v>43</v>
      </c>
      <c r="C3237" s="4" t="s">
        <v>4</v>
      </c>
      <c r="D3237" s="3" t="s">
        <v>6</v>
      </c>
      <c r="E3237" s="3" t="s">
        <v>44</v>
      </c>
      <c r="F3237" s="3">
        <v>42525</v>
      </c>
    </row>
    <row r="3238" spans="1:6" x14ac:dyDescent="0.3">
      <c r="A3238" s="1" t="s">
        <v>10</v>
      </c>
      <c r="B3238" s="1" t="s">
        <v>43</v>
      </c>
      <c r="C3238" s="2" t="s">
        <v>4</v>
      </c>
      <c r="D3238" s="1" t="s">
        <v>6</v>
      </c>
      <c r="E3238" s="1" t="s">
        <v>45</v>
      </c>
      <c r="F3238" s="1">
        <v>42525</v>
      </c>
    </row>
    <row r="3239" spans="1:6" x14ac:dyDescent="0.3">
      <c r="A3239" s="3" t="s">
        <v>10</v>
      </c>
      <c r="B3239" s="3" t="s">
        <v>43</v>
      </c>
      <c r="C3239" s="4" t="s">
        <v>4</v>
      </c>
      <c r="D3239" s="3" t="s">
        <v>6</v>
      </c>
      <c r="E3239" s="3" t="s">
        <v>49</v>
      </c>
      <c r="F3239" s="3">
        <v>1</v>
      </c>
    </row>
    <row r="3240" spans="1:6" x14ac:dyDescent="0.3">
      <c r="A3240" s="1" t="s">
        <v>10</v>
      </c>
      <c r="B3240" s="1" t="s">
        <v>43</v>
      </c>
      <c r="C3240" s="2" t="s">
        <v>4</v>
      </c>
      <c r="D3240" s="1" t="s">
        <v>9</v>
      </c>
      <c r="E3240" s="1" t="s">
        <v>44</v>
      </c>
      <c r="F3240" s="1">
        <v>42525</v>
      </c>
    </row>
    <row r="3241" spans="1:6" x14ac:dyDescent="0.3">
      <c r="A3241" s="3" t="s">
        <v>10</v>
      </c>
      <c r="B3241" s="3" t="s">
        <v>43</v>
      </c>
      <c r="C3241" s="4" t="s">
        <v>4</v>
      </c>
      <c r="D3241" s="3" t="s">
        <v>9</v>
      </c>
      <c r="E3241" s="3" t="s">
        <v>45</v>
      </c>
      <c r="F3241" s="3">
        <v>42525</v>
      </c>
    </row>
    <row r="3242" spans="1:6" x14ac:dyDescent="0.3">
      <c r="A3242" s="1" t="s">
        <v>10</v>
      </c>
      <c r="B3242" s="1" t="s">
        <v>43</v>
      </c>
      <c r="C3242" s="2" t="s">
        <v>4</v>
      </c>
      <c r="D3242" s="1" t="s">
        <v>9</v>
      </c>
      <c r="E3242" s="1" t="s">
        <v>49</v>
      </c>
      <c r="F3242" s="1">
        <v>1</v>
      </c>
    </row>
    <row r="3243" spans="1:6" x14ac:dyDescent="0.3">
      <c r="A3243" s="3" t="s">
        <v>10</v>
      </c>
      <c r="B3243" s="3" t="s">
        <v>43</v>
      </c>
      <c r="C3243" s="4" t="s">
        <v>4</v>
      </c>
      <c r="D3243" s="3" t="s">
        <v>11</v>
      </c>
      <c r="E3243" s="3" t="s">
        <v>44</v>
      </c>
      <c r="F3243" s="3">
        <v>42525</v>
      </c>
    </row>
    <row r="3244" spans="1:6" x14ac:dyDescent="0.3">
      <c r="A3244" s="1" t="s">
        <v>10</v>
      </c>
      <c r="B3244" s="1" t="s">
        <v>43</v>
      </c>
      <c r="C3244" s="2" t="s">
        <v>4</v>
      </c>
      <c r="D3244" s="1" t="s">
        <v>11</v>
      </c>
      <c r="E3244" s="1" t="s">
        <v>45</v>
      </c>
      <c r="F3244" s="1">
        <v>42525</v>
      </c>
    </row>
    <row r="3245" spans="1:6" x14ac:dyDescent="0.3">
      <c r="A3245" s="3" t="s">
        <v>10</v>
      </c>
      <c r="B3245" s="3" t="s">
        <v>43</v>
      </c>
      <c r="C3245" s="4" t="s">
        <v>4</v>
      </c>
      <c r="D3245" s="3" t="s">
        <v>11</v>
      </c>
      <c r="E3245" s="3" t="s">
        <v>49</v>
      </c>
      <c r="F3245" s="3">
        <v>1</v>
      </c>
    </row>
    <row r="3246" spans="1:6" x14ac:dyDescent="0.3">
      <c r="A3246" s="1" t="s">
        <v>10</v>
      </c>
      <c r="B3246" s="1" t="s">
        <v>43</v>
      </c>
      <c r="C3246" s="2" t="s">
        <v>4</v>
      </c>
      <c r="D3246" s="1" t="s">
        <v>1</v>
      </c>
      <c r="E3246" s="1" t="s">
        <v>44</v>
      </c>
      <c r="F3246" s="1">
        <v>36146.400000000001</v>
      </c>
    </row>
    <row r="3247" spans="1:6" x14ac:dyDescent="0.3">
      <c r="A3247" s="3" t="s">
        <v>10</v>
      </c>
      <c r="B3247" s="3" t="s">
        <v>43</v>
      </c>
      <c r="C3247" s="4" t="s">
        <v>4</v>
      </c>
      <c r="D3247" s="3" t="s">
        <v>1</v>
      </c>
      <c r="E3247" s="3" t="s">
        <v>45</v>
      </c>
      <c r="F3247" s="3">
        <v>36146.400000000001</v>
      </c>
    </row>
    <row r="3248" spans="1:6" x14ac:dyDescent="0.3">
      <c r="A3248" s="1" t="s">
        <v>10</v>
      </c>
      <c r="B3248" s="1" t="s">
        <v>43</v>
      </c>
      <c r="C3248" s="2" t="s">
        <v>4</v>
      </c>
      <c r="D3248" s="1" t="s">
        <v>1</v>
      </c>
      <c r="E3248" s="1" t="s">
        <v>49</v>
      </c>
      <c r="F3248" s="1">
        <v>1</v>
      </c>
    </row>
    <row r="3249" spans="1:6" x14ac:dyDescent="0.3">
      <c r="A3249" s="3" t="s">
        <v>10</v>
      </c>
      <c r="B3249" s="3" t="s">
        <v>43</v>
      </c>
      <c r="C3249" s="4" t="s">
        <v>4</v>
      </c>
      <c r="D3249" s="3" t="s">
        <v>6</v>
      </c>
      <c r="E3249" s="3" t="s">
        <v>44</v>
      </c>
      <c r="F3249" s="3">
        <v>36146.400000000001</v>
      </c>
    </row>
    <row r="3250" spans="1:6" x14ac:dyDescent="0.3">
      <c r="A3250" s="1" t="s">
        <v>10</v>
      </c>
      <c r="B3250" s="1" t="s">
        <v>43</v>
      </c>
      <c r="C3250" s="2" t="s">
        <v>4</v>
      </c>
      <c r="D3250" s="1" t="s">
        <v>6</v>
      </c>
      <c r="E3250" s="1" t="s">
        <v>45</v>
      </c>
      <c r="F3250" s="1">
        <v>36146.400000000001</v>
      </c>
    </row>
    <row r="3251" spans="1:6" x14ac:dyDescent="0.3">
      <c r="A3251" s="3" t="s">
        <v>10</v>
      </c>
      <c r="B3251" s="3" t="s">
        <v>43</v>
      </c>
      <c r="C3251" s="4" t="s">
        <v>4</v>
      </c>
      <c r="D3251" s="3" t="s">
        <v>6</v>
      </c>
      <c r="E3251" s="3" t="s">
        <v>49</v>
      </c>
      <c r="F3251" s="3">
        <v>1</v>
      </c>
    </row>
    <row r="3252" spans="1:6" x14ac:dyDescent="0.3">
      <c r="A3252" s="1" t="s">
        <v>10</v>
      </c>
      <c r="B3252" s="1" t="s">
        <v>43</v>
      </c>
      <c r="C3252" s="2" t="s">
        <v>4</v>
      </c>
      <c r="D3252" s="1" t="s">
        <v>9</v>
      </c>
      <c r="E3252" s="1" t="s">
        <v>44</v>
      </c>
      <c r="F3252" s="1">
        <v>36146.400000000001</v>
      </c>
    </row>
    <row r="3253" spans="1:6" x14ac:dyDescent="0.3">
      <c r="A3253" s="3" t="s">
        <v>10</v>
      </c>
      <c r="B3253" s="3" t="s">
        <v>43</v>
      </c>
      <c r="C3253" s="4" t="s">
        <v>4</v>
      </c>
      <c r="D3253" s="3" t="s">
        <v>9</v>
      </c>
      <c r="E3253" s="3" t="s">
        <v>45</v>
      </c>
      <c r="F3253" s="3">
        <v>36146.400000000001</v>
      </c>
    </row>
    <row r="3254" spans="1:6" x14ac:dyDescent="0.3">
      <c r="A3254" s="1" t="s">
        <v>10</v>
      </c>
      <c r="B3254" s="1" t="s">
        <v>43</v>
      </c>
      <c r="C3254" s="2" t="s">
        <v>4</v>
      </c>
      <c r="D3254" s="1" t="s">
        <v>9</v>
      </c>
      <c r="E3254" s="1" t="s">
        <v>49</v>
      </c>
      <c r="F3254" s="1">
        <v>1</v>
      </c>
    </row>
    <row r="3255" spans="1:6" x14ac:dyDescent="0.3">
      <c r="A3255" s="3" t="s">
        <v>10</v>
      </c>
      <c r="B3255" s="3" t="s">
        <v>43</v>
      </c>
      <c r="C3255" s="4" t="s">
        <v>4</v>
      </c>
      <c r="D3255" s="3" t="s">
        <v>11</v>
      </c>
      <c r="E3255" s="3" t="s">
        <v>44</v>
      </c>
      <c r="F3255" s="3">
        <v>36146.400000000001</v>
      </c>
    </row>
    <row r="3256" spans="1:6" x14ac:dyDescent="0.3">
      <c r="A3256" s="1" t="s">
        <v>10</v>
      </c>
      <c r="B3256" s="1" t="s">
        <v>43</v>
      </c>
      <c r="C3256" s="2" t="s">
        <v>4</v>
      </c>
      <c r="D3256" s="1" t="s">
        <v>11</v>
      </c>
      <c r="E3256" s="1" t="s">
        <v>45</v>
      </c>
      <c r="F3256" s="1">
        <v>36146.400000000001</v>
      </c>
    </row>
    <row r="3257" spans="1:6" x14ac:dyDescent="0.3">
      <c r="A3257" s="3" t="s">
        <v>10</v>
      </c>
      <c r="B3257" s="3" t="s">
        <v>43</v>
      </c>
      <c r="C3257" s="4" t="s">
        <v>4</v>
      </c>
      <c r="D3257" s="3" t="s">
        <v>11</v>
      </c>
      <c r="E3257" s="3" t="s">
        <v>49</v>
      </c>
      <c r="F3257" s="3">
        <v>1</v>
      </c>
    </row>
    <row r="3258" spans="1:6" x14ac:dyDescent="0.3">
      <c r="A3258" s="1" t="s">
        <v>10</v>
      </c>
      <c r="B3258" s="1" t="s">
        <v>43</v>
      </c>
      <c r="C3258" s="2" t="s">
        <v>4</v>
      </c>
      <c r="D3258" s="1" t="s">
        <v>1</v>
      </c>
      <c r="E3258" s="1" t="s">
        <v>44</v>
      </c>
      <c r="F3258" s="1">
        <v>19136.3999999999</v>
      </c>
    </row>
    <row r="3259" spans="1:6" x14ac:dyDescent="0.3">
      <c r="A3259" s="3" t="s">
        <v>10</v>
      </c>
      <c r="B3259" s="3" t="s">
        <v>43</v>
      </c>
      <c r="C3259" s="4" t="s">
        <v>4</v>
      </c>
      <c r="D3259" s="3" t="s">
        <v>1</v>
      </c>
      <c r="E3259" s="3" t="s">
        <v>45</v>
      </c>
      <c r="F3259" s="3">
        <v>19136.3999999999</v>
      </c>
    </row>
    <row r="3260" spans="1:6" x14ac:dyDescent="0.3">
      <c r="A3260" s="1" t="s">
        <v>10</v>
      </c>
      <c r="B3260" s="1" t="s">
        <v>43</v>
      </c>
      <c r="C3260" s="2" t="s">
        <v>4</v>
      </c>
      <c r="D3260" s="1" t="s">
        <v>1</v>
      </c>
      <c r="E3260" s="1" t="s">
        <v>49</v>
      </c>
      <c r="F3260" s="1">
        <v>1</v>
      </c>
    </row>
    <row r="3261" spans="1:6" x14ac:dyDescent="0.3">
      <c r="A3261" s="3" t="s">
        <v>10</v>
      </c>
      <c r="B3261" s="3" t="s">
        <v>43</v>
      </c>
      <c r="C3261" s="4" t="s">
        <v>4</v>
      </c>
      <c r="D3261" s="3" t="s">
        <v>6</v>
      </c>
      <c r="E3261" s="3" t="s">
        <v>44</v>
      </c>
      <c r="F3261" s="3">
        <v>28704.299999999901</v>
      </c>
    </row>
    <row r="3262" spans="1:6" x14ac:dyDescent="0.3">
      <c r="A3262" s="1" t="s">
        <v>10</v>
      </c>
      <c r="B3262" s="1" t="s">
        <v>43</v>
      </c>
      <c r="C3262" s="2" t="s">
        <v>4</v>
      </c>
      <c r="D3262" s="1" t="s">
        <v>6</v>
      </c>
      <c r="E3262" s="1" t="s">
        <v>45</v>
      </c>
      <c r="F3262" s="1">
        <v>28704.299999999901</v>
      </c>
    </row>
    <row r="3263" spans="1:6" x14ac:dyDescent="0.3">
      <c r="A3263" s="3" t="s">
        <v>10</v>
      </c>
      <c r="B3263" s="3" t="s">
        <v>43</v>
      </c>
      <c r="C3263" s="4" t="s">
        <v>4</v>
      </c>
      <c r="D3263" s="3" t="s">
        <v>6</v>
      </c>
      <c r="E3263" s="3" t="s">
        <v>49</v>
      </c>
      <c r="F3263" s="3">
        <v>1</v>
      </c>
    </row>
    <row r="3264" spans="1:6" x14ac:dyDescent="0.3">
      <c r="A3264" s="1" t="s">
        <v>10</v>
      </c>
      <c r="B3264" s="1" t="s">
        <v>43</v>
      </c>
      <c r="C3264" s="2" t="s">
        <v>4</v>
      </c>
      <c r="D3264" s="1" t="s">
        <v>9</v>
      </c>
      <c r="E3264" s="1" t="s">
        <v>44</v>
      </c>
      <c r="F3264" s="1">
        <v>38272.5</v>
      </c>
    </row>
    <row r="3265" spans="1:6" x14ac:dyDescent="0.3">
      <c r="A3265" s="3" t="s">
        <v>10</v>
      </c>
      <c r="B3265" s="3" t="s">
        <v>43</v>
      </c>
      <c r="C3265" s="4" t="s">
        <v>4</v>
      </c>
      <c r="D3265" s="3" t="s">
        <v>9</v>
      </c>
      <c r="E3265" s="3" t="s">
        <v>45</v>
      </c>
      <c r="F3265" s="3">
        <v>38272.5</v>
      </c>
    </row>
    <row r="3266" spans="1:6" x14ac:dyDescent="0.3">
      <c r="A3266" s="1" t="s">
        <v>10</v>
      </c>
      <c r="B3266" s="1" t="s">
        <v>43</v>
      </c>
      <c r="C3266" s="2" t="s">
        <v>4</v>
      </c>
      <c r="D3266" s="1" t="s">
        <v>9</v>
      </c>
      <c r="E3266" s="1" t="s">
        <v>49</v>
      </c>
      <c r="F3266" s="1">
        <v>1</v>
      </c>
    </row>
    <row r="3267" spans="1:6" x14ac:dyDescent="0.3">
      <c r="A3267" s="3" t="s">
        <v>10</v>
      </c>
      <c r="B3267" s="3" t="s">
        <v>43</v>
      </c>
      <c r="C3267" s="4" t="s">
        <v>4</v>
      </c>
      <c r="D3267" s="3" t="s">
        <v>11</v>
      </c>
      <c r="E3267" s="3" t="s">
        <v>44</v>
      </c>
      <c r="F3267" s="3">
        <v>47840.699999999903</v>
      </c>
    </row>
    <row r="3268" spans="1:6" x14ac:dyDescent="0.3">
      <c r="A3268" s="1" t="s">
        <v>10</v>
      </c>
      <c r="B3268" s="1" t="s">
        <v>43</v>
      </c>
      <c r="C3268" s="2" t="s">
        <v>4</v>
      </c>
      <c r="D3268" s="1" t="s">
        <v>11</v>
      </c>
      <c r="E3268" s="1" t="s">
        <v>45</v>
      </c>
      <c r="F3268" s="1">
        <v>47840.699999999903</v>
      </c>
    </row>
    <row r="3269" spans="1:6" x14ac:dyDescent="0.3">
      <c r="A3269" s="3" t="s">
        <v>10</v>
      </c>
      <c r="B3269" s="3" t="s">
        <v>43</v>
      </c>
      <c r="C3269" s="4" t="s">
        <v>4</v>
      </c>
      <c r="D3269" s="3" t="s">
        <v>11</v>
      </c>
      <c r="E3269" s="3" t="s">
        <v>49</v>
      </c>
      <c r="F3269" s="3">
        <v>1</v>
      </c>
    </row>
    <row r="3270" spans="1:6" x14ac:dyDescent="0.3">
      <c r="A3270" s="1" t="s">
        <v>10</v>
      </c>
      <c r="B3270" s="1" t="s">
        <v>50</v>
      </c>
      <c r="C3270" s="2" t="s">
        <v>4</v>
      </c>
      <c r="D3270" s="1" t="s">
        <v>1</v>
      </c>
      <c r="E3270" s="1" t="s">
        <v>44</v>
      </c>
      <c r="F3270" s="1">
        <v>30000</v>
      </c>
    </row>
    <row r="3271" spans="1:6" x14ac:dyDescent="0.3">
      <c r="A3271" s="3" t="s">
        <v>10</v>
      </c>
      <c r="B3271" s="3" t="s">
        <v>50</v>
      </c>
      <c r="C3271" s="4" t="s">
        <v>4</v>
      </c>
      <c r="D3271" s="3" t="s">
        <v>1</v>
      </c>
      <c r="E3271" s="3" t="s">
        <v>45</v>
      </c>
      <c r="F3271" s="3">
        <v>30000</v>
      </c>
    </row>
    <row r="3272" spans="1:6" x14ac:dyDescent="0.3">
      <c r="A3272" s="1" t="s">
        <v>10</v>
      </c>
      <c r="B3272" s="1" t="s">
        <v>50</v>
      </c>
      <c r="C3272" s="2" t="s">
        <v>4</v>
      </c>
      <c r="D3272" s="1" t="s">
        <v>1</v>
      </c>
      <c r="E3272" s="1" t="s">
        <v>49</v>
      </c>
      <c r="F3272" s="1">
        <v>1</v>
      </c>
    </row>
    <row r="3273" spans="1:6" x14ac:dyDescent="0.3">
      <c r="A3273" s="3" t="s">
        <v>10</v>
      </c>
      <c r="B3273" s="3" t="s">
        <v>50</v>
      </c>
      <c r="C3273" s="4" t="s">
        <v>4</v>
      </c>
      <c r="D3273" s="3" t="s">
        <v>6</v>
      </c>
      <c r="E3273" s="3" t="s">
        <v>44</v>
      </c>
      <c r="F3273" s="3">
        <v>21000</v>
      </c>
    </row>
    <row r="3274" spans="1:6" x14ac:dyDescent="0.3">
      <c r="A3274" s="1" t="s">
        <v>10</v>
      </c>
      <c r="B3274" s="1" t="s">
        <v>50</v>
      </c>
      <c r="C3274" s="2" t="s">
        <v>4</v>
      </c>
      <c r="D3274" s="1" t="s">
        <v>6</v>
      </c>
      <c r="E3274" s="1" t="s">
        <v>45</v>
      </c>
      <c r="F3274" s="1">
        <v>21000</v>
      </c>
    </row>
    <row r="3275" spans="1:6" x14ac:dyDescent="0.3">
      <c r="A3275" s="3" t="s">
        <v>10</v>
      </c>
      <c r="B3275" s="3" t="s">
        <v>50</v>
      </c>
      <c r="C3275" s="4" t="s">
        <v>4</v>
      </c>
      <c r="D3275" s="3" t="s">
        <v>6</v>
      </c>
      <c r="E3275" s="3" t="s">
        <v>49</v>
      </c>
      <c r="F3275" s="3">
        <v>1</v>
      </c>
    </row>
    <row r="3276" spans="1:6" x14ac:dyDescent="0.3">
      <c r="A3276" s="1" t="s">
        <v>10</v>
      </c>
      <c r="B3276" s="1" t="s">
        <v>50</v>
      </c>
      <c r="C3276" s="2" t="s">
        <v>4</v>
      </c>
      <c r="D3276" s="1" t="s">
        <v>9</v>
      </c>
      <c r="E3276" s="1" t="s">
        <v>44</v>
      </c>
      <c r="F3276" s="1">
        <v>30000</v>
      </c>
    </row>
    <row r="3277" spans="1:6" x14ac:dyDescent="0.3">
      <c r="A3277" s="3" t="s">
        <v>10</v>
      </c>
      <c r="B3277" s="3" t="s">
        <v>50</v>
      </c>
      <c r="C3277" s="4" t="s">
        <v>4</v>
      </c>
      <c r="D3277" s="3" t="s">
        <v>9</v>
      </c>
      <c r="E3277" s="3" t="s">
        <v>45</v>
      </c>
      <c r="F3277" s="3">
        <v>30000</v>
      </c>
    </row>
    <row r="3278" spans="1:6" x14ac:dyDescent="0.3">
      <c r="A3278" s="1" t="s">
        <v>10</v>
      </c>
      <c r="B3278" s="1" t="s">
        <v>50</v>
      </c>
      <c r="C3278" s="2" t="s">
        <v>4</v>
      </c>
      <c r="D3278" s="1" t="s">
        <v>9</v>
      </c>
      <c r="E3278" s="1" t="s">
        <v>49</v>
      </c>
      <c r="F3278" s="1">
        <v>1</v>
      </c>
    </row>
    <row r="3279" spans="1:6" x14ac:dyDescent="0.3">
      <c r="A3279" s="3" t="s">
        <v>10</v>
      </c>
      <c r="B3279" s="3" t="s">
        <v>50</v>
      </c>
      <c r="C3279" s="4" t="s">
        <v>4</v>
      </c>
      <c r="D3279" s="3" t="s">
        <v>11</v>
      </c>
      <c r="E3279" s="3" t="s">
        <v>44</v>
      </c>
      <c r="F3279" s="3">
        <v>205000</v>
      </c>
    </row>
    <row r="3280" spans="1:6" x14ac:dyDescent="0.3">
      <c r="A3280" s="1" t="s">
        <v>10</v>
      </c>
      <c r="B3280" s="1" t="s">
        <v>50</v>
      </c>
      <c r="C3280" s="2" t="s">
        <v>4</v>
      </c>
      <c r="D3280" s="1" t="s">
        <v>11</v>
      </c>
      <c r="E3280" s="1" t="s">
        <v>45</v>
      </c>
      <c r="F3280" s="1">
        <v>205000</v>
      </c>
    </row>
    <row r="3281" spans="1:6" x14ac:dyDescent="0.3">
      <c r="A3281" s="3" t="s">
        <v>10</v>
      </c>
      <c r="B3281" s="3" t="s">
        <v>50</v>
      </c>
      <c r="C3281" s="4" t="s">
        <v>4</v>
      </c>
      <c r="D3281" s="3" t="s">
        <v>11</v>
      </c>
      <c r="E3281" s="3" t="s">
        <v>49</v>
      </c>
      <c r="F3281" s="3">
        <v>1</v>
      </c>
    </row>
    <row r="3282" spans="1:6" x14ac:dyDescent="0.3">
      <c r="A3282" s="1" t="s">
        <v>10</v>
      </c>
      <c r="B3282" s="1" t="s">
        <v>50</v>
      </c>
      <c r="C3282" s="2" t="s">
        <v>4</v>
      </c>
      <c r="D3282" s="1" t="s">
        <v>1</v>
      </c>
      <c r="E3282" s="1" t="s">
        <v>44</v>
      </c>
      <c r="F3282" s="1">
        <v>19136.3999999999</v>
      </c>
    </row>
    <row r="3283" spans="1:6" x14ac:dyDescent="0.3">
      <c r="A3283" s="3" t="s">
        <v>10</v>
      </c>
      <c r="B3283" s="3" t="s">
        <v>50</v>
      </c>
      <c r="C3283" s="4" t="s">
        <v>4</v>
      </c>
      <c r="D3283" s="3" t="s">
        <v>1</v>
      </c>
      <c r="E3283" s="3" t="s">
        <v>45</v>
      </c>
      <c r="F3283" s="3">
        <v>19136.3999999999</v>
      </c>
    </row>
    <row r="3284" spans="1:6" x14ac:dyDescent="0.3">
      <c r="A3284" s="1" t="s">
        <v>10</v>
      </c>
      <c r="B3284" s="1" t="s">
        <v>50</v>
      </c>
      <c r="C3284" s="2" t="s">
        <v>4</v>
      </c>
      <c r="D3284" s="1" t="s">
        <v>1</v>
      </c>
      <c r="E3284" s="1" t="s">
        <v>49</v>
      </c>
      <c r="F3284" s="1">
        <v>1</v>
      </c>
    </row>
    <row r="3285" spans="1:6" x14ac:dyDescent="0.3">
      <c r="A3285" s="3" t="s">
        <v>10</v>
      </c>
      <c r="B3285" s="3" t="s">
        <v>50</v>
      </c>
      <c r="C3285" s="4" t="s">
        <v>4</v>
      </c>
      <c r="D3285" s="3" t="s">
        <v>6</v>
      </c>
      <c r="E3285" s="3" t="s">
        <v>44</v>
      </c>
      <c r="F3285" s="3">
        <v>19136.3999999999</v>
      </c>
    </row>
    <row r="3286" spans="1:6" x14ac:dyDescent="0.3">
      <c r="A3286" s="1" t="s">
        <v>10</v>
      </c>
      <c r="B3286" s="1" t="s">
        <v>50</v>
      </c>
      <c r="C3286" s="2" t="s">
        <v>4</v>
      </c>
      <c r="D3286" s="1" t="s">
        <v>6</v>
      </c>
      <c r="E3286" s="1" t="s">
        <v>45</v>
      </c>
      <c r="F3286" s="1">
        <v>19136.3999999999</v>
      </c>
    </row>
    <row r="3287" spans="1:6" x14ac:dyDescent="0.3">
      <c r="A3287" s="3" t="s">
        <v>10</v>
      </c>
      <c r="B3287" s="3" t="s">
        <v>50</v>
      </c>
      <c r="C3287" s="4" t="s">
        <v>4</v>
      </c>
      <c r="D3287" s="3" t="s">
        <v>6</v>
      </c>
      <c r="E3287" s="3" t="s">
        <v>49</v>
      </c>
      <c r="F3287" s="3">
        <v>1</v>
      </c>
    </row>
    <row r="3288" spans="1:6" x14ac:dyDescent="0.3">
      <c r="A3288" s="1" t="s">
        <v>10</v>
      </c>
      <c r="B3288" s="1" t="s">
        <v>50</v>
      </c>
      <c r="C3288" s="2" t="s">
        <v>4</v>
      </c>
      <c r="D3288" s="1" t="s">
        <v>9</v>
      </c>
      <c r="E3288" s="1" t="s">
        <v>44</v>
      </c>
      <c r="F3288" s="1">
        <v>19136.3999999999</v>
      </c>
    </row>
    <row r="3289" spans="1:6" x14ac:dyDescent="0.3">
      <c r="A3289" s="3" t="s">
        <v>10</v>
      </c>
      <c r="B3289" s="3" t="s">
        <v>50</v>
      </c>
      <c r="C3289" s="4" t="s">
        <v>4</v>
      </c>
      <c r="D3289" s="3" t="s">
        <v>9</v>
      </c>
      <c r="E3289" s="3" t="s">
        <v>45</v>
      </c>
      <c r="F3289" s="3">
        <v>19136.3999999999</v>
      </c>
    </row>
    <row r="3290" spans="1:6" x14ac:dyDescent="0.3">
      <c r="A3290" s="1" t="s">
        <v>10</v>
      </c>
      <c r="B3290" s="1" t="s">
        <v>50</v>
      </c>
      <c r="C3290" s="2" t="s">
        <v>4</v>
      </c>
      <c r="D3290" s="1" t="s">
        <v>9</v>
      </c>
      <c r="E3290" s="1" t="s">
        <v>49</v>
      </c>
      <c r="F3290" s="1">
        <v>1</v>
      </c>
    </row>
    <row r="3291" spans="1:6" x14ac:dyDescent="0.3">
      <c r="A3291" s="3" t="s">
        <v>10</v>
      </c>
      <c r="B3291" s="3" t="s">
        <v>50</v>
      </c>
      <c r="C3291" s="4" t="s">
        <v>4</v>
      </c>
      <c r="D3291" s="3" t="s">
        <v>11</v>
      </c>
      <c r="E3291" s="3" t="s">
        <v>44</v>
      </c>
      <c r="F3291" s="3">
        <v>19136.3999999999</v>
      </c>
    </row>
    <row r="3292" spans="1:6" x14ac:dyDescent="0.3">
      <c r="A3292" s="1" t="s">
        <v>10</v>
      </c>
      <c r="B3292" s="1" t="s">
        <v>50</v>
      </c>
      <c r="C3292" s="2" t="s">
        <v>4</v>
      </c>
      <c r="D3292" s="1" t="s">
        <v>11</v>
      </c>
      <c r="E3292" s="1" t="s">
        <v>45</v>
      </c>
      <c r="F3292" s="1">
        <v>19136.3999999999</v>
      </c>
    </row>
    <row r="3293" spans="1:6" x14ac:dyDescent="0.3">
      <c r="A3293" s="3" t="s">
        <v>10</v>
      </c>
      <c r="B3293" s="3" t="s">
        <v>50</v>
      </c>
      <c r="C3293" s="4" t="s">
        <v>4</v>
      </c>
      <c r="D3293" s="3" t="s">
        <v>11</v>
      </c>
      <c r="E3293" s="3" t="s">
        <v>49</v>
      </c>
      <c r="F3293" s="3">
        <v>1</v>
      </c>
    </row>
    <row r="3294" spans="1:6" x14ac:dyDescent="0.3">
      <c r="A3294" s="1" t="s">
        <v>10</v>
      </c>
      <c r="B3294" s="1" t="s">
        <v>50</v>
      </c>
      <c r="C3294" s="2" t="s">
        <v>4</v>
      </c>
      <c r="D3294" s="1" t="s">
        <v>1</v>
      </c>
      <c r="E3294" s="1" t="s">
        <v>44</v>
      </c>
      <c r="F3294" s="1">
        <v>16266</v>
      </c>
    </row>
    <row r="3295" spans="1:6" x14ac:dyDescent="0.3">
      <c r="A3295" s="3" t="s">
        <v>10</v>
      </c>
      <c r="B3295" s="3" t="s">
        <v>50</v>
      </c>
      <c r="C3295" s="4" t="s">
        <v>4</v>
      </c>
      <c r="D3295" s="3" t="s">
        <v>1</v>
      </c>
      <c r="E3295" s="3" t="s">
        <v>45</v>
      </c>
      <c r="F3295" s="3">
        <v>16266</v>
      </c>
    </row>
    <row r="3296" spans="1:6" x14ac:dyDescent="0.3">
      <c r="A3296" s="1" t="s">
        <v>10</v>
      </c>
      <c r="B3296" s="1" t="s">
        <v>50</v>
      </c>
      <c r="C3296" s="2" t="s">
        <v>4</v>
      </c>
      <c r="D3296" s="1" t="s">
        <v>1</v>
      </c>
      <c r="E3296" s="1" t="s">
        <v>49</v>
      </c>
      <c r="F3296" s="1">
        <v>1</v>
      </c>
    </row>
    <row r="3297" spans="1:6" x14ac:dyDescent="0.3">
      <c r="A3297" s="3" t="s">
        <v>10</v>
      </c>
      <c r="B3297" s="3" t="s">
        <v>50</v>
      </c>
      <c r="C3297" s="4" t="s">
        <v>4</v>
      </c>
      <c r="D3297" s="3" t="s">
        <v>6</v>
      </c>
      <c r="E3297" s="3" t="s">
        <v>44</v>
      </c>
      <c r="F3297" s="3">
        <v>24398.699999999899</v>
      </c>
    </row>
    <row r="3298" spans="1:6" x14ac:dyDescent="0.3">
      <c r="A3298" s="1" t="s">
        <v>10</v>
      </c>
      <c r="B3298" s="1" t="s">
        <v>50</v>
      </c>
      <c r="C3298" s="2" t="s">
        <v>4</v>
      </c>
      <c r="D3298" s="1" t="s">
        <v>6</v>
      </c>
      <c r="E3298" s="1" t="s">
        <v>45</v>
      </c>
      <c r="F3298" s="1">
        <v>24398.699999999899</v>
      </c>
    </row>
    <row r="3299" spans="1:6" x14ac:dyDescent="0.3">
      <c r="A3299" s="3" t="s">
        <v>10</v>
      </c>
      <c r="B3299" s="3" t="s">
        <v>50</v>
      </c>
      <c r="C3299" s="4" t="s">
        <v>4</v>
      </c>
      <c r="D3299" s="3" t="s">
        <v>6</v>
      </c>
      <c r="E3299" s="3" t="s">
        <v>49</v>
      </c>
      <c r="F3299" s="3">
        <v>1</v>
      </c>
    </row>
    <row r="3300" spans="1:6" x14ac:dyDescent="0.3">
      <c r="A3300" s="1" t="s">
        <v>10</v>
      </c>
      <c r="B3300" s="1" t="s">
        <v>50</v>
      </c>
      <c r="C3300" s="2" t="s">
        <v>4</v>
      </c>
      <c r="D3300" s="1" t="s">
        <v>9</v>
      </c>
      <c r="E3300" s="1" t="s">
        <v>44</v>
      </c>
      <c r="F3300" s="1">
        <v>32531.699999999899</v>
      </c>
    </row>
    <row r="3301" spans="1:6" x14ac:dyDescent="0.3">
      <c r="A3301" s="3" t="s">
        <v>10</v>
      </c>
      <c r="B3301" s="3" t="s">
        <v>50</v>
      </c>
      <c r="C3301" s="4" t="s">
        <v>4</v>
      </c>
      <c r="D3301" s="3" t="s">
        <v>9</v>
      </c>
      <c r="E3301" s="3" t="s">
        <v>45</v>
      </c>
      <c r="F3301" s="3">
        <v>32531.699999999899</v>
      </c>
    </row>
    <row r="3302" spans="1:6" x14ac:dyDescent="0.3">
      <c r="A3302" s="1" t="s">
        <v>10</v>
      </c>
      <c r="B3302" s="1" t="s">
        <v>50</v>
      </c>
      <c r="C3302" s="2" t="s">
        <v>4</v>
      </c>
      <c r="D3302" s="1" t="s">
        <v>9</v>
      </c>
      <c r="E3302" s="1" t="s">
        <v>49</v>
      </c>
      <c r="F3302" s="1">
        <v>1</v>
      </c>
    </row>
    <row r="3303" spans="1:6" x14ac:dyDescent="0.3">
      <c r="A3303" s="3" t="s">
        <v>10</v>
      </c>
      <c r="B3303" s="3" t="s">
        <v>50</v>
      </c>
      <c r="C3303" s="4" t="s">
        <v>4</v>
      </c>
      <c r="D3303" s="3" t="s">
        <v>11</v>
      </c>
      <c r="E3303" s="3" t="s">
        <v>44</v>
      </c>
      <c r="F3303" s="3">
        <v>40664.699999999903</v>
      </c>
    </row>
    <row r="3304" spans="1:6" x14ac:dyDescent="0.3">
      <c r="A3304" s="1" t="s">
        <v>10</v>
      </c>
      <c r="B3304" s="1" t="s">
        <v>50</v>
      </c>
      <c r="C3304" s="2" t="s">
        <v>4</v>
      </c>
      <c r="D3304" s="1" t="s">
        <v>11</v>
      </c>
      <c r="E3304" s="1" t="s">
        <v>45</v>
      </c>
      <c r="F3304" s="1">
        <v>40664.699999999903</v>
      </c>
    </row>
    <row r="3305" spans="1:6" x14ac:dyDescent="0.3">
      <c r="A3305" s="3" t="s">
        <v>10</v>
      </c>
      <c r="B3305" s="3" t="s">
        <v>50</v>
      </c>
      <c r="C3305" s="4" t="s">
        <v>4</v>
      </c>
      <c r="D3305" s="3" t="s">
        <v>11</v>
      </c>
      <c r="E3305" s="3" t="s">
        <v>49</v>
      </c>
      <c r="F3305" s="3">
        <v>1</v>
      </c>
    </row>
    <row r="3306" spans="1:6" x14ac:dyDescent="0.3">
      <c r="A3306" s="1" t="s">
        <v>10</v>
      </c>
      <c r="B3306" s="1" t="s">
        <v>50</v>
      </c>
      <c r="C3306" s="2" t="s">
        <v>4</v>
      </c>
      <c r="D3306" s="1" t="s">
        <v>1</v>
      </c>
      <c r="E3306" s="1" t="s">
        <v>44</v>
      </c>
      <c r="F3306" s="1">
        <v>7482.2999999999902</v>
      </c>
    </row>
    <row r="3307" spans="1:6" x14ac:dyDescent="0.3">
      <c r="A3307" s="3" t="s">
        <v>10</v>
      </c>
      <c r="B3307" s="3" t="s">
        <v>50</v>
      </c>
      <c r="C3307" s="4" t="s">
        <v>4</v>
      </c>
      <c r="D3307" s="3" t="s">
        <v>1</v>
      </c>
      <c r="E3307" s="3" t="s">
        <v>45</v>
      </c>
      <c r="F3307" s="3">
        <v>7482.2999999999902</v>
      </c>
    </row>
    <row r="3308" spans="1:6" x14ac:dyDescent="0.3">
      <c r="A3308" s="1" t="s">
        <v>10</v>
      </c>
      <c r="B3308" s="1" t="s">
        <v>50</v>
      </c>
      <c r="C3308" s="2" t="s">
        <v>4</v>
      </c>
      <c r="D3308" s="1" t="s">
        <v>1</v>
      </c>
      <c r="E3308" s="1" t="s">
        <v>49</v>
      </c>
      <c r="F3308" s="1">
        <v>1</v>
      </c>
    </row>
    <row r="3309" spans="1:6" x14ac:dyDescent="0.3">
      <c r="A3309" s="3" t="s">
        <v>10</v>
      </c>
      <c r="B3309" s="3" t="s">
        <v>50</v>
      </c>
      <c r="C3309" s="4" t="s">
        <v>4</v>
      </c>
      <c r="D3309" s="3" t="s">
        <v>6</v>
      </c>
      <c r="E3309" s="3" t="s">
        <v>44</v>
      </c>
      <c r="F3309" s="3">
        <v>7482.2999999999902</v>
      </c>
    </row>
    <row r="3310" spans="1:6" x14ac:dyDescent="0.3">
      <c r="A3310" s="1" t="s">
        <v>10</v>
      </c>
      <c r="B3310" s="1" t="s">
        <v>50</v>
      </c>
      <c r="C3310" s="2" t="s">
        <v>4</v>
      </c>
      <c r="D3310" s="1" t="s">
        <v>6</v>
      </c>
      <c r="E3310" s="1" t="s">
        <v>45</v>
      </c>
      <c r="F3310" s="1">
        <v>7482.2999999999902</v>
      </c>
    </row>
    <row r="3311" spans="1:6" x14ac:dyDescent="0.3">
      <c r="A3311" s="3" t="s">
        <v>10</v>
      </c>
      <c r="B3311" s="3" t="s">
        <v>50</v>
      </c>
      <c r="C3311" s="4" t="s">
        <v>4</v>
      </c>
      <c r="D3311" s="3" t="s">
        <v>6</v>
      </c>
      <c r="E3311" s="3" t="s">
        <v>49</v>
      </c>
      <c r="F3311" s="3">
        <v>1</v>
      </c>
    </row>
    <row r="3312" spans="1:6" x14ac:dyDescent="0.3">
      <c r="A3312" s="1" t="s">
        <v>10</v>
      </c>
      <c r="B3312" s="1" t="s">
        <v>50</v>
      </c>
      <c r="C3312" s="2" t="s">
        <v>4</v>
      </c>
      <c r="D3312" s="1" t="s">
        <v>9</v>
      </c>
      <c r="E3312" s="1" t="s">
        <v>44</v>
      </c>
      <c r="F3312" s="1">
        <v>12470.4999999999</v>
      </c>
    </row>
    <row r="3313" spans="1:6" x14ac:dyDescent="0.3">
      <c r="A3313" s="3" t="s">
        <v>10</v>
      </c>
      <c r="B3313" s="3" t="s">
        <v>50</v>
      </c>
      <c r="C3313" s="4" t="s">
        <v>4</v>
      </c>
      <c r="D3313" s="3" t="s">
        <v>9</v>
      </c>
      <c r="E3313" s="3" t="s">
        <v>45</v>
      </c>
      <c r="F3313" s="3">
        <v>12470.4999999999</v>
      </c>
    </row>
    <row r="3314" spans="1:6" x14ac:dyDescent="0.3">
      <c r="A3314" s="1" t="s">
        <v>10</v>
      </c>
      <c r="B3314" s="1" t="s">
        <v>50</v>
      </c>
      <c r="C3314" s="2" t="s">
        <v>4</v>
      </c>
      <c r="D3314" s="1" t="s">
        <v>9</v>
      </c>
      <c r="E3314" s="1" t="s">
        <v>49</v>
      </c>
      <c r="F3314" s="1">
        <v>1</v>
      </c>
    </row>
    <row r="3315" spans="1:6" x14ac:dyDescent="0.3">
      <c r="A3315" s="3" t="s">
        <v>10</v>
      </c>
      <c r="B3315" s="3" t="s">
        <v>50</v>
      </c>
      <c r="C3315" s="4" t="s">
        <v>4</v>
      </c>
      <c r="D3315" s="3" t="s">
        <v>11</v>
      </c>
      <c r="E3315" s="3" t="s">
        <v>44</v>
      </c>
      <c r="F3315" s="3">
        <v>14964.5999999999</v>
      </c>
    </row>
    <row r="3316" spans="1:6" x14ac:dyDescent="0.3">
      <c r="A3316" s="1" t="s">
        <v>10</v>
      </c>
      <c r="B3316" s="1" t="s">
        <v>50</v>
      </c>
      <c r="C3316" s="2" t="s">
        <v>4</v>
      </c>
      <c r="D3316" s="1" t="s">
        <v>11</v>
      </c>
      <c r="E3316" s="1" t="s">
        <v>45</v>
      </c>
      <c r="F3316" s="1">
        <v>14964.5999999999</v>
      </c>
    </row>
    <row r="3317" spans="1:6" x14ac:dyDescent="0.3">
      <c r="A3317" s="3" t="s">
        <v>10</v>
      </c>
      <c r="B3317" s="3" t="s">
        <v>50</v>
      </c>
      <c r="C3317" s="4" t="s">
        <v>4</v>
      </c>
      <c r="D3317" s="3" t="s">
        <v>11</v>
      </c>
      <c r="E3317" s="3" t="s">
        <v>49</v>
      </c>
      <c r="F3317" s="3">
        <v>1</v>
      </c>
    </row>
    <row r="3318" spans="1:6" x14ac:dyDescent="0.3">
      <c r="A3318" s="1" t="s">
        <v>10</v>
      </c>
      <c r="B3318" s="1" t="s">
        <v>50</v>
      </c>
      <c r="C3318" s="2" t="s">
        <v>4</v>
      </c>
      <c r="D3318" s="1" t="s">
        <v>1</v>
      </c>
      <c r="E3318" s="1" t="s">
        <v>44</v>
      </c>
      <c r="F3318" s="1">
        <v>7824.6</v>
      </c>
    </row>
    <row r="3319" spans="1:6" x14ac:dyDescent="0.3">
      <c r="A3319" s="3" t="s">
        <v>10</v>
      </c>
      <c r="B3319" s="3" t="s">
        <v>50</v>
      </c>
      <c r="C3319" s="4" t="s">
        <v>4</v>
      </c>
      <c r="D3319" s="3" t="s">
        <v>1</v>
      </c>
      <c r="E3319" s="3" t="s">
        <v>45</v>
      </c>
      <c r="F3319" s="3">
        <v>7824.6</v>
      </c>
    </row>
    <row r="3320" spans="1:6" x14ac:dyDescent="0.3">
      <c r="A3320" s="1" t="s">
        <v>10</v>
      </c>
      <c r="B3320" s="1" t="s">
        <v>50</v>
      </c>
      <c r="C3320" s="2" t="s">
        <v>4</v>
      </c>
      <c r="D3320" s="1" t="s">
        <v>1</v>
      </c>
      <c r="E3320" s="1" t="s">
        <v>49</v>
      </c>
      <c r="F3320" s="1">
        <v>1</v>
      </c>
    </row>
    <row r="3321" spans="1:6" x14ac:dyDescent="0.3">
      <c r="A3321" s="3" t="s">
        <v>10</v>
      </c>
      <c r="B3321" s="3" t="s">
        <v>50</v>
      </c>
      <c r="C3321" s="4" t="s">
        <v>4</v>
      </c>
      <c r="D3321" s="3" t="s">
        <v>6</v>
      </c>
      <c r="E3321" s="3" t="s">
        <v>44</v>
      </c>
      <c r="F3321" s="3">
        <v>7824.6</v>
      </c>
    </row>
    <row r="3322" spans="1:6" x14ac:dyDescent="0.3">
      <c r="A3322" s="1" t="s">
        <v>10</v>
      </c>
      <c r="B3322" s="1" t="s">
        <v>50</v>
      </c>
      <c r="C3322" s="2" t="s">
        <v>4</v>
      </c>
      <c r="D3322" s="1" t="s">
        <v>6</v>
      </c>
      <c r="E3322" s="1" t="s">
        <v>45</v>
      </c>
      <c r="F3322" s="1">
        <v>7824.6</v>
      </c>
    </row>
    <row r="3323" spans="1:6" x14ac:dyDescent="0.3">
      <c r="A3323" s="3" t="s">
        <v>10</v>
      </c>
      <c r="B3323" s="3" t="s">
        <v>50</v>
      </c>
      <c r="C3323" s="4" t="s">
        <v>4</v>
      </c>
      <c r="D3323" s="3" t="s">
        <v>6</v>
      </c>
      <c r="E3323" s="3" t="s">
        <v>49</v>
      </c>
      <c r="F3323" s="3">
        <v>1</v>
      </c>
    </row>
    <row r="3324" spans="1:6" x14ac:dyDescent="0.3">
      <c r="A3324" s="1" t="s">
        <v>10</v>
      </c>
      <c r="B3324" s="1" t="s">
        <v>50</v>
      </c>
      <c r="C3324" s="2" t="s">
        <v>4</v>
      </c>
      <c r="D3324" s="1" t="s">
        <v>9</v>
      </c>
      <c r="E3324" s="1" t="s">
        <v>44</v>
      </c>
      <c r="F3324" s="1">
        <v>13041</v>
      </c>
    </row>
    <row r="3325" spans="1:6" x14ac:dyDescent="0.3">
      <c r="A3325" s="3" t="s">
        <v>10</v>
      </c>
      <c r="B3325" s="3" t="s">
        <v>50</v>
      </c>
      <c r="C3325" s="4" t="s">
        <v>4</v>
      </c>
      <c r="D3325" s="3" t="s">
        <v>9</v>
      </c>
      <c r="E3325" s="3" t="s">
        <v>45</v>
      </c>
      <c r="F3325" s="3">
        <v>13041</v>
      </c>
    </row>
    <row r="3326" spans="1:6" x14ac:dyDescent="0.3">
      <c r="A3326" s="1" t="s">
        <v>10</v>
      </c>
      <c r="B3326" s="1" t="s">
        <v>50</v>
      </c>
      <c r="C3326" s="2" t="s">
        <v>4</v>
      </c>
      <c r="D3326" s="1" t="s">
        <v>9</v>
      </c>
      <c r="E3326" s="1" t="s">
        <v>49</v>
      </c>
      <c r="F3326" s="1">
        <v>1</v>
      </c>
    </row>
    <row r="3327" spans="1:6" x14ac:dyDescent="0.3">
      <c r="A3327" s="3" t="s">
        <v>10</v>
      </c>
      <c r="B3327" s="3" t="s">
        <v>50</v>
      </c>
      <c r="C3327" s="4" t="s">
        <v>4</v>
      </c>
      <c r="D3327" s="3" t="s">
        <v>11</v>
      </c>
      <c r="E3327" s="3" t="s">
        <v>44</v>
      </c>
      <c r="F3327" s="3">
        <v>15649.2</v>
      </c>
    </row>
    <row r="3328" spans="1:6" x14ac:dyDescent="0.3">
      <c r="A3328" s="1" t="s">
        <v>10</v>
      </c>
      <c r="B3328" s="1" t="s">
        <v>50</v>
      </c>
      <c r="C3328" s="2" t="s">
        <v>4</v>
      </c>
      <c r="D3328" s="1" t="s">
        <v>11</v>
      </c>
      <c r="E3328" s="1" t="s">
        <v>45</v>
      </c>
      <c r="F3328" s="1">
        <v>15649.2</v>
      </c>
    </row>
    <row r="3329" spans="1:6" x14ac:dyDescent="0.3">
      <c r="A3329" s="3" t="s">
        <v>10</v>
      </c>
      <c r="B3329" s="3" t="s">
        <v>50</v>
      </c>
      <c r="C3329" s="4" t="s">
        <v>4</v>
      </c>
      <c r="D3329" s="3" t="s">
        <v>11</v>
      </c>
      <c r="E3329" s="3" t="s">
        <v>49</v>
      </c>
      <c r="F3329" s="3">
        <v>1</v>
      </c>
    </row>
    <row r="3330" spans="1:6" x14ac:dyDescent="0.3">
      <c r="A3330" s="1" t="s">
        <v>10</v>
      </c>
      <c r="B3330" s="1" t="s">
        <v>50</v>
      </c>
      <c r="C3330" s="2" t="s">
        <v>4</v>
      </c>
      <c r="D3330" s="1" t="s">
        <v>1</v>
      </c>
      <c r="E3330" s="1" t="s">
        <v>44</v>
      </c>
      <c r="F3330" s="1">
        <v>17010</v>
      </c>
    </row>
    <row r="3331" spans="1:6" x14ac:dyDescent="0.3">
      <c r="A3331" s="3" t="s">
        <v>10</v>
      </c>
      <c r="B3331" s="3" t="s">
        <v>50</v>
      </c>
      <c r="C3331" s="4" t="s">
        <v>4</v>
      </c>
      <c r="D3331" s="3" t="s">
        <v>1</v>
      </c>
      <c r="E3331" s="3" t="s">
        <v>45</v>
      </c>
      <c r="F3331" s="3">
        <v>17010</v>
      </c>
    </row>
    <row r="3332" spans="1:6" x14ac:dyDescent="0.3">
      <c r="A3332" s="1" t="s">
        <v>10</v>
      </c>
      <c r="B3332" s="1" t="s">
        <v>50</v>
      </c>
      <c r="C3332" s="2" t="s">
        <v>4</v>
      </c>
      <c r="D3332" s="1" t="s">
        <v>1</v>
      </c>
      <c r="E3332" s="1" t="s">
        <v>49</v>
      </c>
      <c r="F3332" s="1">
        <v>1</v>
      </c>
    </row>
    <row r="3333" spans="1:6" x14ac:dyDescent="0.3">
      <c r="A3333" s="3" t="s">
        <v>10</v>
      </c>
      <c r="B3333" s="3" t="s">
        <v>50</v>
      </c>
      <c r="C3333" s="4" t="s">
        <v>4</v>
      </c>
      <c r="D3333" s="3" t="s">
        <v>6</v>
      </c>
      <c r="E3333" s="3" t="s">
        <v>44</v>
      </c>
      <c r="F3333" s="3">
        <v>17010</v>
      </c>
    </row>
    <row r="3334" spans="1:6" x14ac:dyDescent="0.3">
      <c r="A3334" s="1" t="s">
        <v>10</v>
      </c>
      <c r="B3334" s="1" t="s">
        <v>50</v>
      </c>
      <c r="C3334" s="2" t="s">
        <v>4</v>
      </c>
      <c r="D3334" s="1" t="s">
        <v>6</v>
      </c>
      <c r="E3334" s="1" t="s">
        <v>45</v>
      </c>
      <c r="F3334" s="1">
        <v>17010</v>
      </c>
    </row>
    <row r="3335" spans="1:6" x14ac:dyDescent="0.3">
      <c r="A3335" s="3" t="s">
        <v>10</v>
      </c>
      <c r="B3335" s="3" t="s">
        <v>50</v>
      </c>
      <c r="C3335" s="4" t="s">
        <v>4</v>
      </c>
      <c r="D3335" s="3" t="s">
        <v>6</v>
      </c>
      <c r="E3335" s="3" t="s">
        <v>49</v>
      </c>
      <c r="F3335" s="3">
        <v>1</v>
      </c>
    </row>
    <row r="3336" spans="1:6" x14ac:dyDescent="0.3">
      <c r="A3336" s="1" t="s">
        <v>10</v>
      </c>
      <c r="B3336" s="1" t="s">
        <v>50</v>
      </c>
      <c r="C3336" s="2" t="s">
        <v>4</v>
      </c>
      <c r="D3336" s="1" t="s">
        <v>9</v>
      </c>
      <c r="E3336" s="1" t="s">
        <v>44</v>
      </c>
      <c r="F3336" s="1">
        <v>17010</v>
      </c>
    </row>
    <row r="3337" spans="1:6" x14ac:dyDescent="0.3">
      <c r="A3337" s="3" t="s">
        <v>10</v>
      </c>
      <c r="B3337" s="3" t="s">
        <v>50</v>
      </c>
      <c r="C3337" s="4" t="s">
        <v>4</v>
      </c>
      <c r="D3337" s="3" t="s">
        <v>9</v>
      </c>
      <c r="E3337" s="3" t="s">
        <v>45</v>
      </c>
      <c r="F3337" s="3">
        <v>17010</v>
      </c>
    </row>
    <row r="3338" spans="1:6" x14ac:dyDescent="0.3">
      <c r="A3338" s="1" t="s">
        <v>10</v>
      </c>
      <c r="B3338" s="1" t="s">
        <v>50</v>
      </c>
      <c r="C3338" s="2" t="s">
        <v>4</v>
      </c>
      <c r="D3338" s="1" t="s">
        <v>9</v>
      </c>
      <c r="E3338" s="1" t="s">
        <v>49</v>
      </c>
      <c r="F3338" s="1">
        <v>1</v>
      </c>
    </row>
    <row r="3339" spans="1:6" x14ac:dyDescent="0.3">
      <c r="A3339" s="3" t="s">
        <v>10</v>
      </c>
      <c r="B3339" s="3" t="s">
        <v>50</v>
      </c>
      <c r="C3339" s="4" t="s">
        <v>4</v>
      </c>
      <c r="D3339" s="3" t="s">
        <v>11</v>
      </c>
      <c r="E3339" s="3" t="s">
        <v>44</v>
      </c>
      <c r="F3339" s="3">
        <v>17010</v>
      </c>
    </row>
    <row r="3340" spans="1:6" x14ac:dyDescent="0.3">
      <c r="A3340" s="1" t="s">
        <v>10</v>
      </c>
      <c r="B3340" s="1" t="s">
        <v>50</v>
      </c>
      <c r="C3340" s="2" t="s">
        <v>4</v>
      </c>
      <c r="D3340" s="1" t="s">
        <v>11</v>
      </c>
      <c r="E3340" s="1" t="s">
        <v>45</v>
      </c>
      <c r="F3340" s="1">
        <v>17010</v>
      </c>
    </row>
    <row r="3341" spans="1:6" x14ac:dyDescent="0.3">
      <c r="A3341" s="3" t="s">
        <v>10</v>
      </c>
      <c r="B3341" s="3" t="s">
        <v>50</v>
      </c>
      <c r="C3341" s="4" t="s">
        <v>4</v>
      </c>
      <c r="D3341" s="3" t="s">
        <v>11</v>
      </c>
      <c r="E3341" s="3" t="s">
        <v>49</v>
      </c>
      <c r="F3341" s="3">
        <v>1</v>
      </c>
    </row>
    <row r="3342" spans="1:6" x14ac:dyDescent="0.3">
      <c r="A3342" s="1" t="s">
        <v>10</v>
      </c>
      <c r="B3342" s="1" t="s">
        <v>51</v>
      </c>
      <c r="C3342" s="2" t="s">
        <v>4</v>
      </c>
      <c r="D3342" s="1" t="s">
        <v>1</v>
      </c>
      <c r="E3342" s="1" t="s">
        <v>44</v>
      </c>
      <c r="F3342" s="1">
        <v>6651</v>
      </c>
    </row>
    <row r="3343" spans="1:6" x14ac:dyDescent="0.3">
      <c r="A3343" s="3" t="s">
        <v>10</v>
      </c>
      <c r="B3343" s="3" t="s">
        <v>51</v>
      </c>
      <c r="C3343" s="4" t="s">
        <v>4</v>
      </c>
      <c r="D3343" s="3" t="s">
        <v>1</v>
      </c>
      <c r="E3343" s="3" t="s">
        <v>45</v>
      </c>
      <c r="F3343" s="3">
        <v>6651</v>
      </c>
    </row>
    <row r="3344" spans="1:6" x14ac:dyDescent="0.3">
      <c r="A3344" s="1" t="s">
        <v>10</v>
      </c>
      <c r="B3344" s="1" t="s">
        <v>51</v>
      </c>
      <c r="C3344" s="2" t="s">
        <v>4</v>
      </c>
      <c r="D3344" s="1" t="s">
        <v>1</v>
      </c>
      <c r="E3344" s="1" t="s">
        <v>49</v>
      </c>
      <c r="F3344" s="1">
        <v>1</v>
      </c>
    </row>
    <row r="3345" spans="1:6" x14ac:dyDescent="0.3">
      <c r="A3345" s="3" t="s">
        <v>10</v>
      </c>
      <c r="B3345" s="3" t="s">
        <v>51</v>
      </c>
      <c r="C3345" s="4" t="s">
        <v>4</v>
      </c>
      <c r="D3345" s="3" t="s">
        <v>6</v>
      </c>
      <c r="E3345" s="3" t="s">
        <v>44</v>
      </c>
      <c r="F3345" s="3">
        <v>6651</v>
      </c>
    </row>
    <row r="3346" spans="1:6" x14ac:dyDescent="0.3">
      <c r="A3346" s="1" t="s">
        <v>10</v>
      </c>
      <c r="B3346" s="1" t="s">
        <v>51</v>
      </c>
      <c r="C3346" s="2" t="s">
        <v>4</v>
      </c>
      <c r="D3346" s="1" t="s">
        <v>6</v>
      </c>
      <c r="E3346" s="1" t="s">
        <v>45</v>
      </c>
      <c r="F3346" s="1">
        <v>6651</v>
      </c>
    </row>
    <row r="3347" spans="1:6" x14ac:dyDescent="0.3">
      <c r="A3347" s="3" t="s">
        <v>10</v>
      </c>
      <c r="B3347" s="3" t="s">
        <v>51</v>
      </c>
      <c r="C3347" s="4" t="s">
        <v>4</v>
      </c>
      <c r="D3347" s="3" t="s">
        <v>6</v>
      </c>
      <c r="E3347" s="3" t="s">
        <v>49</v>
      </c>
      <c r="F3347" s="3">
        <v>1</v>
      </c>
    </row>
    <row r="3348" spans="1:6" x14ac:dyDescent="0.3">
      <c r="A3348" s="1" t="s">
        <v>10</v>
      </c>
      <c r="B3348" s="1" t="s">
        <v>51</v>
      </c>
      <c r="C3348" s="2" t="s">
        <v>4</v>
      </c>
      <c r="D3348" s="1" t="s">
        <v>9</v>
      </c>
      <c r="E3348" s="1" t="s">
        <v>44</v>
      </c>
      <c r="F3348" s="1">
        <v>11085</v>
      </c>
    </row>
    <row r="3349" spans="1:6" x14ac:dyDescent="0.3">
      <c r="A3349" s="3" t="s">
        <v>10</v>
      </c>
      <c r="B3349" s="3" t="s">
        <v>51</v>
      </c>
      <c r="C3349" s="4" t="s">
        <v>4</v>
      </c>
      <c r="D3349" s="3" t="s">
        <v>9</v>
      </c>
      <c r="E3349" s="3" t="s">
        <v>45</v>
      </c>
      <c r="F3349" s="3">
        <v>11085</v>
      </c>
    </row>
    <row r="3350" spans="1:6" x14ac:dyDescent="0.3">
      <c r="A3350" s="1" t="s">
        <v>10</v>
      </c>
      <c r="B3350" s="1" t="s">
        <v>51</v>
      </c>
      <c r="C3350" s="2" t="s">
        <v>4</v>
      </c>
      <c r="D3350" s="1" t="s">
        <v>9</v>
      </c>
      <c r="E3350" s="1" t="s">
        <v>49</v>
      </c>
      <c r="F3350" s="1">
        <v>1</v>
      </c>
    </row>
    <row r="3351" spans="1:6" x14ac:dyDescent="0.3">
      <c r="A3351" s="3" t="s">
        <v>10</v>
      </c>
      <c r="B3351" s="3" t="s">
        <v>51</v>
      </c>
      <c r="C3351" s="4" t="s">
        <v>4</v>
      </c>
      <c r="D3351" s="3" t="s">
        <v>11</v>
      </c>
      <c r="E3351" s="3" t="s">
        <v>44</v>
      </c>
      <c r="F3351" s="3">
        <v>13302</v>
      </c>
    </row>
    <row r="3352" spans="1:6" x14ac:dyDescent="0.3">
      <c r="A3352" s="1" t="s">
        <v>10</v>
      </c>
      <c r="B3352" s="1" t="s">
        <v>51</v>
      </c>
      <c r="C3352" s="2" t="s">
        <v>4</v>
      </c>
      <c r="D3352" s="1" t="s">
        <v>11</v>
      </c>
      <c r="E3352" s="1" t="s">
        <v>45</v>
      </c>
      <c r="F3352" s="1">
        <v>13302</v>
      </c>
    </row>
    <row r="3353" spans="1:6" x14ac:dyDescent="0.3">
      <c r="A3353" s="3" t="s">
        <v>10</v>
      </c>
      <c r="B3353" s="3" t="s">
        <v>51</v>
      </c>
      <c r="C3353" s="4" t="s">
        <v>4</v>
      </c>
      <c r="D3353" s="3" t="s">
        <v>11</v>
      </c>
      <c r="E3353" s="3" t="s">
        <v>49</v>
      </c>
      <c r="F3353" s="3">
        <v>1</v>
      </c>
    </row>
    <row r="3354" spans="1:6" x14ac:dyDescent="0.3">
      <c r="A3354" s="1" t="s">
        <v>10</v>
      </c>
      <c r="B3354" s="1" t="s">
        <v>51</v>
      </c>
      <c r="C3354" s="2" t="s">
        <v>4</v>
      </c>
      <c r="D3354" s="1" t="s">
        <v>1</v>
      </c>
      <c r="E3354" s="1" t="s">
        <v>44</v>
      </c>
      <c r="F3354" s="1">
        <v>14458.5</v>
      </c>
    </row>
    <row r="3355" spans="1:6" x14ac:dyDescent="0.3">
      <c r="A3355" s="3" t="s">
        <v>10</v>
      </c>
      <c r="B3355" s="3" t="s">
        <v>51</v>
      </c>
      <c r="C3355" s="4" t="s">
        <v>4</v>
      </c>
      <c r="D3355" s="3" t="s">
        <v>1</v>
      </c>
      <c r="E3355" s="3" t="s">
        <v>45</v>
      </c>
      <c r="F3355" s="3">
        <v>14458.5</v>
      </c>
    </row>
    <row r="3356" spans="1:6" x14ac:dyDescent="0.3">
      <c r="A3356" s="1" t="s">
        <v>10</v>
      </c>
      <c r="B3356" s="1" t="s">
        <v>51</v>
      </c>
      <c r="C3356" s="2" t="s">
        <v>4</v>
      </c>
      <c r="D3356" s="1" t="s">
        <v>1</v>
      </c>
      <c r="E3356" s="1" t="s">
        <v>49</v>
      </c>
      <c r="F3356" s="1">
        <v>1</v>
      </c>
    </row>
    <row r="3357" spans="1:6" x14ac:dyDescent="0.3">
      <c r="A3357" s="3" t="s">
        <v>10</v>
      </c>
      <c r="B3357" s="3" t="s">
        <v>51</v>
      </c>
      <c r="C3357" s="4" t="s">
        <v>4</v>
      </c>
      <c r="D3357" s="3" t="s">
        <v>6</v>
      </c>
      <c r="E3357" s="3" t="s">
        <v>44</v>
      </c>
      <c r="F3357" s="3">
        <v>14458.5</v>
      </c>
    </row>
    <row r="3358" spans="1:6" x14ac:dyDescent="0.3">
      <c r="A3358" s="1" t="s">
        <v>10</v>
      </c>
      <c r="B3358" s="1" t="s">
        <v>51</v>
      </c>
      <c r="C3358" s="2" t="s">
        <v>4</v>
      </c>
      <c r="D3358" s="1" t="s">
        <v>6</v>
      </c>
      <c r="E3358" s="1" t="s">
        <v>45</v>
      </c>
      <c r="F3358" s="1">
        <v>14458.5</v>
      </c>
    </row>
    <row r="3359" spans="1:6" x14ac:dyDescent="0.3">
      <c r="A3359" s="3" t="s">
        <v>10</v>
      </c>
      <c r="B3359" s="3" t="s">
        <v>51</v>
      </c>
      <c r="C3359" s="4" t="s">
        <v>4</v>
      </c>
      <c r="D3359" s="3" t="s">
        <v>6</v>
      </c>
      <c r="E3359" s="3" t="s">
        <v>49</v>
      </c>
      <c r="F3359" s="3">
        <v>1</v>
      </c>
    </row>
    <row r="3360" spans="1:6" x14ac:dyDescent="0.3">
      <c r="A3360" s="1" t="s">
        <v>10</v>
      </c>
      <c r="B3360" s="1" t="s">
        <v>51</v>
      </c>
      <c r="C3360" s="2" t="s">
        <v>4</v>
      </c>
      <c r="D3360" s="1" t="s">
        <v>9</v>
      </c>
      <c r="E3360" s="1" t="s">
        <v>44</v>
      </c>
      <c r="F3360" s="1">
        <v>14458.5</v>
      </c>
    </row>
    <row r="3361" spans="1:6" x14ac:dyDescent="0.3">
      <c r="A3361" s="3" t="s">
        <v>10</v>
      </c>
      <c r="B3361" s="3" t="s">
        <v>51</v>
      </c>
      <c r="C3361" s="4" t="s">
        <v>4</v>
      </c>
      <c r="D3361" s="3" t="s">
        <v>9</v>
      </c>
      <c r="E3361" s="3" t="s">
        <v>45</v>
      </c>
      <c r="F3361" s="3">
        <v>14458.5</v>
      </c>
    </row>
    <row r="3362" spans="1:6" x14ac:dyDescent="0.3">
      <c r="A3362" s="1" t="s">
        <v>10</v>
      </c>
      <c r="B3362" s="1" t="s">
        <v>51</v>
      </c>
      <c r="C3362" s="2" t="s">
        <v>4</v>
      </c>
      <c r="D3362" s="1" t="s">
        <v>9</v>
      </c>
      <c r="E3362" s="1" t="s">
        <v>49</v>
      </c>
      <c r="F3362" s="1">
        <v>1</v>
      </c>
    </row>
    <row r="3363" spans="1:6" x14ac:dyDescent="0.3">
      <c r="A3363" s="3" t="s">
        <v>10</v>
      </c>
      <c r="B3363" s="3" t="s">
        <v>51</v>
      </c>
      <c r="C3363" s="4" t="s">
        <v>4</v>
      </c>
      <c r="D3363" s="3" t="s">
        <v>11</v>
      </c>
      <c r="E3363" s="3" t="s">
        <v>44</v>
      </c>
      <c r="F3363" s="3">
        <v>14458.5</v>
      </c>
    </row>
    <row r="3364" spans="1:6" x14ac:dyDescent="0.3">
      <c r="A3364" s="1" t="s">
        <v>10</v>
      </c>
      <c r="B3364" s="1" t="s">
        <v>51</v>
      </c>
      <c r="C3364" s="2" t="s">
        <v>4</v>
      </c>
      <c r="D3364" s="1" t="s">
        <v>11</v>
      </c>
      <c r="E3364" s="1" t="s">
        <v>45</v>
      </c>
      <c r="F3364" s="1">
        <v>14458.5</v>
      </c>
    </row>
    <row r="3365" spans="1:6" x14ac:dyDescent="0.3">
      <c r="A3365" s="3" t="s">
        <v>10</v>
      </c>
      <c r="B3365" s="3" t="s">
        <v>51</v>
      </c>
      <c r="C3365" s="4" t="s">
        <v>4</v>
      </c>
      <c r="D3365" s="3" t="s">
        <v>11</v>
      </c>
      <c r="E3365" s="3" t="s">
        <v>49</v>
      </c>
      <c r="F3365" s="3">
        <v>1</v>
      </c>
    </row>
    <row r="3366" spans="1:6" x14ac:dyDescent="0.3">
      <c r="A3366" s="1" t="s">
        <v>10</v>
      </c>
      <c r="B3366" s="1" t="s">
        <v>51</v>
      </c>
      <c r="C3366" s="2" t="s">
        <v>4</v>
      </c>
      <c r="D3366" s="1" t="s">
        <v>1</v>
      </c>
      <c r="E3366" s="1" t="s">
        <v>44</v>
      </c>
      <c r="F3366" s="1">
        <v>7654.5</v>
      </c>
    </row>
    <row r="3367" spans="1:6" x14ac:dyDescent="0.3">
      <c r="A3367" s="3" t="s">
        <v>10</v>
      </c>
      <c r="B3367" s="3" t="s">
        <v>51</v>
      </c>
      <c r="C3367" s="4" t="s">
        <v>4</v>
      </c>
      <c r="D3367" s="3" t="s">
        <v>1</v>
      </c>
      <c r="E3367" s="3" t="s">
        <v>45</v>
      </c>
      <c r="F3367" s="3">
        <v>7654.5</v>
      </c>
    </row>
    <row r="3368" spans="1:6" x14ac:dyDescent="0.3">
      <c r="A3368" s="1" t="s">
        <v>10</v>
      </c>
      <c r="B3368" s="1" t="s">
        <v>51</v>
      </c>
      <c r="C3368" s="2" t="s">
        <v>4</v>
      </c>
      <c r="D3368" s="1" t="s">
        <v>1</v>
      </c>
      <c r="E3368" s="1" t="s">
        <v>49</v>
      </c>
      <c r="F3368" s="1">
        <v>1</v>
      </c>
    </row>
    <row r="3369" spans="1:6" x14ac:dyDescent="0.3">
      <c r="A3369" s="3" t="s">
        <v>10</v>
      </c>
      <c r="B3369" s="3" t="s">
        <v>51</v>
      </c>
      <c r="C3369" s="4" t="s">
        <v>4</v>
      </c>
      <c r="D3369" s="3" t="s">
        <v>6</v>
      </c>
      <c r="E3369" s="3" t="s">
        <v>44</v>
      </c>
      <c r="F3369" s="3">
        <v>11481.5999999999</v>
      </c>
    </row>
    <row r="3370" spans="1:6" x14ac:dyDescent="0.3">
      <c r="A3370" s="1" t="s">
        <v>10</v>
      </c>
      <c r="B3370" s="1" t="s">
        <v>51</v>
      </c>
      <c r="C3370" s="2" t="s">
        <v>4</v>
      </c>
      <c r="D3370" s="1" t="s">
        <v>6</v>
      </c>
      <c r="E3370" s="1" t="s">
        <v>45</v>
      </c>
      <c r="F3370" s="1">
        <v>11481.5999999999</v>
      </c>
    </row>
    <row r="3371" spans="1:6" x14ac:dyDescent="0.3">
      <c r="A3371" s="3" t="s">
        <v>10</v>
      </c>
      <c r="B3371" s="3" t="s">
        <v>51</v>
      </c>
      <c r="C3371" s="4" t="s">
        <v>4</v>
      </c>
      <c r="D3371" s="3" t="s">
        <v>6</v>
      </c>
      <c r="E3371" s="3" t="s">
        <v>49</v>
      </c>
      <c r="F3371" s="3">
        <v>1</v>
      </c>
    </row>
    <row r="3372" spans="1:6" x14ac:dyDescent="0.3">
      <c r="A3372" s="1" t="s">
        <v>10</v>
      </c>
      <c r="B3372" s="1" t="s">
        <v>51</v>
      </c>
      <c r="C3372" s="2" t="s">
        <v>4</v>
      </c>
      <c r="D3372" s="1" t="s">
        <v>9</v>
      </c>
      <c r="E3372" s="1" t="s">
        <v>44</v>
      </c>
      <c r="F3372" s="1">
        <v>15309</v>
      </c>
    </row>
    <row r="3373" spans="1:6" x14ac:dyDescent="0.3">
      <c r="A3373" s="3" t="s">
        <v>10</v>
      </c>
      <c r="B3373" s="3" t="s">
        <v>51</v>
      </c>
      <c r="C3373" s="4" t="s">
        <v>4</v>
      </c>
      <c r="D3373" s="3" t="s">
        <v>9</v>
      </c>
      <c r="E3373" s="3" t="s">
        <v>45</v>
      </c>
      <c r="F3373" s="3">
        <v>15309</v>
      </c>
    </row>
    <row r="3374" spans="1:6" x14ac:dyDescent="0.3">
      <c r="A3374" s="1" t="s">
        <v>10</v>
      </c>
      <c r="B3374" s="1" t="s">
        <v>51</v>
      </c>
      <c r="C3374" s="2" t="s">
        <v>4</v>
      </c>
      <c r="D3374" s="1" t="s">
        <v>9</v>
      </c>
      <c r="E3374" s="1" t="s">
        <v>49</v>
      </c>
      <c r="F3374" s="1">
        <v>1</v>
      </c>
    </row>
    <row r="3375" spans="1:6" x14ac:dyDescent="0.3">
      <c r="A3375" s="3" t="s">
        <v>10</v>
      </c>
      <c r="B3375" s="3" t="s">
        <v>51</v>
      </c>
      <c r="C3375" s="4" t="s">
        <v>4</v>
      </c>
      <c r="D3375" s="3" t="s">
        <v>11</v>
      </c>
      <c r="E3375" s="3" t="s">
        <v>44</v>
      </c>
      <c r="F3375" s="3">
        <v>19136.3999999999</v>
      </c>
    </row>
    <row r="3376" spans="1:6" x14ac:dyDescent="0.3">
      <c r="A3376" s="1" t="s">
        <v>10</v>
      </c>
      <c r="B3376" s="1" t="s">
        <v>51</v>
      </c>
      <c r="C3376" s="2" t="s">
        <v>4</v>
      </c>
      <c r="D3376" s="1" t="s">
        <v>11</v>
      </c>
      <c r="E3376" s="1" t="s">
        <v>45</v>
      </c>
      <c r="F3376" s="1">
        <v>19136.3999999999</v>
      </c>
    </row>
    <row r="3377" spans="1:6" x14ac:dyDescent="0.3">
      <c r="A3377" s="3" t="s">
        <v>10</v>
      </c>
      <c r="B3377" s="3" t="s">
        <v>51</v>
      </c>
      <c r="C3377" s="4" t="s">
        <v>4</v>
      </c>
      <c r="D3377" s="3" t="s">
        <v>11</v>
      </c>
      <c r="E3377" s="3" t="s">
        <v>49</v>
      </c>
      <c r="F3377" s="3">
        <v>1</v>
      </c>
    </row>
    <row r="3378" spans="1:6" x14ac:dyDescent="0.3">
      <c r="A3378" s="1" t="s">
        <v>10</v>
      </c>
      <c r="B3378" s="1" t="s">
        <v>51</v>
      </c>
      <c r="C3378" s="2" t="s">
        <v>4</v>
      </c>
      <c r="D3378" s="1" t="s">
        <v>1</v>
      </c>
      <c r="E3378" s="1" t="s">
        <v>44</v>
      </c>
      <c r="F3378" s="1">
        <v>6506.3999999999896</v>
      </c>
    </row>
    <row r="3379" spans="1:6" x14ac:dyDescent="0.3">
      <c r="A3379" s="3" t="s">
        <v>10</v>
      </c>
      <c r="B3379" s="3" t="s">
        <v>51</v>
      </c>
      <c r="C3379" s="4" t="s">
        <v>4</v>
      </c>
      <c r="D3379" s="3" t="s">
        <v>1</v>
      </c>
      <c r="E3379" s="3" t="s">
        <v>45</v>
      </c>
      <c r="F3379" s="3">
        <v>6506.3999999999896</v>
      </c>
    </row>
    <row r="3380" spans="1:6" x14ac:dyDescent="0.3">
      <c r="A3380" s="1" t="s">
        <v>10</v>
      </c>
      <c r="B3380" s="1" t="s">
        <v>51</v>
      </c>
      <c r="C3380" s="2" t="s">
        <v>4</v>
      </c>
      <c r="D3380" s="1" t="s">
        <v>1</v>
      </c>
      <c r="E3380" s="1" t="s">
        <v>49</v>
      </c>
      <c r="F3380" s="1">
        <v>1</v>
      </c>
    </row>
    <row r="3381" spans="1:6" x14ac:dyDescent="0.3">
      <c r="A3381" s="3" t="s">
        <v>10</v>
      </c>
      <c r="B3381" s="3" t="s">
        <v>51</v>
      </c>
      <c r="C3381" s="4" t="s">
        <v>4</v>
      </c>
      <c r="D3381" s="3" t="s">
        <v>6</v>
      </c>
      <c r="E3381" s="3" t="s">
        <v>44</v>
      </c>
      <c r="F3381" s="3">
        <v>9759.6</v>
      </c>
    </row>
    <row r="3382" spans="1:6" x14ac:dyDescent="0.3">
      <c r="A3382" s="1" t="s">
        <v>10</v>
      </c>
      <c r="B3382" s="1" t="s">
        <v>51</v>
      </c>
      <c r="C3382" s="2" t="s">
        <v>4</v>
      </c>
      <c r="D3382" s="1" t="s">
        <v>6</v>
      </c>
      <c r="E3382" s="1" t="s">
        <v>45</v>
      </c>
      <c r="F3382" s="1">
        <v>9759.6</v>
      </c>
    </row>
    <row r="3383" spans="1:6" x14ac:dyDescent="0.3">
      <c r="A3383" s="3" t="s">
        <v>10</v>
      </c>
      <c r="B3383" s="3" t="s">
        <v>51</v>
      </c>
      <c r="C3383" s="4" t="s">
        <v>4</v>
      </c>
      <c r="D3383" s="3" t="s">
        <v>6</v>
      </c>
      <c r="E3383" s="3" t="s">
        <v>49</v>
      </c>
      <c r="F3383" s="3">
        <v>1</v>
      </c>
    </row>
    <row r="3384" spans="1:6" x14ac:dyDescent="0.3">
      <c r="A3384" s="1" t="s">
        <v>10</v>
      </c>
      <c r="B3384" s="1" t="s">
        <v>51</v>
      </c>
      <c r="C3384" s="2" t="s">
        <v>4</v>
      </c>
      <c r="D3384" s="1" t="s">
        <v>9</v>
      </c>
      <c r="E3384" s="1" t="s">
        <v>44</v>
      </c>
      <c r="F3384" s="1">
        <v>13012.799999999899</v>
      </c>
    </row>
    <row r="3385" spans="1:6" x14ac:dyDescent="0.3">
      <c r="A3385" s="3" t="s">
        <v>10</v>
      </c>
      <c r="B3385" s="3" t="s">
        <v>51</v>
      </c>
      <c r="C3385" s="4" t="s">
        <v>4</v>
      </c>
      <c r="D3385" s="3" t="s">
        <v>9</v>
      </c>
      <c r="E3385" s="3" t="s">
        <v>45</v>
      </c>
      <c r="F3385" s="3">
        <v>13012.799999999899</v>
      </c>
    </row>
    <row r="3386" spans="1:6" x14ac:dyDescent="0.3">
      <c r="A3386" s="1" t="s">
        <v>10</v>
      </c>
      <c r="B3386" s="1" t="s">
        <v>51</v>
      </c>
      <c r="C3386" s="2" t="s">
        <v>4</v>
      </c>
      <c r="D3386" s="1" t="s">
        <v>9</v>
      </c>
      <c r="E3386" s="1" t="s">
        <v>49</v>
      </c>
      <c r="F3386" s="1">
        <v>1</v>
      </c>
    </row>
    <row r="3387" spans="1:6" x14ac:dyDescent="0.3">
      <c r="A3387" s="3" t="s">
        <v>10</v>
      </c>
      <c r="B3387" s="3" t="s">
        <v>51</v>
      </c>
      <c r="C3387" s="4" t="s">
        <v>4</v>
      </c>
      <c r="D3387" s="3" t="s">
        <v>11</v>
      </c>
      <c r="E3387" s="3" t="s">
        <v>44</v>
      </c>
      <c r="F3387" s="3">
        <v>16266</v>
      </c>
    </row>
    <row r="3388" spans="1:6" x14ac:dyDescent="0.3">
      <c r="A3388" s="1" t="s">
        <v>10</v>
      </c>
      <c r="B3388" s="1" t="s">
        <v>51</v>
      </c>
      <c r="C3388" s="2" t="s">
        <v>4</v>
      </c>
      <c r="D3388" s="1" t="s">
        <v>11</v>
      </c>
      <c r="E3388" s="1" t="s">
        <v>45</v>
      </c>
      <c r="F3388" s="1">
        <v>16266</v>
      </c>
    </row>
    <row r="3389" spans="1:6" x14ac:dyDescent="0.3">
      <c r="A3389" s="3" t="s">
        <v>10</v>
      </c>
      <c r="B3389" s="3" t="s">
        <v>51</v>
      </c>
      <c r="C3389" s="4" t="s">
        <v>4</v>
      </c>
      <c r="D3389" s="3" t="s">
        <v>11</v>
      </c>
      <c r="E3389" s="3" t="s">
        <v>49</v>
      </c>
      <c r="F3389" s="3">
        <v>1</v>
      </c>
    </row>
    <row r="3390" spans="1:6" x14ac:dyDescent="0.3">
      <c r="A3390" s="1" t="s">
        <v>10</v>
      </c>
      <c r="B3390" s="1" t="s">
        <v>51</v>
      </c>
      <c r="C3390" s="2" t="s">
        <v>4</v>
      </c>
      <c r="D3390" s="1" t="s">
        <v>1</v>
      </c>
      <c r="E3390" s="1" t="s">
        <v>44</v>
      </c>
      <c r="F3390" s="1">
        <v>2992.8</v>
      </c>
    </row>
    <row r="3391" spans="1:6" x14ac:dyDescent="0.3">
      <c r="A3391" s="3" t="s">
        <v>10</v>
      </c>
      <c r="B3391" s="3" t="s">
        <v>51</v>
      </c>
      <c r="C3391" s="4" t="s">
        <v>4</v>
      </c>
      <c r="D3391" s="3" t="s">
        <v>1</v>
      </c>
      <c r="E3391" s="3" t="s">
        <v>45</v>
      </c>
      <c r="F3391" s="3">
        <v>2992.8</v>
      </c>
    </row>
    <row r="3392" spans="1:6" x14ac:dyDescent="0.3">
      <c r="A3392" s="1" t="s">
        <v>10</v>
      </c>
      <c r="B3392" s="1" t="s">
        <v>51</v>
      </c>
      <c r="C3392" s="2" t="s">
        <v>4</v>
      </c>
      <c r="D3392" s="1" t="s">
        <v>1</v>
      </c>
      <c r="E3392" s="1" t="s">
        <v>49</v>
      </c>
      <c r="F3392" s="1">
        <v>1</v>
      </c>
    </row>
    <row r="3393" spans="1:6" x14ac:dyDescent="0.3">
      <c r="A3393" s="3" t="s">
        <v>10</v>
      </c>
      <c r="B3393" s="3" t="s">
        <v>51</v>
      </c>
      <c r="C3393" s="4" t="s">
        <v>4</v>
      </c>
      <c r="D3393" s="3" t="s">
        <v>6</v>
      </c>
      <c r="E3393" s="3" t="s">
        <v>44</v>
      </c>
      <c r="F3393" s="3">
        <v>2992.8</v>
      </c>
    </row>
    <row r="3394" spans="1:6" x14ac:dyDescent="0.3">
      <c r="A3394" s="1" t="s">
        <v>10</v>
      </c>
      <c r="B3394" s="1" t="s">
        <v>51</v>
      </c>
      <c r="C3394" s="2" t="s">
        <v>4</v>
      </c>
      <c r="D3394" s="1" t="s">
        <v>6</v>
      </c>
      <c r="E3394" s="1" t="s">
        <v>45</v>
      </c>
      <c r="F3394" s="1">
        <v>2992.8</v>
      </c>
    </row>
    <row r="3395" spans="1:6" x14ac:dyDescent="0.3">
      <c r="A3395" s="3" t="s">
        <v>10</v>
      </c>
      <c r="B3395" s="3" t="s">
        <v>51</v>
      </c>
      <c r="C3395" s="4" t="s">
        <v>4</v>
      </c>
      <c r="D3395" s="3" t="s">
        <v>6</v>
      </c>
      <c r="E3395" s="3" t="s">
        <v>49</v>
      </c>
      <c r="F3395" s="3">
        <v>1</v>
      </c>
    </row>
    <row r="3396" spans="1:6" x14ac:dyDescent="0.3">
      <c r="A3396" s="1" t="s">
        <v>10</v>
      </c>
      <c r="B3396" s="1" t="s">
        <v>51</v>
      </c>
      <c r="C3396" s="2" t="s">
        <v>4</v>
      </c>
      <c r="D3396" s="1" t="s">
        <v>9</v>
      </c>
      <c r="E3396" s="1" t="s">
        <v>44</v>
      </c>
      <c r="F3396" s="1">
        <v>4988.1999999999898</v>
      </c>
    </row>
    <row r="3397" spans="1:6" x14ac:dyDescent="0.3">
      <c r="A3397" s="3" t="s">
        <v>10</v>
      </c>
      <c r="B3397" s="3" t="s">
        <v>51</v>
      </c>
      <c r="C3397" s="4" t="s">
        <v>4</v>
      </c>
      <c r="D3397" s="3" t="s">
        <v>9</v>
      </c>
      <c r="E3397" s="3" t="s">
        <v>45</v>
      </c>
      <c r="F3397" s="3">
        <v>4988.1999999999898</v>
      </c>
    </row>
    <row r="3398" spans="1:6" x14ac:dyDescent="0.3">
      <c r="A3398" s="1" t="s">
        <v>10</v>
      </c>
      <c r="B3398" s="1" t="s">
        <v>51</v>
      </c>
      <c r="C3398" s="2" t="s">
        <v>4</v>
      </c>
      <c r="D3398" s="1" t="s">
        <v>9</v>
      </c>
      <c r="E3398" s="1" t="s">
        <v>49</v>
      </c>
      <c r="F3398" s="1">
        <v>1</v>
      </c>
    </row>
    <row r="3399" spans="1:6" x14ac:dyDescent="0.3">
      <c r="A3399" s="3" t="s">
        <v>10</v>
      </c>
      <c r="B3399" s="3" t="s">
        <v>51</v>
      </c>
      <c r="C3399" s="4" t="s">
        <v>4</v>
      </c>
      <c r="D3399" s="3" t="s">
        <v>11</v>
      </c>
      <c r="E3399" s="3" t="s">
        <v>44</v>
      </c>
      <c r="F3399" s="3">
        <v>5985.8999999999896</v>
      </c>
    </row>
    <row r="3400" spans="1:6" x14ac:dyDescent="0.3">
      <c r="A3400" s="1" t="s">
        <v>10</v>
      </c>
      <c r="B3400" s="1" t="s">
        <v>51</v>
      </c>
      <c r="C3400" s="2" t="s">
        <v>4</v>
      </c>
      <c r="D3400" s="1" t="s">
        <v>11</v>
      </c>
      <c r="E3400" s="1" t="s">
        <v>45</v>
      </c>
      <c r="F3400" s="1">
        <v>5985.8999999999896</v>
      </c>
    </row>
    <row r="3401" spans="1:6" x14ac:dyDescent="0.3">
      <c r="A3401" s="3" t="s">
        <v>10</v>
      </c>
      <c r="B3401" s="3" t="s">
        <v>51</v>
      </c>
      <c r="C3401" s="4" t="s">
        <v>4</v>
      </c>
      <c r="D3401" s="3" t="s">
        <v>11</v>
      </c>
      <c r="E3401" s="3" t="s">
        <v>49</v>
      </c>
      <c r="F3401" s="3">
        <v>1</v>
      </c>
    </row>
    <row r="3402" spans="1:6" x14ac:dyDescent="0.3">
      <c r="A3402" s="1" t="s">
        <v>10</v>
      </c>
      <c r="B3402" s="1" t="s">
        <v>52</v>
      </c>
      <c r="C3402" s="2" t="s">
        <v>4</v>
      </c>
      <c r="D3402" s="1" t="s">
        <v>1</v>
      </c>
      <c r="E3402" s="1" t="s">
        <v>44</v>
      </c>
      <c r="F3402" s="1">
        <v>91511</v>
      </c>
    </row>
    <row r="3403" spans="1:6" x14ac:dyDescent="0.3">
      <c r="A3403" s="3" t="s">
        <v>10</v>
      </c>
      <c r="B3403" s="3" t="s">
        <v>52</v>
      </c>
      <c r="C3403" s="4" t="s">
        <v>4</v>
      </c>
      <c r="D3403" s="3" t="s">
        <v>1</v>
      </c>
      <c r="E3403" s="3" t="s">
        <v>45</v>
      </c>
      <c r="F3403" s="3">
        <v>91511</v>
      </c>
    </row>
    <row r="3404" spans="1:6" x14ac:dyDescent="0.3">
      <c r="A3404" s="1" t="s">
        <v>10</v>
      </c>
      <c r="B3404" s="1" t="s">
        <v>52</v>
      </c>
      <c r="C3404" s="2" t="s">
        <v>4</v>
      </c>
      <c r="D3404" s="1" t="s">
        <v>1</v>
      </c>
      <c r="E3404" s="1" t="s">
        <v>49</v>
      </c>
      <c r="F3404" s="1">
        <v>1</v>
      </c>
    </row>
    <row r="3405" spans="1:6" x14ac:dyDescent="0.3">
      <c r="A3405" s="3" t="s">
        <v>10</v>
      </c>
      <c r="B3405" s="3" t="s">
        <v>52</v>
      </c>
      <c r="C3405" s="4" t="s">
        <v>4</v>
      </c>
      <c r="D3405" s="3" t="s">
        <v>6</v>
      </c>
      <c r="E3405" s="3" t="s">
        <v>44</v>
      </c>
      <c r="F3405" s="3">
        <v>62460</v>
      </c>
    </row>
    <row r="3406" spans="1:6" x14ac:dyDescent="0.3">
      <c r="A3406" s="1" t="s">
        <v>10</v>
      </c>
      <c r="B3406" s="1" t="s">
        <v>52</v>
      </c>
      <c r="C3406" s="2" t="s">
        <v>4</v>
      </c>
      <c r="D3406" s="1" t="s">
        <v>6</v>
      </c>
      <c r="E3406" s="1" t="s">
        <v>45</v>
      </c>
      <c r="F3406" s="1">
        <v>62460</v>
      </c>
    </row>
    <row r="3407" spans="1:6" x14ac:dyDescent="0.3">
      <c r="A3407" s="3" t="s">
        <v>10</v>
      </c>
      <c r="B3407" s="3" t="s">
        <v>52</v>
      </c>
      <c r="C3407" s="4" t="s">
        <v>4</v>
      </c>
      <c r="D3407" s="3" t="s">
        <v>6</v>
      </c>
      <c r="E3407" s="3" t="s">
        <v>49</v>
      </c>
      <c r="F3407" s="3">
        <v>1</v>
      </c>
    </row>
    <row r="3408" spans="1:6" x14ac:dyDescent="0.3">
      <c r="A3408" s="1" t="s">
        <v>10</v>
      </c>
      <c r="B3408" s="1" t="s">
        <v>52</v>
      </c>
      <c r="C3408" s="2" t="s">
        <v>4</v>
      </c>
      <c r="D3408" s="1" t="s">
        <v>9</v>
      </c>
      <c r="E3408" s="1" t="s">
        <v>44</v>
      </c>
      <c r="F3408" s="1">
        <v>160611</v>
      </c>
    </row>
    <row r="3409" spans="1:6" x14ac:dyDescent="0.3">
      <c r="A3409" s="3" t="s">
        <v>10</v>
      </c>
      <c r="B3409" s="3" t="s">
        <v>52</v>
      </c>
      <c r="C3409" s="4" t="s">
        <v>4</v>
      </c>
      <c r="D3409" s="3" t="s">
        <v>9</v>
      </c>
      <c r="E3409" s="3" t="s">
        <v>45</v>
      </c>
      <c r="F3409" s="3">
        <v>160611</v>
      </c>
    </row>
    <row r="3410" spans="1:6" x14ac:dyDescent="0.3">
      <c r="A3410" s="1" t="s">
        <v>10</v>
      </c>
      <c r="B3410" s="1" t="s">
        <v>52</v>
      </c>
      <c r="C3410" s="2" t="s">
        <v>4</v>
      </c>
      <c r="D3410" s="1" t="s">
        <v>9</v>
      </c>
      <c r="E3410" s="1" t="s">
        <v>49</v>
      </c>
      <c r="F3410" s="1">
        <v>1</v>
      </c>
    </row>
    <row r="3411" spans="1:6" x14ac:dyDescent="0.3">
      <c r="A3411" s="3" t="s">
        <v>10</v>
      </c>
      <c r="B3411" s="3" t="s">
        <v>52</v>
      </c>
      <c r="C3411" s="4" t="s">
        <v>4</v>
      </c>
      <c r="D3411" s="3" t="s">
        <v>11</v>
      </c>
      <c r="E3411" s="3" t="s">
        <v>44</v>
      </c>
      <c r="F3411" s="3">
        <v>120</v>
      </c>
    </row>
    <row r="3412" spans="1:6" x14ac:dyDescent="0.3">
      <c r="A3412" s="1" t="s">
        <v>10</v>
      </c>
      <c r="B3412" s="1" t="s">
        <v>52</v>
      </c>
      <c r="C3412" s="2" t="s">
        <v>4</v>
      </c>
      <c r="D3412" s="1" t="s">
        <v>11</v>
      </c>
      <c r="E3412" s="1" t="s">
        <v>45</v>
      </c>
      <c r="F3412" s="1">
        <v>120</v>
      </c>
    </row>
    <row r="3413" spans="1:6" x14ac:dyDescent="0.3">
      <c r="A3413" s="3" t="s">
        <v>10</v>
      </c>
      <c r="B3413" s="3" t="s">
        <v>52</v>
      </c>
      <c r="C3413" s="4" t="s">
        <v>4</v>
      </c>
      <c r="D3413" s="3" t="s">
        <v>11</v>
      </c>
      <c r="E3413" s="3" t="s">
        <v>49</v>
      </c>
      <c r="F3413" s="3">
        <v>1</v>
      </c>
    </row>
    <row r="3414" spans="1:6" x14ac:dyDescent="0.3">
      <c r="A3414" s="1" t="s">
        <v>10</v>
      </c>
      <c r="B3414" s="1" t="s">
        <v>52</v>
      </c>
      <c r="C3414" s="2" t="s">
        <v>4</v>
      </c>
      <c r="D3414" s="1" t="s">
        <v>1</v>
      </c>
      <c r="E3414" s="1" t="s">
        <v>44</v>
      </c>
      <c r="F3414" s="1">
        <v>10524.8999999999</v>
      </c>
    </row>
    <row r="3415" spans="1:6" x14ac:dyDescent="0.3">
      <c r="A3415" s="3" t="s">
        <v>10</v>
      </c>
      <c r="B3415" s="3" t="s">
        <v>52</v>
      </c>
      <c r="C3415" s="4" t="s">
        <v>4</v>
      </c>
      <c r="D3415" s="3" t="s">
        <v>1</v>
      </c>
      <c r="E3415" s="3" t="s">
        <v>45</v>
      </c>
      <c r="F3415" s="3">
        <v>10524.8999999999</v>
      </c>
    </row>
    <row r="3416" spans="1:6" x14ac:dyDescent="0.3">
      <c r="A3416" s="1" t="s">
        <v>10</v>
      </c>
      <c r="B3416" s="1" t="s">
        <v>52</v>
      </c>
      <c r="C3416" s="2" t="s">
        <v>4</v>
      </c>
      <c r="D3416" s="1" t="s">
        <v>1</v>
      </c>
      <c r="E3416" s="1" t="s">
        <v>49</v>
      </c>
      <c r="F3416" s="1">
        <v>1</v>
      </c>
    </row>
    <row r="3417" spans="1:6" x14ac:dyDescent="0.3">
      <c r="A3417" s="3" t="s">
        <v>10</v>
      </c>
      <c r="B3417" s="3" t="s">
        <v>52</v>
      </c>
      <c r="C3417" s="4" t="s">
        <v>4</v>
      </c>
      <c r="D3417" s="3" t="s">
        <v>6</v>
      </c>
      <c r="E3417" s="3" t="s">
        <v>44</v>
      </c>
      <c r="F3417" s="3">
        <v>15787.5</v>
      </c>
    </row>
    <row r="3418" spans="1:6" x14ac:dyDescent="0.3">
      <c r="A3418" s="1" t="s">
        <v>10</v>
      </c>
      <c r="B3418" s="1" t="s">
        <v>52</v>
      </c>
      <c r="C3418" s="2" t="s">
        <v>4</v>
      </c>
      <c r="D3418" s="1" t="s">
        <v>6</v>
      </c>
      <c r="E3418" s="1" t="s">
        <v>45</v>
      </c>
      <c r="F3418" s="1">
        <v>15787.5</v>
      </c>
    </row>
    <row r="3419" spans="1:6" x14ac:dyDescent="0.3">
      <c r="A3419" s="3" t="s">
        <v>10</v>
      </c>
      <c r="B3419" s="3" t="s">
        <v>52</v>
      </c>
      <c r="C3419" s="4" t="s">
        <v>4</v>
      </c>
      <c r="D3419" s="3" t="s">
        <v>6</v>
      </c>
      <c r="E3419" s="3" t="s">
        <v>49</v>
      </c>
      <c r="F3419" s="3">
        <v>1</v>
      </c>
    </row>
    <row r="3420" spans="1:6" x14ac:dyDescent="0.3">
      <c r="A3420" s="1" t="s">
        <v>10</v>
      </c>
      <c r="B3420" s="1" t="s">
        <v>52</v>
      </c>
      <c r="C3420" s="2" t="s">
        <v>4</v>
      </c>
      <c r="D3420" s="1" t="s">
        <v>9</v>
      </c>
      <c r="E3420" s="1" t="s">
        <v>44</v>
      </c>
      <c r="F3420" s="1">
        <v>21049.799999999901</v>
      </c>
    </row>
    <row r="3421" spans="1:6" x14ac:dyDescent="0.3">
      <c r="A3421" s="3" t="s">
        <v>10</v>
      </c>
      <c r="B3421" s="3" t="s">
        <v>52</v>
      </c>
      <c r="C3421" s="4" t="s">
        <v>4</v>
      </c>
      <c r="D3421" s="3" t="s">
        <v>9</v>
      </c>
      <c r="E3421" s="3" t="s">
        <v>45</v>
      </c>
      <c r="F3421" s="3">
        <v>21049.799999999901</v>
      </c>
    </row>
    <row r="3422" spans="1:6" x14ac:dyDescent="0.3">
      <c r="A3422" s="1" t="s">
        <v>10</v>
      </c>
      <c r="B3422" s="1" t="s">
        <v>52</v>
      </c>
      <c r="C3422" s="2" t="s">
        <v>4</v>
      </c>
      <c r="D3422" s="1" t="s">
        <v>9</v>
      </c>
      <c r="E3422" s="1" t="s">
        <v>49</v>
      </c>
      <c r="F3422" s="1">
        <v>1</v>
      </c>
    </row>
    <row r="3423" spans="1:6" x14ac:dyDescent="0.3">
      <c r="A3423" s="3" t="s">
        <v>10</v>
      </c>
      <c r="B3423" s="3" t="s">
        <v>52</v>
      </c>
      <c r="C3423" s="4" t="s">
        <v>4</v>
      </c>
      <c r="D3423" s="3" t="s">
        <v>11</v>
      </c>
      <c r="E3423" s="3" t="s">
        <v>44</v>
      </c>
      <c r="F3423" s="3">
        <v>26312.400000000001</v>
      </c>
    </row>
    <row r="3424" spans="1:6" x14ac:dyDescent="0.3">
      <c r="A3424" s="1" t="s">
        <v>10</v>
      </c>
      <c r="B3424" s="1" t="s">
        <v>52</v>
      </c>
      <c r="C3424" s="2" t="s">
        <v>4</v>
      </c>
      <c r="D3424" s="1" t="s">
        <v>11</v>
      </c>
      <c r="E3424" s="1" t="s">
        <v>45</v>
      </c>
      <c r="F3424" s="1">
        <v>26312.400000000001</v>
      </c>
    </row>
    <row r="3425" spans="1:6" x14ac:dyDescent="0.3">
      <c r="A3425" s="3" t="s">
        <v>10</v>
      </c>
      <c r="B3425" s="3" t="s">
        <v>52</v>
      </c>
      <c r="C3425" s="4" t="s">
        <v>4</v>
      </c>
      <c r="D3425" s="3" t="s">
        <v>11</v>
      </c>
      <c r="E3425" s="3" t="s">
        <v>49</v>
      </c>
      <c r="F3425" s="3">
        <v>1</v>
      </c>
    </row>
    <row r="3426" spans="1:6" x14ac:dyDescent="0.3">
      <c r="A3426" s="1" t="s">
        <v>10</v>
      </c>
      <c r="B3426" s="1" t="s">
        <v>52</v>
      </c>
      <c r="C3426" s="2" t="s">
        <v>4</v>
      </c>
      <c r="D3426" s="1" t="s">
        <v>1</v>
      </c>
      <c r="E3426" s="1" t="s">
        <v>44</v>
      </c>
      <c r="F3426" s="1">
        <v>142860</v>
      </c>
    </row>
    <row r="3427" spans="1:6" x14ac:dyDescent="0.3">
      <c r="A3427" s="3" t="s">
        <v>10</v>
      </c>
      <c r="B3427" s="3" t="s">
        <v>52</v>
      </c>
      <c r="C3427" s="4" t="s">
        <v>4</v>
      </c>
      <c r="D3427" s="3" t="s">
        <v>1</v>
      </c>
      <c r="E3427" s="3" t="s">
        <v>45</v>
      </c>
      <c r="F3427" s="3">
        <v>142860</v>
      </c>
    </row>
    <row r="3428" spans="1:6" x14ac:dyDescent="0.3">
      <c r="A3428" s="1" t="s">
        <v>10</v>
      </c>
      <c r="B3428" s="1" t="s">
        <v>52</v>
      </c>
      <c r="C3428" s="2" t="s">
        <v>4</v>
      </c>
      <c r="D3428" s="1" t="s">
        <v>1</v>
      </c>
      <c r="E3428" s="1" t="s">
        <v>49</v>
      </c>
      <c r="F3428" s="1">
        <v>1</v>
      </c>
    </row>
    <row r="3429" spans="1:6" x14ac:dyDescent="0.3">
      <c r="A3429" s="3" t="s">
        <v>10</v>
      </c>
      <c r="B3429" s="3" t="s">
        <v>52</v>
      </c>
      <c r="C3429" s="4" t="s">
        <v>4</v>
      </c>
      <c r="D3429" s="3" t="s">
        <v>6</v>
      </c>
      <c r="E3429" s="3" t="s">
        <v>44</v>
      </c>
      <c r="F3429" s="3">
        <v>141086</v>
      </c>
    </row>
    <row r="3430" spans="1:6" x14ac:dyDescent="0.3">
      <c r="A3430" s="1" t="s">
        <v>10</v>
      </c>
      <c r="B3430" s="1" t="s">
        <v>52</v>
      </c>
      <c r="C3430" s="2" t="s">
        <v>4</v>
      </c>
      <c r="D3430" s="1" t="s">
        <v>6</v>
      </c>
      <c r="E3430" s="1" t="s">
        <v>45</v>
      </c>
      <c r="F3430" s="1">
        <v>141086</v>
      </c>
    </row>
    <row r="3431" spans="1:6" x14ac:dyDescent="0.3">
      <c r="A3431" s="3" t="s">
        <v>10</v>
      </c>
      <c r="B3431" s="3" t="s">
        <v>52</v>
      </c>
      <c r="C3431" s="4" t="s">
        <v>4</v>
      </c>
      <c r="D3431" s="3" t="s">
        <v>6</v>
      </c>
      <c r="E3431" s="3" t="s">
        <v>49</v>
      </c>
      <c r="F3431" s="3">
        <v>1</v>
      </c>
    </row>
    <row r="3432" spans="1:6" x14ac:dyDescent="0.3">
      <c r="A3432" s="1" t="s">
        <v>10</v>
      </c>
      <c r="B3432" s="1" t="s">
        <v>52</v>
      </c>
      <c r="C3432" s="2" t="s">
        <v>4</v>
      </c>
      <c r="D3432" s="1" t="s">
        <v>9</v>
      </c>
      <c r="E3432" s="1" t="s">
        <v>44</v>
      </c>
      <c r="F3432" s="1">
        <v>340500</v>
      </c>
    </row>
    <row r="3433" spans="1:6" x14ac:dyDescent="0.3">
      <c r="A3433" s="3" t="s">
        <v>10</v>
      </c>
      <c r="B3433" s="3" t="s">
        <v>52</v>
      </c>
      <c r="C3433" s="4" t="s">
        <v>4</v>
      </c>
      <c r="D3433" s="3" t="s">
        <v>9</v>
      </c>
      <c r="E3433" s="3" t="s">
        <v>45</v>
      </c>
      <c r="F3433" s="3">
        <v>340500</v>
      </c>
    </row>
    <row r="3434" spans="1:6" x14ac:dyDescent="0.3">
      <c r="A3434" s="1" t="s">
        <v>10</v>
      </c>
      <c r="B3434" s="1" t="s">
        <v>52</v>
      </c>
      <c r="C3434" s="2" t="s">
        <v>4</v>
      </c>
      <c r="D3434" s="1" t="s">
        <v>9</v>
      </c>
      <c r="E3434" s="1" t="s">
        <v>49</v>
      </c>
      <c r="F3434" s="1">
        <v>1</v>
      </c>
    </row>
    <row r="3435" spans="1:6" x14ac:dyDescent="0.3">
      <c r="A3435" s="3" t="s">
        <v>10</v>
      </c>
      <c r="B3435" s="3" t="s">
        <v>52</v>
      </c>
      <c r="C3435" s="4" t="s">
        <v>4</v>
      </c>
      <c r="D3435" s="3" t="s">
        <v>11</v>
      </c>
      <c r="E3435" s="3" t="s">
        <v>44</v>
      </c>
      <c r="F3435" s="3">
        <v>360513</v>
      </c>
    </row>
    <row r="3436" spans="1:6" x14ac:dyDescent="0.3">
      <c r="A3436" s="1" t="s">
        <v>10</v>
      </c>
      <c r="B3436" s="1" t="s">
        <v>52</v>
      </c>
      <c r="C3436" s="2" t="s">
        <v>4</v>
      </c>
      <c r="D3436" s="1" t="s">
        <v>11</v>
      </c>
      <c r="E3436" s="1" t="s">
        <v>45</v>
      </c>
      <c r="F3436" s="1">
        <v>360513</v>
      </c>
    </row>
    <row r="3437" spans="1:6" x14ac:dyDescent="0.3">
      <c r="A3437" s="3" t="s">
        <v>10</v>
      </c>
      <c r="B3437" s="3" t="s">
        <v>52</v>
      </c>
      <c r="C3437" s="4" t="s">
        <v>4</v>
      </c>
      <c r="D3437" s="3" t="s">
        <v>11</v>
      </c>
      <c r="E3437" s="3" t="s">
        <v>49</v>
      </c>
      <c r="F3437" s="3">
        <v>1</v>
      </c>
    </row>
    <row r="3438" spans="1:6" x14ac:dyDescent="0.3">
      <c r="A3438" s="1" t="s">
        <v>10</v>
      </c>
      <c r="B3438" s="1" t="s">
        <v>52</v>
      </c>
      <c r="C3438" s="2" t="s">
        <v>4</v>
      </c>
      <c r="D3438" s="1" t="s">
        <v>1</v>
      </c>
      <c r="E3438" s="1" t="s">
        <v>44</v>
      </c>
      <c r="F3438" s="1">
        <v>4841.3999999999896</v>
      </c>
    </row>
    <row r="3439" spans="1:6" x14ac:dyDescent="0.3">
      <c r="A3439" s="3" t="s">
        <v>10</v>
      </c>
      <c r="B3439" s="3" t="s">
        <v>52</v>
      </c>
      <c r="C3439" s="4" t="s">
        <v>4</v>
      </c>
      <c r="D3439" s="3" t="s">
        <v>1</v>
      </c>
      <c r="E3439" s="3" t="s">
        <v>45</v>
      </c>
      <c r="F3439" s="3">
        <v>4841.3999999999896</v>
      </c>
    </row>
    <row r="3440" spans="1:6" x14ac:dyDescent="0.3">
      <c r="A3440" s="1" t="s">
        <v>10</v>
      </c>
      <c r="B3440" s="1" t="s">
        <v>52</v>
      </c>
      <c r="C3440" s="2" t="s">
        <v>4</v>
      </c>
      <c r="D3440" s="1" t="s">
        <v>1</v>
      </c>
      <c r="E3440" s="1" t="s">
        <v>49</v>
      </c>
      <c r="F3440" s="1">
        <v>1</v>
      </c>
    </row>
    <row r="3441" spans="1:6" x14ac:dyDescent="0.3">
      <c r="A3441" s="3" t="s">
        <v>10</v>
      </c>
      <c r="B3441" s="3" t="s">
        <v>52</v>
      </c>
      <c r="C3441" s="4" t="s">
        <v>4</v>
      </c>
      <c r="D3441" s="3" t="s">
        <v>6</v>
      </c>
      <c r="E3441" s="3" t="s">
        <v>44</v>
      </c>
      <c r="F3441" s="3">
        <v>4841.3999999999896</v>
      </c>
    </row>
    <row r="3442" spans="1:6" x14ac:dyDescent="0.3">
      <c r="A3442" s="1" t="s">
        <v>10</v>
      </c>
      <c r="B3442" s="1" t="s">
        <v>52</v>
      </c>
      <c r="C3442" s="2" t="s">
        <v>4</v>
      </c>
      <c r="D3442" s="1" t="s">
        <v>6</v>
      </c>
      <c r="E3442" s="1" t="s">
        <v>45</v>
      </c>
      <c r="F3442" s="1">
        <v>4841.3999999999896</v>
      </c>
    </row>
    <row r="3443" spans="1:6" x14ac:dyDescent="0.3">
      <c r="A3443" s="3" t="s">
        <v>10</v>
      </c>
      <c r="B3443" s="3" t="s">
        <v>52</v>
      </c>
      <c r="C3443" s="4" t="s">
        <v>4</v>
      </c>
      <c r="D3443" s="3" t="s">
        <v>6</v>
      </c>
      <c r="E3443" s="3" t="s">
        <v>49</v>
      </c>
      <c r="F3443" s="3">
        <v>1</v>
      </c>
    </row>
    <row r="3444" spans="1:6" x14ac:dyDescent="0.3">
      <c r="A3444" s="1" t="s">
        <v>10</v>
      </c>
      <c r="B3444" s="1" t="s">
        <v>52</v>
      </c>
      <c r="C3444" s="2" t="s">
        <v>4</v>
      </c>
      <c r="D3444" s="1" t="s">
        <v>9</v>
      </c>
      <c r="E3444" s="1" t="s">
        <v>44</v>
      </c>
      <c r="F3444" s="1">
        <v>8069.2</v>
      </c>
    </row>
    <row r="3445" spans="1:6" x14ac:dyDescent="0.3">
      <c r="A3445" s="3" t="s">
        <v>10</v>
      </c>
      <c r="B3445" s="3" t="s">
        <v>52</v>
      </c>
      <c r="C3445" s="4" t="s">
        <v>4</v>
      </c>
      <c r="D3445" s="3" t="s">
        <v>9</v>
      </c>
      <c r="E3445" s="3" t="s">
        <v>45</v>
      </c>
      <c r="F3445" s="3">
        <v>8069.2</v>
      </c>
    </row>
    <row r="3446" spans="1:6" x14ac:dyDescent="0.3">
      <c r="A3446" s="1" t="s">
        <v>10</v>
      </c>
      <c r="B3446" s="1" t="s">
        <v>52</v>
      </c>
      <c r="C3446" s="2" t="s">
        <v>4</v>
      </c>
      <c r="D3446" s="1" t="s">
        <v>9</v>
      </c>
      <c r="E3446" s="1" t="s">
        <v>49</v>
      </c>
      <c r="F3446" s="1">
        <v>1</v>
      </c>
    </row>
    <row r="3447" spans="1:6" x14ac:dyDescent="0.3">
      <c r="A3447" s="3" t="s">
        <v>10</v>
      </c>
      <c r="B3447" s="3" t="s">
        <v>52</v>
      </c>
      <c r="C3447" s="4" t="s">
        <v>4</v>
      </c>
      <c r="D3447" s="3" t="s">
        <v>11</v>
      </c>
      <c r="E3447" s="3" t="s">
        <v>44</v>
      </c>
      <c r="F3447" s="3">
        <v>9683.1</v>
      </c>
    </row>
    <row r="3448" spans="1:6" x14ac:dyDescent="0.3">
      <c r="A3448" s="1" t="s">
        <v>10</v>
      </c>
      <c r="B3448" s="1" t="s">
        <v>52</v>
      </c>
      <c r="C3448" s="2" t="s">
        <v>4</v>
      </c>
      <c r="D3448" s="1" t="s">
        <v>11</v>
      </c>
      <c r="E3448" s="1" t="s">
        <v>45</v>
      </c>
      <c r="F3448" s="1">
        <v>9683.1</v>
      </c>
    </row>
    <row r="3449" spans="1:6" x14ac:dyDescent="0.3">
      <c r="A3449" s="3" t="s">
        <v>10</v>
      </c>
      <c r="B3449" s="3" t="s">
        <v>52</v>
      </c>
      <c r="C3449" s="4" t="s">
        <v>4</v>
      </c>
      <c r="D3449" s="3" t="s">
        <v>11</v>
      </c>
      <c r="E3449" s="3" t="s">
        <v>49</v>
      </c>
      <c r="F3449" s="3">
        <v>1</v>
      </c>
    </row>
    <row r="3450" spans="1:6" x14ac:dyDescent="0.3">
      <c r="A3450" s="1" t="s">
        <v>10</v>
      </c>
      <c r="B3450" s="1" t="s">
        <v>52</v>
      </c>
      <c r="C3450" s="2" t="s">
        <v>4</v>
      </c>
      <c r="D3450" s="1" t="s">
        <v>1</v>
      </c>
      <c r="E3450" s="1" t="s">
        <v>44</v>
      </c>
      <c r="F3450" s="1">
        <v>250903</v>
      </c>
    </row>
    <row r="3451" spans="1:6" x14ac:dyDescent="0.3">
      <c r="A3451" s="3" t="s">
        <v>10</v>
      </c>
      <c r="B3451" s="3" t="s">
        <v>52</v>
      </c>
      <c r="C3451" s="4" t="s">
        <v>4</v>
      </c>
      <c r="D3451" s="3" t="s">
        <v>1</v>
      </c>
      <c r="E3451" s="3" t="s">
        <v>45</v>
      </c>
      <c r="F3451" s="3">
        <v>250903</v>
      </c>
    </row>
    <row r="3452" spans="1:6" x14ac:dyDescent="0.3">
      <c r="A3452" s="1" t="s">
        <v>10</v>
      </c>
      <c r="B3452" s="1" t="s">
        <v>52</v>
      </c>
      <c r="C3452" s="2" t="s">
        <v>4</v>
      </c>
      <c r="D3452" s="1" t="s">
        <v>1</v>
      </c>
      <c r="E3452" s="1" t="s">
        <v>49</v>
      </c>
      <c r="F3452" s="1">
        <v>1</v>
      </c>
    </row>
    <row r="3453" spans="1:6" x14ac:dyDescent="0.3">
      <c r="A3453" s="3" t="s">
        <v>10</v>
      </c>
      <c r="B3453" s="3" t="s">
        <v>52</v>
      </c>
      <c r="C3453" s="4" t="s">
        <v>4</v>
      </c>
      <c r="D3453" s="3" t="s">
        <v>6</v>
      </c>
      <c r="E3453" s="3" t="s">
        <v>44</v>
      </c>
      <c r="F3453" s="3">
        <v>241673</v>
      </c>
    </row>
    <row r="3454" spans="1:6" x14ac:dyDescent="0.3">
      <c r="A3454" s="1" t="s">
        <v>10</v>
      </c>
      <c r="B3454" s="1" t="s">
        <v>52</v>
      </c>
      <c r="C3454" s="2" t="s">
        <v>4</v>
      </c>
      <c r="D3454" s="1" t="s">
        <v>6</v>
      </c>
      <c r="E3454" s="1" t="s">
        <v>45</v>
      </c>
      <c r="F3454" s="1">
        <v>241673</v>
      </c>
    </row>
    <row r="3455" spans="1:6" x14ac:dyDescent="0.3">
      <c r="A3455" s="3" t="s">
        <v>10</v>
      </c>
      <c r="B3455" s="3" t="s">
        <v>52</v>
      </c>
      <c r="C3455" s="4" t="s">
        <v>4</v>
      </c>
      <c r="D3455" s="3" t="s">
        <v>6</v>
      </c>
      <c r="E3455" s="3" t="s">
        <v>49</v>
      </c>
      <c r="F3455" s="3">
        <v>1</v>
      </c>
    </row>
    <row r="3456" spans="1:6" x14ac:dyDescent="0.3">
      <c r="A3456" s="1" t="s">
        <v>10</v>
      </c>
      <c r="B3456" s="1" t="s">
        <v>52</v>
      </c>
      <c r="C3456" s="2" t="s">
        <v>4</v>
      </c>
      <c r="D3456" s="1" t="s">
        <v>9</v>
      </c>
      <c r="E3456" s="1" t="s">
        <v>44</v>
      </c>
      <c r="F3456" s="1">
        <v>360516</v>
      </c>
    </row>
    <row r="3457" spans="1:6" x14ac:dyDescent="0.3">
      <c r="A3457" s="3" t="s">
        <v>10</v>
      </c>
      <c r="B3457" s="3" t="s">
        <v>52</v>
      </c>
      <c r="C3457" s="4" t="s">
        <v>4</v>
      </c>
      <c r="D3457" s="3" t="s">
        <v>9</v>
      </c>
      <c r="E3457" s="3" t="s">
        <v>45</v>
      </c>
      <c r="F3457" s="3">
        <v>360516</v>
      </c>
    </row>
    <row r="3458" spans="1:6" x14ac:dyDescent="0.3">
      <c r="A3458" s="1" t="s">
        <v>10</v>
      </c>
      <c r="B3458" s="1" t="s">
        <v>52</v>
      </c>
      <c r="C3458" s="2" t="s">
        <v>4</v>
      </c>
      <c r="D3458" s="1" t="s">
        <v>9</v>
      </c>
      <c r="E3458" s="1" t="s">
        <v>49</v>
      </c>
      <c r="F3458" s="1">
        <v>1</v>
      </c>
    </row>
    <row r="3459" spans="1:6" x14ac:dyDescent="0.3">
      <c r="A3459" s="3" t="s">
        <v>10</v>
      </c>
      <c r="B3459" s="3" t="s">
        <v>52</v>
      </c>
      <c r="C3459" s="4" t="s">
        <v>4</v>
      </c>
      <c r="D3459" s="3" t="s">
        <v>11</v>
      </c>
      <c r="E3459" s="3" t="s">
        <v>44</v>
      </c>
      <c r="F3459" s="3">
        <v>36438</v>
      </c>
    </row>
    <row r="3460" spans="1:6" x14ac:dyDescent="0.3">
      <c r="A3460" s="1" t="s">
        <v>10</v>
      </c>
      <c r="B3460" s="1" t="s">
        <v>52</v>
      </c>
      <c r="C3460" s="2" t="s">
        <v>4</v>
      </c>
      <c r="D3460" s="1" t="s">
        <v>11</v>
      </c>
      <c r="E3460" s="1" t="s">
        <v>45</v>
      </c>
      <c r="F3460" s="1">
        <v>36438</v>
      </c>
    </row>
    <row r="3461" spans="1:6" x14ac:dyDescent="0.3">
      <c r="A3461" s="3" t="s">
        <v>10</v>
      </c>
      <c r="B3461" s="3" t="s">
        <v>52</v>
      </c>
      <c r="C3461" s="4" t="s">
        <v>4</v>
      </c>
      <c r="D3461" s="3" t="s">
        <v>11</v>
      </c>
      <c r="E3461" s="3" t="s">
        <v>49</v>
      </c>
      <c r="F3461" s="3">
        <v>1</v>
      </c>
    </row>
    <row r="3462" spans="1:6" x14ac:dyDescent="0.3">
      <c r="A3462" s="1" t="s">
        <v>10</v>
      </c>
      <c r="B3462" s="1" t="s">
        <v>52</v>
      </c>
      <c r="C3462" s="2" t="s">
        <v>4</v>
      </c>
      <c r="D3462" s="1" t="s">
        <v>1</v>
      </c>
      <c r="E3462" s="1" t="s">
        <v>44</v>
      </c>
      <c r="F3462" s="1">
        <v>10524.8999999999</v>
      </c>
    </row>
    <row r="3463" spans="1:6" x14ac:dyDescent="0.3">
      <c r="A3463" s="3" t="s">
        <v>10</v>
      </c>
      <c r="B3463" s="3" t="s">
        <v>52</v>
      </c>
      <c r="C3463" s="4" t="s">
        <v>4</v>
      </c>
      <c r="D3463" s="3" t="s">
        <v>1</v>
      </c>
      <c r="E3463" s="3" t="s">
        <v>45</v>
      </c>
      <c r="F3463" s="3">
        <v>10524.8999999999</v>
      </c>
    </row>
    <row r="3464" spans="1:6" x14ac:dyDescent="0.3">
      <c r="A3464" s="1" t="s">
        <v>10</v>
      </c>
      <c r="B3464" s="1" t="s">
        <v>52</v>
      </c>
      <c r="C3464" s="2" t="s">
        <v>4</v>
      </c>
      <c r="D3464" s="1" t="s">
        <v>1</v>
      </c>
      <c r="E3464" s="1" t="s">
        <v>49</v>
      </c>
      <c r="F3464" s="1">
        <v>1</v>
      </c>
    </row>
    <row r="3465" spans="1:6" x14ac:dyDescent="0.3">
      <c r="A3465" s="3" t="s">
        <v>10</v>
      </c>
      <c r="B3465" s="3" t="s">
        <v>52</v>
      </c>
      <c r="C3465" s="4" t="s">
        <v>4</v>
      </c>
      <c r="D3465" s="3" t="s">
        <v>6</v>
      </c>
      <c r="E3465" s="3" t="s">
        <v>44</v>
      </c>
      <c r="F3465" s="3">
        <v>10524.8999999999</v>
      </c>
    </row>
    <row r="3466" spans="1:6" x14ac:dyDescent="0.3">
      <c r="A3466" s="1" t="s">
        <v>10</v>
      </c>
      <c r="B3466" s="1" t="s">
        <v>52</v>
      </c>
      <c r="C3466" s="2" t="s">
        <v>4</v>
      </c>
      <c r="D3466" s="1" t="s">
        <v>6</v>
      </c>
      <c r="E3466" s="1" t="s">
        <v>45</v>
      </c>
      <c r="F3466" s="1">
        <v>10524.8999999999</v>
      </c>
    </row>
    <row r="3467" spans="1:6" x14ac:dyDescent="0.3">
      <c r="A3467" s="3" t="s">
        <v>10</v>
      </c>
      <c r="B3467" s="3" t="s">
        <v>52</v>
      </c>
      <c r="C3467" s="4" t="s">
        <v>4</v>
      </c>
      <c r="D3467" s="3" t="s">
        <v>6</v>
      </c>
      <c r="E3467" s="3" t="s">
        <v>49</v>
      </c>
      <c r="F3467" s="3">
        <v>1</v>
      </c>
    </row>
    <row r="3468" spans="1:6" x14ac:dyDescent="0.3">
      <c r="A3468" s="1" t="s">
        <v>10</v>
      </c>
      <c r="B3468" s="1" t="s">
        <v>52</v>
      </c>
      <c r="C3468" s="2" t="s">
        <v>4</v>
      </c>
      <c r="D3468" s="1" t="s">
        <v>9</v>
      </c>
      <c r="E3468" s="1" t="s">
        <v>44</v>
      </c>
      <c r="F3468" s="1">
        <v>10524.8999999999</v>
      </c>
    </row>
    <row r="3469" spans="1:6" x14ac:dyDescent="0.3">
      <c r="A3469" s="3" t="s">
        <v>10</v>
      </c>
      <c r="B3469" s="3" t="s">
        <v>52</v>
      </c>
      <c r="C3469" s="4" t="s">
        <v>4</v>
      </c>
      <c r="D3469" s="3" t="s">
        <v>9</v>
      </c>
      <c r="E3469" s="3" t="s">
        <v>45</v>
      </c>
      <c r="F3469" s="3">
        <v>10524.8999999999</v>
      </c>
    </row>
    <row r="3470" spans="1:6" x14ac:dyDescent="0.3">
      <c r="A3470" s="1" t="s">
        <v>10</v>
      </c>
      <c r="B3470" s="1" t="s">
        <v>52</v>
      </c>
      <c r="C3470" s="2" t="s">
        <v>4</v>
      </c>
      <c r="D3470" s="1" t="s">
        <v>9</v>
      </c>
      <c r="E3470" s="1" t="s">
        <v>49</v>
      </c>
      <c r="F3470" s="1">
        <v>1</v>
      </c>
    </row>
    <row r="3471" spans="1:6" x14ac:dyDescent="0.3">
      <c r="A3471" s="3" t="s">
        <v>10</v>
      </c>
      <c r="B3471" s="3" t="s">
        <v>52</v>
      </c>
      <c r="C3471" s="4" t="s">
        <v>4</v>
      </c>
      <c r="D3471" s="3" t="s">
        <v>11</v>
      </c>
      <c r="E3471" s="3" t="s">
        <v>44</v>
      </c>
      <c r="F3471" s="3">
        <v>10524.8999999999</v>
      </c>
    </row>
    <row r="3472" spans="1:6" x14ac:dyDescent="0.3">
      <c r="A3472" s="1" t="s">
        <v>10</v>
      </c>
      <c r="B3472" s="1" t="s">
        <v>52</v>
      </c>
      <c r="C3472" s="2" t="s">
        <v>4</v>
      </c>
      <c r="D3472" s="1" t="s">
        <v>11</v>
      </c>
      <c r="E3472" s="1" t="s">
        <v>45</v>
      </c>
      <c r="F3472" s="1">
        <v>10524.8999999999</v>
      </c>
    </row>
    <row r="3473" spans="1:6" x14ac:dyDescent="0.3">
      <c r="A3473" s="3" t="s">
        <v>10</v>
      </c>
      <c r="B3473" s="3" t="s">
        <v>52</v>
      </c>
      <c r="C3473" s="4" t="s">
        <v>4</v>
      </c>
      <c r="D3473" s="3" t="s">
        <v>11</v>
      </c>
      <c r="E3473" s="3" t="s">
        <v>49</v>
      </c>
      <c r="F3473" s="3">
        <v>1</v>
      </c>
    </row>
    <row r="3474" spans="1:6" x14ac:dyDescent="0.3">
      <c r="A3474" s="1" t="s">
        <v>10</v>
      </c>
      <c r="B3474" s="1" t="s">
        <v>52</v>
      </c>
      <c r="C3474" s="2" t="s">
        <v>4</v>
      </c>
      <c r="D3474" s="1" t="s">
        <v>1</v>
      </c>
      <c r="E3474" s="1" t="s">
        <v>44</v>
      </c>
      <c r="F3474" s="1">
        <v>78481</v>
      </c>
    </row>
    <row r="3475" spans="1:6" x14ac:dyDescent="0.3">
      <c r="A3475" s="3" t="s">
        <v>10</v>
      </c>
      <c r="B3475" s="3" t="s">
        <v>52</v>
      </c>
      <c r="C3475" s="4" t="s">
        <v>4</v>
      </c>
      <c r="D3475" s="3" t="s">
        <v>1</v>
      </c>
      <c r="E3475" s="3" t="s">
        <v>45</v>
      </c>
      <c r="F3475" s="3">
        <v>78481</v>
      </c>
    </row>
    <row r="3476" spans="1:6" x14ac:dyDescent="0.3">
      <c r="A3476" s="1" t="s">
        <v>10</v>
      </c>
      <c r="B3476" s="1" t="s">
        <v>52</v>
      </c>
      <c r="C3476" s="2" t="s">
        <v>4</v>
      </c>
      <c r="D3476" s="1" t="s">
        <v>1</v>
      </c>
      <c r="E3476" s="1" t="s">
        <v>49</v>
      </c>
      <c r="F3476" s="1">
        <v>1</v>
      </c>
    </row>
    <row r="3477" spans="1:6" x14ac:dyDescent="0.3">
      <c r="A3477" s="3" t="s">
        <v>10</v>
      </c>
      <c r="B3477" s="3" t="s">
        <v>52</v>
      </c>
      <c r="C3477" s="4" t="s">
        <v>4</v>
      </c>
      <c r="D3477" s="3" t="s">
        <v>6</v>
      </c>
      <c r="E3477" s="3" t="s">
        <v>44</v>
      </c>
      <c r="F3477" s="3">
        <v>62460</v>
      </c>
    </row>
    <row r="3478" spans="1:6" x14ac:dyDescent="0.3">
      <c r="A3478" s="1" t="s">
        <v>10</v>
      </c>
      <c r="B3478" s="1" t="s">
        <v>52</v>
      </c>
      <c r="C3478" s="2" t="s">
        <v>4</v>
      </c>
      <c r="D3478" s="1" t="s">
        <v>6</v>
      </c>
      <c r="E3478" s="1" t="s">
        <v>45</v>
      </c>
      <c r="F3478" s="1">
        <v>62460</v>
      </c>
    </row>
    <row r="3479" spans="1:6" x14ac:dyDescent="0.3">
      <c r="A3479" s="3" t="s">
        <v>10</v>
      </c>
      <c r="B3479" s="3" t="s">
        <v>52</v>
      </c>
      <c r="C3479" s="4" t="s">
        <v>4</v>
      </c>
      <c r="D3479" s="3" t="s">
        <v>6</v>
      </c>
      <c r="E3479" s="3" t="s">
        <v>49</v>
      </c>
      <c r="F3479" s="3">
        <v>1</v>
      </c>
    </row>
    <row r="3480" spans="1:6" x14ac:dyDescent="0.3">
      <c r="A3480" s="1" t="s">
        <v>10</v>
      </c>
      <c r="B3480" s="1" t="s">
        <v>52</v>
      </c>
      <c r="C3480" s="2" t="s">
        <v>4</v>
      </c>
      <c r="D3480" s="1" t="s">
        <v>9</v>
      </c>
      <c r="E3480" s="1" t="s">
        <v>44</v>
      </c>
      <c r="F3480" s="1">
        <v>160611</v>
      </c>
    </row>
    <row r="3481" spans="1:6" x14ac:dyDescent="0.3">
      <c r="A3481" s="3" t="s">
        <v>10</v>
      </c>
      <c r="B3481" s="3" t="s">
        <v>52</v>
      </c>
      <c r="C3481" s="4" t="s">
        <v>4</v>
      </c>
      <c r="D3481" s="3" t="s">
        <v>9</v>
      </c>
      <c r="E3481" s="3" t="s">
        <v>45</v>
      </c>
      <c r="F3481" s="3">
        <v>160611</v>
      </c>
    </row>
    <row r="3482" spans="1:6" x14ac:dyDescent="0.3">
      <c r="A3482" s="1" t="s">
        <v>10</v>
      </c>
      <c r="B3482" s="1" t="s">
        <v>52</v>
      </c>
      <c r="C3482" s="2" t="s">
        <v>4</v>
      </c>
      <c r="D3482" s="1" t="s">
        <v>9</v>
      </c>
      <c r="E3482" s="1" t="s">
        <v>49</v>
      </c>
      <c r="F3482" s="1">
        <v>1</v>
      </c>
    </row>
    <row r="3483" spans="1:6" x14ac:dyDescent="0.3">
      <c r="A3483" s="3" t="s">
        <v>10</v>
      </c>
      <c r="B3483" s="3" t="s">
        <v>52</v>
      </c>
      <c r="C3483" s="4" t="s">
        <v>4</v>
      </c>
      <c r="D3483" s="3" t="s">
        <v>11</v>
      </c>
      <c r="E3483" s="3" t="s">
        <v>44</v>
      </c>
      <c r="F3483" s="3">
        <v>62460</v>
      </c>
    </row>
    <row r="3484" spans="1:6" x14ac:dyDescent="0.3">
      <c r="A3484" s="1" t="s">
        <v>10</v>
      </c>
      <c r="B3484" s="1" t="s">
        <v>52</v>
      </c>
      <c r="C3484" s="2" t="s">
        <v>4</v>
      </c>
      <c r="D3484" s="1" t="s">
        <v>11</v>
      </c>
      <c r="E3484" s="1" t="s">
        <v>45</v>
      </c>
      <c r="F3484" s="1">
        <v>62460</v>
      </c>
    </row>
    <row r="3485" spans="1:6" x14ac:dyDescent="0.3">
      <c r="A3485" s="3" t="s">
        <v>10</v>
      </c>
      <c r="B3485" s="3" t="s">
        <v>52</v>
      </c>
      <c r="C3485" s="4" t="s">
        <v>4</v>
      </c>
      <c r="D3485" s="3" t="s">
        <v>11</v>
      </c>
      <c r="E3485" s="3" t="s">
        <v>49</v>
      </c>
      <c r="F3485" s="3">
        <v>1</v>
      </c>
    </row>
    <row r="3486" spans="1:6" x14ac:dyDescent="0.3">
      <c r="A3486" s="1" t="s">
        <v>10</v>
      </c>
      <c r="B3486" s="1" t="s">
        <v>52</v>
      </c>
      <c r="C3486" s="2" t="s">
        <v>4</v>
      </c>
      <c r="D3486" s="1" t="s">
        <v>1</v>
      </c>
      <c r="E3486" s="1" t="s">
        <v>44</v>
      </c>
      <c r="F3486" s="1">
        <v>4879.8</v>
      </c>
    </row>
    <row r="3487" spans="1:6" x14ac:dyDescent="0.3">
      <c r="A3487" s="3" t="s">
        <v>10</v>
      </c>
      <c r="B3487" s="3" t="s">
        <v>52</v>
      </c>
      <c r="C3487" s="4" t="s">
        <v>4</v>
      </c>
      <c r="D3487" s="3" t="s">
        <v>1</v>
      </c>
      <c r="E3487" s="3" t="s">
        <v>45</v>
      </c>
      <c r="F3487" s="3">
        <v>4879.8</v>
      </c>
    </row>
    <row r="3488" spans="1:6" x14ac:dyDescent="0.3">
      <c r="A3488" s="1" t="s">
        <v>10</v>
      </c>
      <c r="B3488" s="1" t="s">
        <v>52</v>
      </c>
      <c r="C3488" s="2" t="s">
        <v>4</v>
      </c>
      <c r="D3488" s="1" t="s">
        <v>1</v>
      </c>
      <c r="E3488" s="1" t="s">
        <v>49</v>
      </c>
      <c r="F3488" s="1">
        <v>1</v>
      </c>
    </row>
    <row r="3489" spans="1:6" x14ac:dyDescent="0.3">
      <c r="A3489" s="3" t="s">
        <v>10</v>
      </c>
      <c r="B3489" s="3" t="s">
        <v>52</v>
      </c>
      <c r="C3489" s="4" t="s">
        <v>4</v>
      </c>
      <c r="D3489" s="3" t="s">
        <v>6</v>
      </c>
      <c r="E3489" s="3" t="s">
        <v>44</v>
      </c>
      <c r="F3489" s="3">
        <v>4879.8</v>
      </c>
    </row>
    <row r="3490" spans="1:6" x14ac:dyDescent="0.3">
      <c r="A3490" s="1" t="s">
        <v>10</v>
      </c>
      <c r="B3490" s="1" t="s">
        <v>52</v>
      </c>
      <c r="C3490" s="2" t="s">
        <v>4</v>
      </c>
      <c r="D3490" s="1" t="s">
        <v>6</v>
      </c>
      <c r="E3490" s="1" t="s">
        <v>45</v>
      </c>
      <c r="F3490" s="1">
        <v>4879.8</v>
      </c>
    </row>
    <row r="3491" spans="1:6" x14ac:dyDescent="0.3">
      <c r="A3491" s="3" t="s">
        <v>10</v>
      </c>
      <c r="B3491" s="3" t="s">
        <v>52</v>
      </c>
      <c r="C3491" s="4" t="s">
        <v>4</v>
      </c>
      <c r="D3491" s="3" t="s">
        <v>6</v>
      </c>
      <c r="E3491" s="3" t="s">
        <v>49</v>
      </c>
      <c r="F3491" s="3">
        <v>1</v>
      </c>
    </row>
    <row r="3492" spans="1:6" x14ac:dyDescent="0.3">
      <c r="A3492" s="1" t="s">
        <v>10</v>
      </c>
      <c r="B3492" s="1" t="s">
        <v>52</v>
      </c>
      <c r="C3492" s="2" t="s">
        <v>4</v>
      </c>
      <c r="D3492" s="1" t="s">
        <v>9</v>
      </c>
      <c r="E3492" s="1" t="s">
        <v>44</v>
      </c>
      <c r="F3492" s="1">
        <v>4879.8</v>
      </c>
    </row>
    <row r="3493" spans="1:6" x14ac:dyDescent="0.3">
      <c r="A3493" s="3" t="s">
        <v>10</v>
      </c>
      <c r="B3493" s="3" t="s">
        <v>52</v>
      </c>
      <c r="C3493" s="4" t="s">
        <v>4</v>
      </c>
      <c r="D3493" s="3" t="s">
        <v>9</v>
      </c>
      <c r="E3493" s="3" t="s">
        <v>45</v>
      </c>
      <c r="F3493" s="3">
        <v>4879.8</v>
      </c>
    </row>
    <row r="3494" spans="1:6" x14ac:dyDescent="0.3">
      <c r="A3494" s="1" t="s">
        <v>10</v>
      </c>
      <c r="B3494" s="1" t="s">
        <v>52</v>
      </c>
      <c r="C3494" s="2" t="s">
        <v>4</v>
      </c>
      <c r="D3494" s="1" t="s">
        <v>9</v>
      </c>
      <c r="E3494" s="1" t="s">
        <v>49</v>
      </c>
      <c r="F3494" s="1">
        <v>1</v>
      </c>
    </row>
    <row r="3495" spans="1:6" x14ac:dyDescent="0.3">
      <c r="A3495" s="3" t="s">
        <v>10</v>
      </c>
      <c r="B3495" s="3" t="s">
        <v>52</v>
      </c>
      <c r="C3495" s="4" t="s">
        <v>4</v>
      </c>
      <c r="D3495" s="3" t="s">
        <v>11</v>
      </c>
      <c r="E3495" s="3" t="s">
        <v>44</v>
      </c>
      <c r="F3495" s="3">
        <v>4879.8</v>
      </c>
    </row>
    <row r="3496" spans="1:6" x14ac:dyDescent="0.3">
      <c r="A3496" s="1" t="s">
        <v>10</v>
      </c>
      <c r="B3496" s="1" t="s">
        <v>52</v>
      </c>
      <c r="C3496" s="2" t="s">
        <v>4</v>
      </c>
      <c r="D3496" s="1" t="s">
        <v>11</v>
      </c>
      <c r="E3496" s="1" t="s">
        <v>45</v>
      </c>
      <c r="F3496" s="1">
        <v>4879.8</v>
      </c>
    </row>
    <row r="3497" spans="1:6" x14ac:dyDescent="0.3">
      <c r="A3497" s="3" t="s">
        <v>10</v>
      </c>
      <c r="B3497" s="3" t="s">
        <v>52</v>
      </c>
      <c r="C3497" s="4" t="s">
        <v>4</v>
      </c>
      <c r="D3497" s="3" t="s">
        <v>11</v>
      </c>
      <c r="E3497" s="3" t="s">
        <v>49</v>
      </c>
      <c r="F3497" s="3">
        <v>1</v>
      </c>
    </row>
    <row r="3498" spans="1:6" x14ac:dyDescent="0.3">
      <c r="A3498" s="1" t="s">
        <v>10</v>
      </c>
      <c r="B3498" s="1" t="s">
        <v>52</v>
      </c>
      <c r="C3498" s="2" t="s">
        <v>4</v>
      </c>
      <c r="D3498" s="1" t="s">
        <v>1</v>
      </c>
      <c r="E3498" s="1" t="s">
        <v>44</v>
      </c>
      <c r="F3498" s="1">
        <v>5103</v>
      </c>
    </row>
    <row r="3499" spans="1:6" x14ac:dyDescent="0.3">
      <c r="A3499" s="3" t="s">
        <v>10</v>
      </c>
      <c r="B3499" s="3" t="s">
        <v>52</v>
      </c>
      <c r="C3499" s="4" t="s">
        <v>4</v>
      </c>
      <c r="D3499" s="3" t="s">
        <v>1</v>
      </c>
      <c r="E3499" s="3" t="s">
        <v>45</v>
      </c>
      <c r="F3499" s="3">
        <v>5103</v>
      </c>
    </row>
    <row r="3500" spans="1:6" x14ac:dyDescent="0.3">
      <c r="A3500" s="1" t="s">
        <v>10</v>
      </c>
      <c r="B3500" s="1" t="s">
        <v>52</v>
      </c>
      <c r="C3500" s="2" t="s">
        <v>4</v>
      </c>
      <c r="D3500" s="1" t="s">
        <v>1</v>
      </c>
      <c r="E3500" s="1" t="s">
        <v>49</v>
      </c>
      <c r="F3500" s="1">
        <v>1</v>
      </c>
    </row>
    <row r="3501" spans="1:6" x14ac:dyDescent="0.3">
      <c r="A3501" s="3" t="s">
        <v>10</v>
      </c>
      <c r="B3501" s="3" t="s">
        <v>52</v>
      </c>
      <c r="C3501" s="4" t="s">
        <v>4</v>
      </c>
      <c r="D3501" s="3" t="s">
        <v>6</v>
      </c>
      <c r="E3501" s="3" t="s">
        <v>44</v>
      </c>
      <c r="F3501" s="3">
        <v>7654.5</v>
      </c>
    </row>
    <row r="3502" spans="1:6" x14ac:dyDescent="0.3">
      <c r="A3502" s="1" t="s">
        <v>10</v>
      </c>
      <c r="B3502" s="1" t="s">
        <v>52</v>
      </c>
      <c r="C3502" s="2" t="s">
        <v>4</v>
      </c>
      <c r="D3502" s="1" t="s">
        <v>6</v>
      </c>
      <c r="E3502" s="1" t="s">
        <v>45</v>
      </c>
      <c r="F3502" s="1">
        <v>7654.5</v>
      </c>
    </row>
    <row r="3503" spans="1:6" x14ac:dyDescent="0.3">
      <c r="A3503" s="3" t="s">
        <v>10</v>
      </c>
      <c r="B3503" s="3" t="s">
        <v>52</v>
      </c>
      <c r="C3503" s="4" t="s">
        <v>4</v>
      </c>
      <c r="D3503" s="3" t="s">
        <v>6</v>
      </c>
      <c r="E3503" s="3" t="s">
        <v>49</v>
      </c>
      <c r="F3503" s="3">
        <v>1</v>
      </c>
    </row>
    <row r="3504" spans="1:6" x14ac:dyDescent="0.3">
      <c r="A3504" s="1" t="s">
        <v>10</v>
      </c>
      <c r="B3504" s="1" t="s">
        <v>52</v>
      </c>
      <c r="C3504" s="2" t="s">
        <v>4</v>
      </c>
      <c r="D3504" s="1" t="s">
        <v>9</v>
      </c>
      <c r="E3504" s="1" t="s">
        <v>44</v>
      </c>
      <c r="F3504" s="1">
        <v>10206</v>
      </c>
    </row>
    <row r="3505" spans="1:6" x14ac:dyDescent="0.3">
      <c r="A3505" s="3" t="s">
        <v>10</v>
      </c>
      <c r="B3505" s="3" t="s">
        <v>52</v>
      </c>
      <c r="C3505" s="4" t="s">
        <v>4</v>
      </c>
      <c r="D3505" s="3" t="s">
        <v>9</v>
      </c>
      <c r="E3505" s="3" t="s">
        <v>45</v>
      </c>
      <c r="F3505" s="3">
        <v>10206</v>
      </c>
    </row>
    <row r="3506" spans="1:6" x14ac:dyDescent="0.3">
      <c r="A3506" s="1" t="s">
        <v>10</v>
      </c>
      <c r="B3506" s="1" t="s">
        <v>52</v>
      </c>
      <c r="C3506" s="2" t="s">
        <v>4</v>
      </c>
      <c r="D3506" s="1" t="s">
        <v>9</v>
      </c>
      <c r="E3506" s="1" t="s">
        <v>49</v>
      </c>
      <c r="F3506" s="1">
        <v>1</v>
      </c>
    </row>
    <row r="3507" spans="1:6" x14ac:dyDescent="0.3">
      <c r="A3507" s="3" t="s">
        <v>10</v>
      </c>
      <c r="B3507" s="3" t="s">
        <v>52</v>
      </c>
      <c r="C3507" s="4" t="s">
        <v>4</v>
      </c>
      <c r="D3507" s="3" t="s">
        <v>11</v>
      </c>
      <c r="E3507" s="3" t="s">
        <v>44</v>
      </c>
      <c r="F3507" s="3">
        <v>12757.5</v>
      </c>
    </row>
    <row r="3508" spans="1:6" x14ac:dyDescent="0.3">
      <c r="A3508" s="1" t="s">
        <v>10</v>
      </c>
      <c r="B3508" s="1" t="s">
        <v>52</v>
      </c>
      <c r="C3508" s="2" t="s">
        <v>4</v>
      </c>
      <c r="D3508" s="1" t="s">
        <v>11</v>
      </c>
      <c r="E3508" s="1" t="s">
        <v>45</v>
      </c>
      <c r="F3508" s="1">
        <v>12757.5</v>
      </c>
    </row>
    <row r="3509" spans="1:6" x14ac:dyDescent="0.3">
      <c r="A3509" s="3" t="s">
        <v>10</v>
      </c>
      <c r="B3509" s="3" t="s">
        <v>52</v>
      </c>
      <c r="C3509" s="4" t="s">
        <v>4</v>
      </c>
      <c r="D3509" s="3" t="s">
        <v>11</v>
      </c>
      <c r="E3509" s="3" t="s">
        <v>49</v>
      </c>
      <c r="F3509" s="3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5"/>
  <sheetViews>
    <sheetView zoomScaleNormal="100" workbookViewId="0">
      <selection sqref="A1:G1048576"/>
    </sheetView>
  </sheetViews>
  <sheetFormatPr defaultRowHeight="14.4" x14ac:dyDescent="0.3"/>
  <cols>
    <col min="1" max="1" width="12.88671875" style="6" bestFit="1" customWidth="1"/>
    <col min="2" max="2" width="12" style="10" bestFit="1" customWidth="1"/>
    <col min="3" max="3" width="15.44140625" style="10" bestFit="1" customWidth="1"/>
    <col min="4" max="4" width="14.88671875" style="10" bestFit="1" customWidth="1"/>
    <col min="5" max="5" width="23.6640625" style="10" bestFit="1" customWidth="1"/>
    <col min="6" max="6" width="10.33203125" style="10" bestFit="1" customWidth="1"/>
    <col min="7" max="7" width="12.44140625" style="12" bestFit="1" customWidth="1"/>
    <col min="8" max="8" width="9.109375" style="9"/>
    <col min="9" max="9" width="23.6640625" style="10" bestFit="1" customWidth="1"/>
    <col min="10" max="220" width="9.109375" style="9"/>
    <col min="221" max="221" width="11.5546875" style="9" customWidth="1"/>
    <col min="222" max="222" width="14" style="9" customWidth="1"/>
    <col min="223" max="223" width="15" style="9" customWidth="1"/>
    <col min="224" max="224" width="17.44140625" style="9" customWidth="1"/>
    <col min="225" max="225" width="32.33203125" style="9" customWidth="1"/>
    <col min="226" max="226" width="34" style="9" customWidth="1"/>
    <col min="227" max="227" width="15.5546875" style="9" customWidth="1"/>
    <col min="228" max="228" width="12.109375" style="9" customWidth="1"/>
    <col min="229" max="230" width="9.109375" style="9" customWidth="1"/>
    <col min="231" max="231" width="14" style="9" customWidth="1"/>
    <col min="232" max="232" width="15.5546875" style="9" customWidth="1"/>
    <col min="233" max="233" width="12.109375" style="9" customWidth="1"/>
    <col min="234" max="476" width="9.109375" style="9"/>
    <col min="477" max="477" width="11.5546875" style="9" customWidth="1"/>
    <col min="478" max="478" width="14" style="9" customWidth="1"/>
    <col min="479" max="479" width="15" style="9" customWidth="1"/>
    <col min="480" max="480" width="17.44140625" style="9" customWidth="1"/>
    <col min="481" max="481" width="32.33203125" style="9" customWidth="1"/>
    <col min="482" max="482" width="34" style="9" customWidth="1"/>
    <col min="483" max="483" width="15.5546875" style="9" customWidth="1"/>
    <col min="484" max="484" width="12.109375" style="9" customWidth="1"/>
    <col min="485" max="486" width="9.109375" style="9" customWidth="1"/>
    <col min="487" max="487" width="14" style="9" customWidth="1"/>
    <col min="488" max="488" width="15.5546875" style="9" customWidth="1"/>
    <col min="489" max="489" width="12.109375" style="9" customWidth="1"/>
    <col min="490" max="732" width="9.109375" style="9"/>
    <col min="733" max="733" width="11.5546875" style="9" customWidth="1"/>
    <col min="734" max="734" width="14" style="9" customWidth="1"/>
    <col min="735" max="735" width="15" style="9" customWidth="1"/>
    <col min="736" max="736" width="17.44140625" style="9" customWidth="1"/>
    <col min="737" max="737" width="32.33203125" style="9" customWidth="1"/>
    <col min="738" max="738" width="34" style="9" customWidth="1"/>
    <col min="739" max="739" width="15.5546875" style="9" customWidth="1"/>
    <col min="740" max="740" width="12.109375" style="9" customWidth="1"/>
    <col min="741" max="742" width="9.109375" style="9" customWidth="1"/>
    <col min="743" max="743" width="14" style="9" customWidth="1"/>
    <col min="744" max="744" width="15.5546875" style="9" customWidth="1"/>
    <col min="745" max="745" width="12.109375" style="9" customWidth="1"/>
    <col min="746" max="988" width="9.109375" style="9"/>
    <col min="989" max="989" width="11.5546875" style="9" customWidth="1"/>
    <col min="990" max="990" width="14" style="9" customWidth="1"/>
    <col min="991" max="991" width="15" style="9" customWidth="1"/>
    <col min="992" max="992" width="17.44140625" style="9" customWidth="1"/>
    <col min="993" max="993" width="32.33203125" style="9" customWidth="1"/>
    <col min="994" max="994" width="34" style="9" customWidth="1"/>
    <col min="995" max="995" width="15.5546875" style="9" customWidth="1"/>
    <col min="996" max="996" width="12.109375" style="9" customWidth="1"/>
    <col min="997" max="998" width="9.109375" style="9" customWidth="1"/>
    <col min="999" max="999" width="14" style="9" customWidth="1"/>
    <col min="1000" max="1000" width="15.5546875" style="9" customWidth="1"/>
    <col min="1001" max="1001" width="12.109375" style="9" customWidth="1"/>
    <col min="1002" max="1244" width="9.109375" style="9"/>
    <col min="1245" max="1245" width="11.5546875" style="9" customWidth="1"/>
    <col min="1246" max="1246" width="14" style="9" customWidth="1"/>
    <col min="1247" max="1247" width="15" style="9" customWidth="1"/>
    <col min="1248" max="1248" width="17.44140625" style="9" customWidth="1"/>
    <col min="1249" max="1249" width="32.33203125" style="9" customWidth="1"/>
    <col min="1250" max="1250" width="34" style="9" customWidth="1"/>
    <col min="1251" max="1251" width="15.5546875" style="9" customWidth="1"/>
    <col min="1252" max="1252" width="12.109375" style="9" customWidth="1"/>
    <col min="1253" max="1254" width="9.109375" style="9" customWidth="1"/>
    <col min="1255" max="1255" width="14" style="9" customWidth="1"/>
    <col min="1256" max="1256" width="15.5546875" style="9" customWidth="1"/>
    <col min="1257" max="1257" width="12.109375" style="9" customWidth="1"/>
    <col min="1258" max="1500" width="9.109375" style="9"/>
    <col min="1501" max="1501" width="11.5546875" style="9" customWidth="1"/>
    <col min="1502" max="1502" width="14" style="9" customWidth="1"/>
    <col min="1503" max="1503" width="15" style="9" customWidth="1"/>
    <col min="1504" max="1504" width="17.44140625" style="9" customWidth="1"/>
    <col min="1505" max="1505" width="32.33203125" style="9" customWidth="1"/>
    <col min="1506" max="1506" width="34" style="9" customWidth="1"/>
    <col min="1507" max="1507" width="15.5546875" style="9" customWidth="1"/>
    <col min="1508" max="1508" width="12.109375" style="9" customWidth="1"/>
    <col min="1509" max="1510" width="9.109375" style="9" customWidth="1"/>
    <col min="1511" max="1511" width="14" style="9" customWidth="1"/>
    <col min="1512" max="1512" width="15.5546875" style="9" customWidth="1"/>
    <col min="1513" max="1513" width="12.109375" style="9" customWidth="1"/>
    <col min="1514" max="1756" width="9.109375" style="9"/>
    <col min="1757" max="1757" width="11.5546875" style="9" customWidth="1"/>
    <col min="1758" max="1758" width="14" style="9" customWidth="1"/>
    <col min="1759" max="1759" width="15" style="9" customWidth="1"/>
    <col min="1760" max="1760" width="17.44140625" style="9" customWidth="1"/>
    <col min="1761" max="1761" width="32.33203125" style="9" customWidth="1"/>
    <col min="1762" max="1762" width="34" style="9" customWidth="1"/>
    <col min="1763" max="1763" width="15.5546875" style="9" customWidth="1"/>
    <col min="1764" max="1764" width="12.109375" style="9" customWidth="1"/>
    <col min="1765" max="1766" width="9.109375" style="9" customWidth="1"/>
    <col min="1767" max="1767" width="14" style="9" customWidth="1"/>
    <col min="1768" max="1768" width="15.5546875" style="9" customWidth="1"/>
    <col min="1769" max="1769" width="12.109375" style="9" customWidth="1"/>
    <col min="1770" max="2012" width="9.109375" style="9"/>
    <col min="2013" max="2013" width="11.5546875" style="9" customWidth="1"/>
    <col min="2014" max="2014" width="14" style="9" customWidth="1"/>
    <col min="2015" max="2015" width="15" style="9" customWidth="1"/>
    <col min="2016" max="2016" width="17.44140625" style="9" customWidth="1"/>
    <col min="2017" max="2017" width="32.33203125" style="9" customWidth="1"/>
    <col min="2018" max="2018" width="34" style="9" customWidth="1"/>
    <col min="2019" max="2019" width="15.5546875" style="9" customWidth="1"/>
    <col min="2020" max="2020" width="12.109375" style="9" customWidth="1"/>
    <col min="2021" max="2022" width="9.109375" style="9" customWidth="1"/>
    <col min="2023" max="2023" width="14" style="9" customWidth="1"/>
    <col min="2024" max="2024" width="15.5546875" style="9" customWidth="1"/>
    <col min="2025" max="2025" width="12.109375" style="9" customWidth="1"/>
    <col min="2026" max="2268" width="9.109375" style="9"/>
    <col min="2269" max="2269" width="11.5546875" style="9" customWidth="1"/>
    <col min="2270" max="2270" width="14" style="9" customWidth="1"/>
    <col min="2271" max="2271" width="15" style="9" customWidth="1"/>
    <col min="2272" max="2272" width="17.44140625" style="9" customWidth="1"/>
    <col min="2273" max="2273" width="32.33203125" style="9" customWidth="1"/>
    <col min="2274" max="2274" width="34" style="9" customWidth="1"/>
    <col min="2275" max="2275" width="15.5546875" style="9" customWidth="1"/>
    <col min="2276" max="2276" width="12.109375" style="9" customWidth="1"/>
    <col min="2277" max="2278" width="9.109375" style="9" customWidth="1"/>
    <col min="2279" max="2279" width="14" style="9" customWidth="1"/>
    <col min="2280" max="2280" width="15.5546875" style="9" customWidth="1"/>
    <col min="2281" max="2281" width="12.109375" style="9" customWidth="1"/>
    <col min="2282" max="2524" width="9.109375" style="9"/>
    <col min="2525" max="2525" width="11.5546875" style="9" customWidth="1"/>
    <col min="2526" max="2526" width="14" style="9" customWidth="1"/>
    <col min="2527" max="2527" width="15" style="9" customWidth="1"/>
    <col min="2528" max="2528" width="17.44140625" style="9" customWidth="1"/>
    <col min="2529" max="2529" width="32.33203125" style="9" customWidth="1"/>
    <col min="2530" max="2530" width="34" style="9" customWidth="1"/>
    <col min="2531" max="2531" width="15.5546875" style="9" customWidth="1"/>
    <col min="2532" max="2532" width="12.109375" style="9" customWidth="1"/>
    <col min="2533" max="2534" width="9.109375" style="9" customWidth="1"/>
    <col min="2535" max="2535" width="14" style="9" customWidth="1"/>
    <col min="2536" max="2536" width="15.5546875" style="9" customWidth="1"/>
    <col min="2537" max="2537" width="12.109375" style="9" customWidth="1"/>
    <col min="2538" max="2780" width="9.109375" style="9"/>
    <col min="2781" max="2781" width="11.5546875" style="9" customWidth="1"/>
    <col min="2782" max="2782" width="14" style="9" customWidth="1"/>
    <col min="2783" max="2783" width="15" style="9" customWidth="1"/>
    <col min="2784" max="2784" width="17.44140625" style="9" customWidth="1"/>
    <col min="2785" max="2785" width="32.33203125" style="9" customWidth="1"/>
    <col min="2786" max="2786" width="34" style="9" customWidth="1"/>
    <col min="2787" max="2787" width="15.5546875" style="9" customWidth="1"/>
    <col min="2788" max="2788" width="12.109375" style="9" customWidth="1"/>
    <col min="2789" max="2790" width="9.109375" style="9" customWidth="1"/>
    <col min="2791" max="2791" width="14" style="9" customWidth="1"/>
    <col min="2792" max="2792" width="15.5546875" style="9" customWidth="1"/>
    <col min="2793" max="2793" width="12.109375" style="9" customWidth="1"/>
    <col min="2794" max="3036" width="9.109375" style="9"/>
    <col min="3037" max="3037" width="11.5546875" style="9" customWidth="1"/>
    <col min="3038" max="3038" width="14" style="9" customWidth="1"/>
    <col min="3039" max="3039" width="15" style="9" customWidth="1"/>
    <col min="3040" max="3040" width="17.44140625" style="9" customWidth="1"/>
    <col min="3041" max="3041" width="32.33203125" style="9" customWidth="1"/>
    <col min="3042" max="3042" width="34" style="9" customWidth="1"/>
    <col min="3043" max="3043" width="15.5546875" style="9" customWidth="1"/>
    <col min="3044" max="3044" width="12.109375" style="9" customWidth="1"/>
    <col min="3045" max="3046" width="9.109375" style="9" customWidth="1"/>
    <col min="3047" max="3047" width="14" style="9" customWidth="1"/>
    <col min="3048" max="3048" width="15.5546875" style="9" customWidth="1"/>
    <col min="3049" max="3049" width="12.109375" style="9" customWidth="1"/>
    <col min="3050" max="3292" width="9.109375" style="9"/>
    <col min="3293" max="3293" width="11.5546875" style="9" customWidth="1"/>
    <col min="3294" max="3294" width="14" style="9" customWidth="1"/>
    <col min="3295" max="3295" width="15" style="9" customWidth="1"/>
    <col min="3296" max="3296" width="17.44140625" style="9" customWidth="1"/>
    <col min="3297" max="3297" width="32.33203125" style="9" customWidth="1"/>
    <col min="3298" max="3298" width="34" style="9" customWidth="1"/>
    <col min="3299" max="3299" width="15.5546875" style="9" customWidth="1"/>
    <col min="3300" max="3300" width="12.109375" style="9" customWidth="1"/>
    <col min="3301" max="3302" width="9.109375" style="9" customWidth="1"/>
    <col min="3303" max="3303" width="14" style="9" customWidth="1"/>
    <col min="3304" max="3304" width="15.5546875" style="9" customWidth="1"/>
    <col min="3305" max="3305" width="12.109375" style="9" customWidth="1"/>
    <col min="3306" max="3548" width="9.109375" style="9"/>
    <col min="3549" max="3549" width="11.5546875" style="9" customWidth="1"/>
    <col min="3550" max="3550" width="14" style="9" customWidth="1"/>
    <col min="3551" max="3551" width="15" style="9" customWidth="1"/>
    <col min="3552" max="3552" width="17.44140625" style="9" customWidth="1"/>
    <col min="3553" max="3553" width="32.33203125" style="9" customWidth="1"/>
    <col min="3554" max="3554" width="34" style="9" customWidth="1"/>
    <col min="3555" max="3555" width="15.5546875" style="9" customWidth="1"/>
    <col min="3556" max="3556" width="12.109375" style="9" customWidth="1"/>
    <col min="3557" max="3558" width="9.109375" style="9" customWidth="1"/>
    <col min="3559" max="3559" width="14" style="9" customWidth="1"/>
    <col min="3560" max="3560" width="15.5546875" style="9" customWidth="1"/>
    <col min="3561" max="3561" width="12.109375" style="9" customWidth="1"/>
    <col min="3562" max="3804" width="9.109375" style="9"/>
    <col min="3805" max="3805" width="11.5546875" style="9" customWidth="1"/>
    <col min="3806" max="3806" width="14" style="9" customWidth="1"/>
    <col min="3807" max="3807" width="15" style="9" customWidth="1"/>
    <col min="3808" max="3808" width="17.44140625" style="9" customWidth="1"/>
    <col min="3809" max="3809" width="32.33203125" style="9" customWidth="1"/>
    <col min="3810" max="3810" width="34" style="9" customWidth="1"/>
    <col min="3811" max="3811" width="15.5546875" style="9" customWidth="1"/>
    <col min="3812" max="3812" width="12.109375" style="9" customWidth="1"/>
    <col min="3813" max="3814" width="9.109375" style="9" customWidth="1"/>
    <col min="3815" max="3815" width="14" style="9" customWidth="1"/>
    <col min="3816" max="3816" width="15.5546875" style="9" customWidth="1"/>
    <col min="3817" max="3817" width="12.109375" style="9" customWidth="1"/>
    <col min="3818" max="4060" width="9.109375" style="9"/>
    <col min="4061" max="4061" width="11.5546875" style="9" customWidth="1"/>
    <col min="4062" max="4062" width="14" style="9" customWidth="1"/>
    <col min="4063" max="4063" width="15" style="9" customWidth="1"/>
    <col min="4064" max="4064" width="17.44140625" style="9" customWidth="1"/>
    <col min="4065" max="4065" width="32.33203125" style="9" customWidth="1"/>
    <col min="4066" max="4066" width="34" style="9" customWidth="1"/>
    <col min="4067" max="4067" width="15.5546875" style="9" customWidth="1"/>
    <col min="4068" max="4068" width="12.109375" style="9" customWidth="1"/>
    <col min="4069" max="4070" width="9.109375" style="9" customWidth="1"/>
    <col min="4071" max="4071" width="14" style="9" customWidth="1"/>
    <col min="4072" max="4072" width="15.5546875" style="9" customWidth="1"/>
    <col min="4073" max="4073" width="12.109375" style="9" customWidth="1"/>
    <col min="4074" max="4316" width="9.109375" style="9"/>
    <col min="4317" max="4317" width="11.5546875" style="9" customWidth="1"/>
    <col min="4318" max="4318" width="14" style="9" customWidth="1"/>
    <col min="4319" max="4319" width="15" style="9" customWidth="1"/>
    <col min="4320" max="4320" width="17.44140625" style="9" customWidth="1"/>
    <col min="4321" max="4321" width="32.33203125" style="9" customWidth="1"/>
    <col min="4322" max="4322" width="34" style="9" customWidth="1"/>
    <col min="4323" max="4323" width="15.5546875" style="9" customWidth="1"/>
    <col min="4324" max="4324" width="12.109375" style="9" customWidth="1"/>
    <col min="4325" max="4326" width="9.109375" style="9" customWidth="1"/>
    <col min="4327" max="4327" width="14" style="9" customWidth="1"/>
    <col min="4328" max="4328" width="15.5546875" style="9" customWidth="1"/>
    <col min="4329" max="4329" width="12.109375" style="9" customWidth="1"/>
    <col min="4330" max="4572" width="9.109375" style="9"/>
    <col min="4573" max="4573" width="11.5546875" style="9" customWidth="1"/>
    <col min="4574" max="4574" width="14" style="9" customWidth="1"/>
    <col min="4575" max="4575" width="15" style="9" customWidth="1"/>
    <col min="4576" max="4576" width="17.44140625" style="9" customWidth="1"/>
    <col min="4577" max="4577" width="32.33203125" style="9" customWidth="1"/>
    <col min="4578" max="4578" width="34" style="9" customWidth="1"/>
    <col min="4579" max="4579" width="15.5546875" style="9" customWidth="1"/>
    <col min="4580" max="4580" width="12.109375" style="9" customWidth="1"/>
    <col min="4581" max="4582" width="9.109375" style="9" customWidth="1"/>
    <col min="4583" max="4583" width="14" style="9" customWidth="1"/>
    <col min="4584" max="4584" width="15.5546875" style="9" customWidth="1"/>
    <col min="4585" max="4585" width="12.109375" style="9" customWidth="1"/>
    <col min="4586" max="4828" width="9.109375" style="9"/>
    <col min="4829" max="4829" width="11.5546875" style="9" customWidth="1"/>
    <col min="4830" max="4830" width="14" style="9" customWidth="1"/>
    <col min="4831" max="4831" width="15" style="9" customWidth="1"/>
    <col min="4832" max="4832" width="17.44140625" style="9" customWidth="1"/>
    <col min="4833" max="4833" width="32.33203125" style="9" customWidth="1"/>
    <col min="4834" max="4834" width="34" style="9" customWidth="1"/>
    <col min="4835" max="4835" width="15.5546875" style="9" customWidth="1"/>
    <col min="4836" max="4836" width="12.109375" style="9" customWidth="1"/>
    <col min="4837" max="4838" width="9.109375" style="9" customWidth="1"/>
    <col min="4839" max="4839" width="14" style="9" customWidth="1"/>
    <col min="4840" max="4840" width="15.5546875" style="9" customWidth="1"/>
    <col min="4841" max="4841" width="12.109375" style="9" customWidth="1"/>
    <col min="4842" max="5084" width="9.109375" style="9"/>
    <col min="5085" max="5085" width="11.5546875" style="9" customWidth="1"/>
    <col min="5086" max="5086" width="14" style="9" customWidth="1"/>
    <col min="5087" max="5087" width="15" style="9" customWidth="1"/>
    <col min="5088" max="5088" width="17.44140625" style="9" customWidth="1"/>
    <col min="5089" max="5089" width="32.33203125" style="9" customWidth="1"/>
    <col min="5090" max="5090" width="34" style="9" customWidth="1"/>
    <col min="5091" max="5091" width="15.5546875" style="9" customWidth="1"/>
    <col min="5092" max="5092" width="12.109375" style="9" customWidth="1"/>
    <col min="5093" max="5094" width="9.109375" style="9" customWidth="1"/>
    <col min="5095" max="5095" width="14" style="9" customWidth="1"/>
    <col min="5096" max="5096" width="15.5546875" style="9" customWidth="1"/>
    <col min="5097" max="5097" width="12.109375" style="9" customWidth="1"/>
    <col min="5098" max="5340" width="9.109375" style="9"/>
    <col min="5341" max="5341" width="11.5546875" style="9" customWidth="1"/>
    <col min="5342" max="5342" width="14" style="9" customWidth="1"/>
    <col min="5343" max="5343" width="15" style="9" customWidth="1"/>
    <col min="5344" max="5344" width="17.44140625" style="9" customWidth="1"/>
    <col min="5345" max="5345" width="32.33203125" style="9" customWidth="1"/>
    <col min="5346" max="5346" width="34" style="9" customWidth="1"/>
    <col min="5347" max="5347" width="15.5546875" style="9" customWidth="1"/>
    <col min="5348" max="5348" width="12.109375" style="9" customWidth="1"/>
    <col min="5349" max="5350" width="9.109375" style="9" customWidth="1"/>
    <col min="5351" max="5351" width="14" style="9" customWidth="1"/>
    <col min="5352" max="5352" width="15.5546875" style="9" customWidth="1"/>
    <col min="5353" max="5353" width="12.109375" style="9" customWidth="1"/>
    <col min="5354" max="5596" width="9.109375" style="9"/>
    <col min="5597" max="5597" width="11.5546875" style="9" customWidth="1"/>
    <col min="5598" max="5598" width="14" style="9" customWidth="1"/>
    <col min="5599" max="5599" width="15" style="9" customWidth="1"/>
    <col min="5600" max="5600" width="17.44140625" style="9" customWidth="1"/>
    <col min="5601" max="5601" width="32.33203125" style="9" customWidth="1"/>
    <col min="5602" max="5602" width="34" style="9" customWidth="1"/>
    <col min="5603" max="5603" width="15.5546875" style="9" customWidth="1"/>
    <col min="5604" max="5604" width="12.109375" style="9" customWidth="1"/>
    <col min="5605" max="5606" width="9.109375" style="9" customWidth="1"/>
    <col min="5607" max="5607" width="14" style="9" customWidth="1"/>
    <col min="5608" max="5608" width="15.5546875" style="9" customWidth="1"/>
    <col min="5609" max="5609" width="12.109375" style="9" customWidth="1"/>
    <col min="5610" max="5852" width="9.109375" style="9"/>
    <col min="5853" max="5853" width="11.5546875" style="9" customWidth="1"/>
    <col min="5854" max="5854" width="14" style="9" customWidth="1"/>
    <col min="5855" max="5855" width="15" style="9" customWidth="1"/>
    <col min="5856" max="5856" width="17.44140625" style="9" customWidth="1"/>
    <col min="5857" max="5857" width="32.33203125" style="9" customWidth="1"/>
    <col min="5858" max="5858" width="34" style="9" customWidth="1"/>
    <col min="5859" max="5859" width="15.5546875" style="9" customWidth="1"/>
    <col min="5860" max="5860" width="12.109375" style="9" customWidth="1"/>
    <col min="5861" max="5862" width="9.109375" style="9" customWidth="1"/>
    <col min="5863" max="5863" width="14" style="9" customWidth="1"/>
    <col min="5864" max="5864" width="15.5546875" style="9" customWidth="1"/>
    <col min="5865" max="5865" width="12.109375" style="9" customWidth="1"/>
    <col min="5866" max="6108" width="9.109375" style="9"/>
    <col min="6109" max="6109" width="11.5546875" style="9" customWidth="1"/>
    <col min="6110" max="6110" width="14" style="9" customWidth="1"/>
    <col min="6111" max="6111" width="15" style="9" customWidth="1"/>
    <col min="6112" max="6112" width="17.44140625" style="9" customWidth="1"/>
    <col min="6113" max="6113" width="32.33203125" style="9" customWidth="1"/>
    <col min="6114" max="6114" width="34" style="9" customWidth="1"/>
    <col min="6115" max="6115" width="15.5546875" style="9" customWidth="1"/>
    <col min="6116" max="6116" width="12.109375" style="9" customWidth="1"/>
    <col min="6117" max="6118" width="9.109375" style="9" customWidth="1"/>
    <col min="6119" max="6119" width="14" style="9" customWidth="1"/>
    <col min="6120" max="6120" width="15.5546875" style="9" customWidth="1"/>
    <col min="6121" max="6121" width="12.109375" style="9" customWidth="1"/>
    <col min="6122" max="6364" width="9.109375" style="9"/>
    <col min="6365" max="6365" width="11.5546875" style="9" customWidth="1"/>
    <col min="6366" max="6366" width="14" style="9" customWidth="1"/>
    <col min="6367" max="6367" width="15" style="9" customWidth="1"/>
    <col min="6368" max="6368" width="17.44140625" style="9" customWidth="1"/>
    <col min="6369" max="6369" width="32.33203125" style="9" customWidth="1"/>
    <col min="6370" max="6370" width="34" style="9" customWidth="1"/>
    <col min="6371" max="6371" width="15.5546875" style="9" customWidth="1"/>
    <col min="6372" max="6372" width="12.109375" style="9" customWidth="1"/>
    <col min="6373" max="6374" width="9.109375" style="9" customWidth="1"/>
    <col min="6375" max="6375" width="14" style="9" customWidth="1"/>
    <col min="6376" max="6376" width="15.5546875" style="9" customWidth="1"/>
    <col min="6377" max="6377" width="12.109375" style="9" customWidth="1"/>
    <col min="6378" max="6620" width="9.109375" style="9"/>
    <col min="6621" max="6621" width="11.5546875" style="9" customWidth="1"/>
    <col min="6622" max="6622" width="14" style="9" customWidth="1"/>
    <col min="6623" max="6623" width="15" style="9" customWidth="1"/>
    <col min="6624" max="6624" width="17.44140625" style="9" customWidth="1"/>
    <col min="6625" max="6625" width="32.33203125" style="9" customWidth="1"/>
    <col min="6626" max="6626" width="34" style="9" customWidth="1"/>
    <col min="6627" max="6627" width="15.5546875" style="9" customWidth="1"/>
    <col min="6628" max="6628" width="12.109375" style="9" customWidth="1"/>
    <col min="6629" max="6630" width="9.109375" style="9" customWidth="1"/>
    <col min="6631" max="6631" width="14" style="9" customWidth="1"/>
    <col min="6632" max="6632" width="15.5546875" style="9" customWidth="1"/>
    <col min="6633" max="6633" width="12.109375" style="9" customWidth="1"/>
    <col min="6634" max="6876" width="9.109375" style="9"/>
    <col min="6877" max="6877" width="11.5546875" style="9" customWidth="1"/>
    <col min="6878" max="6878" width="14" style="9" customWidth="1"/>
    <col min="6879" max="6879" width="15" style="9" customWidth="1"/>
    <col min="6880" max="6880" width="17.44140625" style="9" customWidth="1"/>
    <col min="6881" max="6881" width="32.33203125" style="9" customWidth="1"/>
    <col min="6882" max="6882" width="34" style="9" customWidth="1"/>
    <col min="6883" max="6883" width="15.5546875" style="9" customWidth="1"/>
    <col min="6884" max="6884" width="12.109375" style="9" customWidth="1"/>
    <col min="6885" max="6886" width="9.109375" style="9" customWidth="1"/>
    <col min="6887" max="6887" width="14" style="9" customWidth="1"/>
    <col min="6888" max="6888" width="15.5546875" style="9" customWidth="1"/>
    <col min="6889" max="6889" width="12.109375" style="9" customWidth="1"/>
    <col min="6890" max="7132" width="9.109375" style="9"/>
    <col min="7133" max="7133" width="11.5546875" style="9" customWidth="1"/>
    <col min="7134" max="7134" width="14" style="9" customWidth="1"/>
    <col min="7135" max="7135" width="15" style="9" customWidth="1"/>
    <col min="7136" max="7136" width="17.44140625" style="9" customWidth="1"/>
    <col min="7137" max="7137" width="32.33203125" style="9" customWidth="1"/>
    <col min="7138" max="7138" width="34" style="9" customWidth="1"/>
    <col min="7139" max="7139" width="15.5546875" style="9" customWidth="1"/>
    <col min="7140" max="7140" width="12.109375" style="9" customWidth="1"/>
    <col min="7141" max="7142" width="9.109375" style="9" customWidth="1"/>
    <col min="7143" max="7143" width="14" style="9" customWidth="1"/>
    <col min="7144" max="7144" width="15.5546875" style="9" customWidth="1"/>
    <col min="7145" max="7145" width="12.109375" style="9" customWidth="1"/>
    <col min="7146" max="7388" width="9.109375" style="9"/>
    <col min="7389" max="7389" width="11.5546875" style="9" customWidth="1"/>
    <col min="7390" max="7390" width="14" style="9" customWidth="1"/>
    <col min="7391" max="7391" width="15" style="9" customWidth="1"/>
    <col min="7392" max="7392" width="17.44140625" style="9" customWidth="1"/>
    <col min="7393" max="7393" width="32.33203125" style="9" customWidth="1"/>
    <col min="7394" max="7394" width="34" style="9" customWidth="1"/>
    <col min="7395" max="7395" width="15.5546875" style="9" customWidth="1"/>
    <col min="7396" max="7396" width="12.109375" style="9" customWidth="1"/>
    <col min="7397" max="7398" width="9.109375" style="9" customWidth="1"/>
    <col min="7399" max="7399" width="14" style="9" customWidth="1"/>
    <col min="7400" max="7400" width="15.5546875" style="9" customWidth="1"/>
    <col min="7401" max="7401" width="12.109375" style="9" customWidth="1"/>
    <col min="7402" max="7644" width="9.109375" style="9"/>
    <col min="7645" max="7645" width="11.5546875" style="9" customWidth="1"/>
    <col min="7646" max="7646" width="14" style="9" customWidth="1"/>
    <col min="7647" max="7647" width="15" style="9" customWidth="1"/>
    <col min="7648" max="7648" width="17.44140625" style="9" customWidth="1"/>
    <col min="7649" max="7649" width="32.33203125" style="9" customWidth="1"/>
    <col min="7650" max="7650" width="34" style="9" customWidth="1"/>
    <col min="7651" max="7651" width="15.5546875" style="9" customWidth="1"/>
    <col min="7652" max="7652" width="12.109375" style="9" customWidth="1"/>
    <col min="7653" max="7654" width="9.109375" style="9" customWidth="1"/>
    <col min="7655" max="7655" width="14" style="9" customWidth="1"/>
    <col min="7656" max="7656" width="15.5546875" style="9" customWidth="1"/>
    <col min="7657" max="7657" width="12.109375" style="9" customWidth="1"/>
    <col min="7658" max="7900" width="9.109375" style="9"/>
    <col min="7901" max="7901" width="11.5546875" style="9" customWidth="1"/>
    <col min="7902" max="7902" width="14" style="9" customWidth="1"/>
    <col min="7903" max="7903" width="15" style="9" customWidth="1"/>
    <col min="7904" max="7904" width="17.44140625" style="9" customWidth="1"/>
    <col min="7905" max="7905" width="32.33203125" style="9" customWidth="1"/>
    <col min="7906" max="7906" width="34" style="9" customWidth="1"/>
    <col min="7907" max="7907" width="15.5546875" style="9" customWidth="1"/>
    <col min="7908" max="7908" width="12.109375" style="9" customWidth="1"/>
    <col min="7909" max="7910" width="9.109375" style="9" customWidth="1"/>
    <col min="7911" max="7911" width="14" style="9" customWidth="1"/>
    <col min="7912" max="7912" width="15.5546875" style="9" customWidth="1"/>
    <col min="7913" max="7913" width="12.109375" style="9" customWidth="1"/>
    <col min="7914" max="8156" width="9.109375" style="9"/>
    <col min="8157" max="8157" width="11.5546875" style="9" customWidth="1"/>
    <col min="8158" max="8158" width="14" style="9" customWidth="1"/>
    <col min="8159" max="8159" width="15" style="9" customWidth="1"/>
    <col min="8160" max="8160" width="17.44140625" style="9" customWidth="1"/>
    <col min="8161" max="8161" width="32.33203125" style="9" customWidth="1"/>
    <col min="8162" max="8162" width="34" style="9" customWidth="1"/>
    <col min="8163" max="8163" width="15.5546875" style="9" customWidth="1"/>
    <col min="8164" max="8164" width="12.109375" style="9" customWidth="1"/>
    <col min="8165" max="8166" width="9.109375" style="9" customWidth="1"/>
    <col min="8167" max="8167" width="14" style="9" customWidth="1"/>
    <col min="8168" max="8168" width="15.5546875" style="9" customWidth="1"/>
    <col min="8169" max="8169" width="12.109375" style="9" customWidth="1"/>
    <col min="8170" max="8412" width="9.109375" style="9"/>
    <col min="8413" max="8413" width="11.5546875" style="9" customWidth="1"/>
    <col min="8414" max="8414" width="14" style="9" customWidth="1"/>
    <col min="8415" max="8415" width="15" style="9" customWidth="1"/>
    <col min="8416" max="8416" width="17.44140625" style="9" customWidth="1"/>
    <col min="8417" max="8417" width="32.33203125" style="9" customWidth="1"/>
    <col min="8418" max="8418" width="34" style="9" customWidth="1"/>
    <col min="8419" max="8419" width="15.5546875" style="9" customWidth="1"/>
    <col min="8420" max="8420" width="12.109375" style="9" customWidth="1"/>
    <col min="8421" max="8422" width="9.109375" style="9" customWidth="1"/>
    <col min="8423" max="8423" width="14" style="9" customWidth="1"/>
    <col min="8424" max="8424" width="15.5546875" style="9" customWidth="1"/>
    <col min="8425" max="8425" width="12.109375" style="9" customWidth="1"/>
    <col min="8426" max="8668" width="9.109375" style="9"/>
    <col min="8669" max="8669" width="11.5546875" style="9" customWidth="1"/>
    <col min="8670" max="8670" width="14" style="9" customWidth="1"/>
    <col min="8671" max="8671" width="15" style="9" customWidth="1"/>
    <col min="8672" max="8672" width="17.44140625" style="9" customWidth="1"/>
    <col min="8673" max="8673" width="32.33203125" style="9" customWidth="1"/>
    <col min="8674" max="8674" width="34" style="9" customWidth="1"/>
    <col min="8675" max="8675" width="15.5546875" style="9" customWidth="1"/>
    <col min="8676" max="8676" width="12.109375" style="9" customWidth="1"/>
    <col min="8677" max="8678" width="9.109375" style="9" customWidth="1"/>
    <col min="8679" max="8679" width="14" style="9" customWidth="1"/>
    <col min="8680" max="8680" width="15.5546875" style="9" customWidth="1"/>
    <col min="8681" max="8681" width="12.109375" style="9" customWidth="1"/>
    <col min="8682" max="8924" width="9.109375" style="9"/>
    <col min="8925" max="8925" width="11.5546875" style="9" customWidth="1"/>
    <col min="8926" max="8926" width="14" style="9" customWidth="1"/>
    <col min="8927" max="8927" width="15" style="9" customWidth="1"/>
    <col min="8928" max="8928" width="17.44140625" style="9" customWidth="1"/>
    <col min="8929" max="8929" width="32.33203125" style="9" customWidth="1"/>
    <col min="8930" max="8930" width="34" style="9" customWidth="1"/>
    <col min="8931" max="8931" width="15.5546875" style="9" customWidth="1"/>
    <col min="8932" max="8932" width="12.109375" style="9" customWidth="1"/>
    <col min="8933" max="8934" width="9.109375" style="9" customWidth="1"/>
    <col min="8935" max="8935" width="14" style="9" customWidth="1"/>
    <col min="8936" max="8936" width="15.5546875" style="9" customWidth="1"/>
    <col min="8937" max="8937" width="12.109375" style="9" customWidth="1"/>
    <col min="8938" max="9180" width="9.109375" style="9"/>
    <col min="9181" max="9181" width="11.5546875" style="9" customWidth="1"/>
    <col min="9182" max="9182" width="14" style="9" customWidth="1"/>
    <col min="9183" max="9183" width="15" style="9" customWidth="1"/>
    <col min="9184" max="9184" width="17.44140625" style="9" customWidth="1"/>
    <col min="9185" max="9185" width="32.33203125" style="9" customWidth="1"/>
    <col min="9186" max="9186" width="34" style="9" customWidth="1"/>
    <col min="9187" max="9187" width="15.5546875" style="9" customWidth="1"/>
    <col min="9188" max="9188" width="12.109375" style="9" customWidth="1"/>
    <col min="9189" max="9190" width="9.109375" style="9" customWidth="1"/>
    <col min="9191" max="9191" width="14" style="9" customWidth="1"/>
    <col min="9192" max="9192" width="15.5546875" style="9" customWidth="1"/>
    <col min="9193" max="9193" width="12.109375" style="9" customWidth="1"/>
    <col min="9194" max="9436" width="9.109375" style="9"/>
    <col min="9437" max="9437" width="11.5546875" style="9" customWidth="1"/>
    <col min="9438" max="9438" width="14" style="9" customWidth="1"/>
    <col min="9439" max="9439" width="15" style="9" customWidth="1"/>
    <col min="9440" max="9440" width="17.44140625" style="9" customWidth="1"/>
    <col min="9441" max="9441" width="32.33203125" style="9" customWidth="1"/>
    <col min="9442" max="9442" width="34" style="9" customWidth="1"/>
    <col min="9443" max="9443" width="15.5546875" style="9" customWidth="1"/>
    <col min="9444" max="9444" width="12.109375" style="9" customWidth="1"/>
    <col min="9445" max="9446" width="9.109375" style="9" customWidth="1"/>
    <col min="9447" max="9447" width="14" style="9" customWidth="1"/>
    <col min="9448" max="9448" width="15.5546875" style="9" customWidth="1"/>
    <col min="9449" max="9449" width="12.109375" style="9" customWidth="1"/>
    <col min="9450" max="9692" width="9.109375" style="9"/>
    <col min="9693" max="9693" width="11.5546875" style="9" customWidth="1"/>
    <col min="9694" max="9694" width="14" style="9" customWidth="1"/>
    <col min="9695" max="9695" width="15" style="9" customWidth="1"/>
    <col min="9696" max="9696" width="17.44140625" style="9" customWidth="1"/>
    <col min="9697" max="9697" width="32.33203125" style="9" customWidth="1"/>
    <col min="9698" max="9698" width="34" style="9" customWidth="1"/>
    <col min="9699" max="9699" width="15.5546875" style="9" customWidth="1"/>
    <col min="9700" max="9700" width="12.109375" style="9" customWidth="1"/>
    <col min="9701" max="9702" width="9.109375" style="9" customWidth="1"/>
    <col min="9703" max="9703" width="14" style="9" customWidth="1"/>
    <col min="9704" max="9704" width="15.5546875" style="9" customWidth="1"/>
    <col min="9705" max="9705" width="12.109375" style="9" customWidth="1"/>
    <col min="9706" max="9948" width="9.109375" style="9"/>
    <col min="9949" max="9949" width="11.5546875" style="9" customWidth="1"/>
    <col min="9950" max="9950" width="14" style="9" customWidth="1"/>
    <col min="9951" max="9951" width="15" style="9" customWidth="1"/>
    <col min="9952" max="9952" width="17.44140625" style="9" customWidth="1"/>
    <col min="9953" max="9953" width="32.33203125" style="9" customWidth="1"/>
    <col min="9954" max="9954" width="34" style="9" customWidth="1"/>
    <col min="9955" max="9955" width="15.5546875" style="9" customWidth="1"/>
    <col min="9956" max="9956" width="12.109375" style="9" customWidth="1"/>
    <col min="9957" max="9958" width="9.109375" style="9" customWidth="1"/>
    <col min="9959" max="9959" width="14" style="9" customWidth="1"/>
    <col min="9960" max="9960" width="15.5546875" style="9" customWidth="1"/>
    <col min="9961" max="9961" width="12.109375" style="9" customWidth="1"/>
    <col min="9962" max="10204" width="9.109375" style="9"/>
    <col min="10205" max="10205" width="11.5546875" style="9" customWidth="1"/>
    <col min="10206" max="10206" width="14" style="9" customWidth="1"/>
    <col min="10207" max="10207" width="15" style="9" customWidth="1"/>
    <col min="10208" max="10208" width="17.44140625" style="9" customWidth="1"/>
    <col min="10209" max="10209" width="32.33203125" style="9" customWidth="1"/>
    <col min="10210" max="10210" width="34" style="9" customWidth="1"/>
    <col min="10211" max="10211" width="15.5546875" style="9" customWidth="1"/>
    <col min="10212" max="10212" width="12.109375" style="9" customWidth="1"/>
    <col min="10213" max="10214" width="9.109375" style="9" customWidth="1"/>
    <col min="10215" max="10215" width="14" style="9" customWidth="1"/>
    <col min="10216" max="10216" width="15.5546875" style="9" customWidth="1"/>
    <col min="10217" max="10217" width="12.109375" style="9" customWidth="1"/>
    <col min="10218" max="10460" width="9.109375" style="9"/>
    <col min="10461" max="10461" width="11.5546875" style="9" customWidth="1"/>
    <col min="10462" max="10462" width="14" style="9" customWidth="1"/>
    <col min="10463" max="10463" width="15" style="9" customWidth="1"/>
    <col min="10464" max="10464" width="17.44140625" style="9" customWidth="1"/>
    <col min="10465" max="10465" width="32.33203125" style="9" customWidth="1"/>
    <col min="10466" max="10466" width="34" style="9" customWidth="1"/>
    <col min="10467" max="10467" width="15.5546875" style="9" customWidth="1"/>
    <col min="10468" max="10468" width="12.109375" style="9" customWidth="1"/>
    <col min="10469" max="10470" width="9.109375" style="9" customWidth="1"/>
    <col min="10471" max="10471" width="14" style="9" customWidth="1"/>
    <col min="10472" max="10472" width="15.5546875" style="9" customWidth="1"/>
    <col min="10473" max="10473" width="12.109375" style="9" customWidth="1"/>
    <col min="10474" max="10716" width="9.109375" style="9"/>
    <col min="10717" max="10717" width="11.5546875" style="9" customWidth="1"/>
    <col min="10718" max="10718" width="14" style="9" customWidth="1"/>
    <col min="10719" max="10719" width="15" style="9" customWidth="1"/>
    <col min="10720" max="10720" width="17.44140625" style="9" customWidth="1"/>
    <col min="10721" max="10721" width="32.33203125" style="9" customWidth="1"/>
    <col min="10722" max="10722" width="34" style="9" customWidth="1"/>
    <col min="10723" max="10723" width="15.5546875" style="9" customWidth="1"/>
    <col min="10724" max="10724" width="12.109375" style="9" customWidth="1"/>
    <col min="10725" max="10726" width="9.109375" style="9" customWidth="1"/>
    <col min="10727" max="10727" width="14" style="9" customWidth="1"/>
    <col min="10728" max="10728" width="15.5546875" style="9" customWidth="1"/>
    <col min="10729" max="10729" width="12.109375" style="9" customWidth="1"/>
    <col min="10730" max="10972" width="9.109375" style="9"/>
    <col min="10973" max="10973" width="11.5546875" style="9" customWidth="1"/>
    <col min="10974" max="10974" width="14" style="9" customWidth="1"/>
    <col min="10975" max="10975" width="15" style="9" customWidth="1"/>
    <col min="10976" max="10976" width="17.44140625" style="9" customWidth="1"/>
    <col min="10977" max="10977" width="32.33203125" style="9" customWidth="1"/>
    <col min="10978" max="10978" width="34" style="9" customWidth="1"/>
    <col min="10979" max="10979" width="15.5546875" style="9" customWidth="1"/>
    <col min="10980" max="10980" width="12.109375" style="9" customWidth="1"/>
    <col min="10981" max="10982" width="9.109375" style="9" customWidth="1"/>
    <col min="10983" max="10983" width="14" style="9" customWidth="1"/>
    <col min="10984" max="10984" width="15.5546875" style="9" customWidth="1"/>
    <col min="10985" max="10985" width="12.109375" style="9" customWidth="1"/>
    <col min="10986" max="11228" width="9.109375" style="9"/>
    <col min="11229" max="11229" width="11.5546875" style="9" customWidth="1"/>
    <col min="11230" max="11230" width="14" style="9" customWidth="1"/>
    <col min="11231" max="11231" width="15" style="9" customWidth="1"/>
    <col min="11232" max="11232" width="17.44140625" style="9" customWidth="1"/>
    <col min="11233" max="11233" width="32.33203125" style="9" customWidth="1"/>
    <col min="11234" max="11234" width="34" style="9" customWidth="1"/>
    <col min="11235" max="11235" width="15.5546875" style="9" customWidth="1"/>
    <col min="11236" max="11236" width="12.109375" style="9" customWidth="1"/>
    <col min="11237" max="11238" width="9.109375" style="9" customWidth="1"/>
    <col min="11239" max="11239" width="14" style="9" customWidth="1"/>
    <col min="11240" max="11240" width="15.5546875" style="9" customWidth="1"/>
    <col min="11241" max="11241" width="12.109375" style="9" customWidth="1"/>
    <col min="11242" max="11484" width="9.109375" style="9"/>
    <col min="11485" max="11485" width="11.5546875" style="9" customWidth="1"/>
    <col min="11486" max="11486" width="14" style="9" customWidth="1"/>
    <col min="11487" max="11487" width="15" style="9" customWidth="1"/>
    <col min="11488" max="11488" width="17.44140625" style="9" customWidth="1"/>
    <col min="11489" max="11489" width="32.33203125" style="9" customWidth="1"/>
    <col min="11490" max="11490" width="34" style="9" customWidth="1"/>
    <col min="11491" max="11491" width="15.5546875" style="9" customWidth="1"/>
    <col min="11492" max="11492" width="12.109375" style="9" customWidth="1"/>
    <col min="11493" max="11494" width="9.109375" style="9" customWidth="1"/>
    <col min="11495" max="11495" width="14" style="9" customWidth="1"/>
    <col min="11496" max="11496" width="15.5546875" style="9" customWidth="1"/>
    <col min="11497" max="11497" width="12.109375" style="9" customWidth="1"/>
    <col min="11498" max="11740" width="9.109375" style="9"/>
    <col min="11741" max="11741" width="11.5546875" style="9" customWidth="1"/>
    <col min="11742" max="11742" width="14" style="9" customWidth="1"/>
    <col min="11743" max="11743" width="15" style="9" customWidth="1"/>
    <col min="11744" max="11744" width="17.44140625" style="9" customWidth="1"/>
    <col min="11745" max="11745" width="32.33203125" style="9" customWidth="1"/>
    <col min="11746" max="11746" width="34" style="9" customWidth="1"/>
    <col min="11747" max="11747" width="15.5546875" style="9" customWidth="1"/>
    <col min="11748" max="11748" width="12.109375" style="9" customWidth="1"/>
    <col min="11749" max="11750" width="9.109375" style="9" customWidth="1"/>
    <col min="11751" max="11751" width="14" style="9" customWidth="1"/>
    <col min="11752" max="11752" width="15.5546875" style="9" customWidth="1"/>
    <col min="11753" max="11753" width="12.109375" style="9" customWidth="1"/>
    <col min="11754" max="11996" width="9.109375" style="9"/>
    <col min="11997" max="11997" width="11.5546875" style="9" customWidth="1"/>
    <col min="11998" max="11998" width="14" style="9" customWidth="1"/>
    <col min="11999" max="11999" width="15" style="9" customWidth="1"/>
    <col min="12000" max="12000" width="17.44140625" style="9" customWidth="1"/>
    <col min="12001" max="12001" width="32.33203125" style="9" customWidth="1"/>
    <col min="12002" max="12002" width="34" style="9" customWidth="1"/>
    <col min="12003" max="12003" width="15.5546875" style="9" customWidth="1"/>
    <col min="12004" max="12004" width="12.109375" style="9" customWidth="1"/>
    <col min="12005" max="12006" width="9.109375" style="9" customWidth="1"/>
    <col min="12007" max="12007" width="14" style="9" customWidth="1"/>
    <col min="12008" max="12008" width="15.5546875" style="9" customWidth="1"/>
    <col min="12009" max="12009" width="12.109375" style="9" customWidth="1"/>
    <col min="12010" max="12252" width="9.109375" style="9"/>
    <col min="12253" max="12253" width="11.5546875" style="9" customWidth="1"/>
    <col min="12254" max="12254" width="14" style="9" customWidth="1"/>
    <col min="12255" max="12255" width="15" style="9" customWidth="1"/>
    <col min="12256" max="12256" width="17.44140625" style="9" customWidth="1"/>
    <col min="12257" max="12257" width="32.33203125" style="9" customWidth="1"/>
    <col min="12258" max="12258" width="34" style="9" customWidth="1"/>
    <col min="12259" max="12259" width="15.5546875" style="9" customWidth="1"/>
    <col min="12260" max="12260" width="12.109375" style="9" customWidth="1"/>
    <col min="12261" max="12262" width="9.109375" style="9" customWidth="1"/>
    <col min="12263" max="12263" width="14" style="9" customWidth="1"/>
    <col min="12264" max="12264" width="15.5546875" style="9" customWidth="1"/>
    <col min="12265" max="12265" width="12.109375" style="9" customWidth="1"/>
    <col min="12266" max="12508" width="9.109375" style="9"/>
    <col min="12509" max="12509" width="11.5546875" style="9" customWidth="1"/>
    <col min="12510" max="12510" width="14" style="9" customWidth="1"/>
    <col min="12511" max="12511" width="15" style="9" customWidth="1"/>
    <col min="12512" max="12512" width="17.44140625" style="9" customWidth="1"/>
    <col min="12513" max="12513" width="32.33203125" style="9" customWidth="1"/>
    <col min="12514" max="12514" width="34" style="9" customWidth="1"/>
    <col min="12515" max="12515" width="15.5546875" style="9" customWidth="1"/>
    <col min="12516" max="12516" width="12.109375" style="9" customWidth="1"/>
    <col min="12517" max="12518" width="9.109375" style="9" customWidth="1"/>
    <col min="12519" max="12519" width="14" style="9" customWidth="1"/>
    <col min="12520" max="12520" width="15.5546875" style="9" customWidth="1"/>
    <col min="12521" max="12521" width="12.109375" style="9" customWidth="1"/>
    <col min="12522" max="12764" width="9.109375" style="9"/>
    <col min="12765" max="12765" width="11.5546875" style="9" customWidth="1"/>
    <col min="12766" max="12766" width="14" style="9" customWidth="1"/>
    <col min="12767" max="12767" width="15" style="9" customWidth="1"/>
    <col min="12768" max="12768" width="17.44140625" style="9" customWidth="1"/>
    <col min="12769" max="12769" width="32.33203125" style="9" customWidth="1"/>
    <col min="12770" max="12770" width="34" style="9" customWidth="1"/>
    <col min="12771" max="12771" width="15.5546875" style="9" customWidth="1"/>
    <col min="12772" max="12772" width="12.109375" style="9" customWidth="1"/>
    <col min="12773" max="12774" width="9.109375" style="9" customWidth="1"/>
    <col min="12775" max="12775" width="14" style="9" customWidth="1"/>
    <col min="12776" max="12776" width="15.5546875" style="9" customWidth="1"/>
    <col min="12777" max="12777" width="12.109375" style="9" customWidth="1"/>
    <col min="12778" max="13020" width="9.109375" style="9"/>
    <col min="13021" max="13021" width="11.5546875" style="9" customWidth="1"/>
    <col min="13022" max="13022" width="14" style="9" customWidth="1"/>
    <col min="13023" max="13023" width="15" style="9" customWidth="1"/>
    <col min="13024" max="13024" width="17.44140625" style="9" customWidth="1"/>
    <col min="13025" max="13025" width="32.33203125" style="9" customWidth="1"/>
    <col min="13026" max="13026" width="34" style="9" customWidth="1"/>
    <col min="13027" max="13027" width="15.5546875" style="9" customWidth="1"/>
    <col min="13028" max="13028" width="12.109375" style="9" customWidth="1"/>
    <col min="13029" max="13030" width="9.109375" style="9" customWidth="1"/>
    <col min="13031" max="13031" width="14" style="9" customWidth="1"/>
    <col min="13032" max="13032" width="15.5546875" style="9" customWidth="1"/>
    <col min="13033" max="13033" width="12.109375" style="9" customWidth="1"/>
    <col min="13034" max="13276" width="9.109375" style="9"/>
    <col min="13277" max="13277" width="11.5546875" style="9" customWidth="1"/>
    <col min="13278" max="13278" width="14" style="9" customWidth="1"/>
    <col min="13279" max="13279" width="15" style="9" customWidth="1"/>
    <col min="13280" max="13280" width="17.44140625" style="9" customWidth="1"/>
    <col min="13281" max="13281" width="32.33203125" style="9" customWidth="1"/>
    <col min="13282" max="13282" width="34" style="9" customWidth="1"/>
    <col min="13283" max="13283" width="15.5546875" style="9" customWidth="1"/>
    <col min="13284" max="13284" width="12.109375" style="9" customWidth="1"/>
    <col min="13285" max="13286" width="9.109375" style="9" customWidth="1"/>
    <col min="13287" max="13287" width="14" style="9" customWidth="1"/>
    <col min="13288" max="13288" width="15.5546875" style="9" customWidth="1"/>
    <col min="13289" max="13289" width="12.109375" style="9" customWidth="1"/>
    <col min="13290" max="13532" width="9.109375" style="9"/>
    <col min="13533" max="13533" width="11.5546875" style="9" customWidth="1"/>
    <col min="13534" max="13534" width="14" style="9" customWidth="1"/>
    <col min="13535" max="13535" width="15" style="9" customWidth="1"/>
    <col min="13536" max="13536" width="17.44140625" style="9" customWidth="1"/>
    <col min="13537" max="13537" width="32.33203125" style="9" customWidth="1"/>
    <col min="13538" max="13538" width="34" style="9" customWidth="1"/>
    <col min="13539" max="13539" width="15.5546875" style="9" customWidth="1"/>
    <col min="13540" max="13540" width="12.109375" style="9" customWidth="1"/>
    <col min="13541" max="13542" width="9.109375" style="9" customWidth="1"/>
    <col min="13543" max="13543" width="14" style="9" customWidth="1"/>
    <col min="13544" max="13544" width="15.5546875" style="9" customWidth="1"/>
    <col min="13545" max="13545" width="12.109375" style="9" customWidth="1"/>
    <col min="13546" max="13788" width="9.109375" style="9"/>
    <col min="13789" max="13789" width="11.5546875" style="9" customWidth="1"/>
    <col min="13790" max="13790" width="14" style="9" customWidth="1"/>
    <col min="13791" max="13791" width="15" style="9" customWidth="1"/>
    <col min="13792" max="13792" width="17.44140625" style="9" customWidth="1"/>
    <col min="13793" max="13793" width="32.33203125" style="9" customWidth="1"/>
    <col min="13794" max="13794" width="34" style="9" customWidth="1"/>
    <col min="13795" max="13795" width="15.5546875" style="9" customWidth="1"/>
    <col min="13796" max="13796" width="12.109375" style="9" customWidth="1"/>
    <col min="13797" max="13798" width="9.109375" style="9" customWidth="1"/>
    <col min="13799" max="13799" width="14" style="9" customWidth="1"/>
    <col min="13800" max="13800" width="15.5546875" style="9" customWidth="1"/>
    <col min="13801" max="13801" width="12.109375" style="9" customWidth="1"/>
    <col min="13802" max="14044" width="9.109375" style="9"/>
    <col min="14045" max="14045" width="11.5546875" style="9" customWidth="1"/>
    <col min="14046" max="14046" width="14" style="9" customWidth="1"/>
    <col min="14047" max="14047" width="15" style="9" customWidth="1"/>
    <col min="14048" max="14048" width="17.44140625" style="9" customWidth="1"/>
    <col min="14049" max="14049" width="32.33203125" style="9" customWidth="1"/>
    <col min="14050" max="14050" width="34" style="9" customWidth="1"/>
    <col min="14051" max="14051" width="15.5546875" style="9" customWidth="1"/>
    <col min="14052" max="14052" width="12.109375" style="9" customWidth="1"/>
    <col min="14053" max="14054" width="9.109375" style="9" customWidth="1"/>
    <col min="14055" max="14055" width="14" style="9" customWidth="1"/>
    <col min="14056" max="14056" width="15.5546875" style="9" customWidth="1"/>
    <col min="14057" max="14057" width="12.109375" style="9" customWidth="1"/>
    <col min="14058" max="14300" width="9.109375" style="9"/>
    <col min="14301" max="14301" width="11.5546875" style="9" customWidth="1"/>
    <col min="14302" max="14302" width="14" style="9" customWidth="1"/>
    <col min="14303" max="14303" width="15" style="9" customWidth="1"/>
    <col min="14304" max="14304" width="17.44140625" style="9" customWidth="1"/>
    <col min="14305" max="14305" width="32.33203125" style="9" customWidth="1"/>
    <col min="14306" max="14306" width="34" style="9" customWidth="1"/>
    <col min="14307" max="14307" width="15.5546875" style="9" customWidth="1"/>
    <col min="14308" max="14308" width="12.109375" style="9" customWidth="1"/>
    <col min="14309" max="14310" width="9.109375" style="9" customWidth="1"/>
    <col min="14311" max="14311" width="14" style="9" customWidth="1"/>
    <col min="14312" max="14312" width="15.5546875" style="9" customWidth="1"/>
    <col min="14313" max="14313" width="12.109375" style="9" customWidth="1"/>
    <col min="14314" max="14556" width="9.109375" style="9"/>
    <col min="14557" max="14557" width="11.5546875" style="9" customWidth="1"/>
    <col min="14558" max="14558" width="14" style="9" customWidth="1"/>
    <col min="14559" max="14559" width="15" style="9" customWidth="1"/>
    <col min="14560" max="14560" width="17.44140625" style="9" customWidth="1"/>
    <col min="14561" max="14561" width="32.33203125" style="9" customWidth="1"/>
    <col min="14562" max="14562" width="34" style="9" customWidth="1"/>
    <col min="14563" max="14563" width="15.5546875" style="9" customWidth="1"/>
    <col min="14564" max="14564" width="12.109375" style="9" customWidth="1"/>
    <col min="14565" max="14566" width="9.109375" style="9" customWidth="1"/>
    <col min="14567" max="14567" width="14" style="9" customWidth="1"/>
    <col min="14568" max="14568" width="15.5546875" style="9" customWidth="1"/>
    <col min="14569" max="14569" width="12.109375" style="9" customWidth="1"/>
    <col min="14570" max="14812" width="9.109375" style="9"/>
    <col min="14813" max="14813" width="11.5546875" style="9" customWidth="1"/>
    <col min="14814" max="14814" width="14" style="9" customWidth="1"/>
    <col min="14815" max="14815" width="15" style="9" customWidth="1"/>
    <col min="14816" max="14816" width="17.44140625" style="9" customWidth="1"/>
    <col min="14817" max="14817" width="32.33203125" style="9" customWidth="1"/>
    <col min="14818" max="14818" width="34" style="9" customWidth="1"/>
    <col min="14819" max="14819" width="15.5546875" style="9" customWidth="1"/>
    <col min="14820" max="14820" width="12.109375" style="9" customWidth="1"/>
    <col min="14821" max="14822" width="9.109375" style="9" customWidth="1"/>
    <col min="14823" max="14823" width="14" style="9" customWidth="1"/>
    <col min="14824" max="14824" width="15.5546875" style="9" customWidth="1"/>
    <col min="14825" max="14825" width="12.109375" style="9" customWidth="1"/>
    <col min="14826" max="15068" width="9.109375" style="9"/>
    <col min="15069" max="15069" width="11.5546875" style="9" customWidth="1"/>
    <col min="15070" max="15070" width="14" style="9" customWidth="1"/>
    <col min="15071" max="15071" width="15" style="9" customWidth="1"/>
    <col min="15072" max="15072" width="17.44140625" style="9" customWidth="1"/>
    <col min="15073" max="15073" width="32.33203125" style="9" customWidth="1"/>
    <col min="15074" max="15074" width="34" style="9" customWidth="1"/>
    <col min="15075" max="15075" width="15.5546875" style="9" customWidth="1"/>
    <col min="15076" max="15076" width="12.109375" style="9" customWidth="1"/>
    <col min="15077" max="15078" width="9.109375" style="9" customWidth="1"/>
    <col min="15079" max="15079" width="14" style="9" customWidth="1"/>
    <col min="15080" max="15080" width="15.5546875" style="9" customWidth="1"/>
    <col min="15081" max="15081" width="12.109375" style="9" customWidth="1"/>
    <col min="15082" max="15324" width="9.109375" style="9"/>
    <col min="15325" max="15325" width="11.5546875" style="9" customWidth="1"/>
    <col min="15326" max="15326" width="14" style="9" customWidth="1"/>
    <col min="15327" max="15327" width="15" style="9" customWidth="1"/>
    <col min="15328" max="15328" width="17.44140625" style="9" customWidth="1"/>
    <col min="15329" max="15329" width="32.33203125" style="9" customWidth="1"/>
    <col min="15330" max="15330" width="34" style="9" customWidth="1"/>
    <col min="15331" max="15331" width="15.5546875" style="9" customWidth="1"/>
    <col min="15332" max="15332" width="12.109375" style="9" customWidth="1"/>
    <col min="15333" max="15334" width="9.109375" style="9" customWidth="1"/>
    <col min="15335" max="15335" width="14" style="9" customWidth="1"/>
    <col min="15336" max="15336" width="15.5546875" style="9" customWidth="1"/>
    <col min="15337" max="15337" width="12.109375" style="9" customWidth="1"/>
    <col min="15338" max="15580" width="9.109375" style="9"/>
    <col min="15581" max="15581" width="11.5546875" style="9" customWidth="1"/>
    <col min="15582" max="15582" width="14" style="9" customWidth="1"/>
    <col min="15583" max="15583" width="15" style="9" customWidth="1"/>
    <col min="15584" max="15584" width="17.44140625" style="9" customWidth="1"/>
    <col min="15585" max="15585" width="32.33203125" style="9" customWidth="1"/>
    <col min="15586" max="15586" width="34" style="9" customWidth="1"/>
    <col min="15587" max="15587" width="15.5546875" style="9" customWidth="1"/>
    <col min="15588" max="15588" width="12.109375" style="9" customWidth="1"/>
    <col min="15589" max="15590" width="9.109375" style="9" customWidth="1"/>
    <col min="15591" max="15591" width="14" style="9" customWidth="1"/>
    <col min="15592" max="15592" width="15.5546875" style="9" customWidth="1"/>
    <col min="15593" max="15593" width="12.109375" style="9" customWidth="1"/>
    <col min="15594" max="16384" width="9.109375" style="9"/>
  </cols>
  <sheetData>
    <row r="1" spans="1:9" s="5" customFormat="1" x14ac:dyDescent="0.3">
      <c r="A1" s="15" t="s">
        <v>53</v>
      </c>
      <c r="B1" s="16" t="s">
        <v>54</v>
      </c>
      <c r="C1" s="16" t="s">
        <v>55</v>
      </c>
      <c r="D1" s="16" t="s">
        <v>56</v>
      </c>
      <c r="E1" s="16" t="s">
        <v>57</v>
      </c>
      <c r="F1" s="17" t="s">
        <v>61</v>
      </c>
      <c r="G1" s="18" t="s">
        <v>58</v>
      </c>
      <c r="I1" s="16" t="s">
        <v>57</v>
      </c>
    </row>
    <row r="2" spans="1:9" x14ac:dyDescent="0.3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13">
        <v>1388.481941894679</v>
      </c>
      <c r="G2" s="12">
        <v>2694540.9328971165</v>
      </c>
      <c r="I2" s="8" t="s">
        <v>5</v>
      </c>
    </row>
    <row r="3" spans="1:9" x14ac:dyDescent="0.3">
      <c r="A3" s="7" t="s">
        <v>6</v>
      </c>
      <c r="B3" s="8" t="s">
        <v>2</v>
      </c>
      <c r="C3" s="8" t="s">
        <v>3</v>
      </c>
      <c r="D3" s="8" t="s">
        <v>7</v>
      </c>
      <c r="E3" s="8" t="s">
        <v>8</v>
      </c>
      <c r="F3" s="13">
        <v>796.63742255861507</v>
      </c>
      <c r="G3" s="12">
        <v>1224742.5485414988</v>
      </c>
      <c r="I3" s="8" t="s">
        <v>8</v>
      </c>
    </row>
    <row r="4" spans="1:9" x14ac:dyDescent="0.3">
      <c r="A4" s="7" t="s">
        <v>9</v>
      </c>
      <c r="B4" s="8" t="s">
        <v>2</v>
      </c>
      <c r="C4" s="8" t="s">
        <v>3</v>
      </c>
      <c r="D4" s="8" t="s">
        <v>4</v>
      </c>
      <c r="E4" s="8" t="s">
        <v>10</v>
      </c>
      <c r="F4" s="13">
        <v>1687.1257263423104</v>
      </c>
      <c r="G4" s="12">
        <v>6609701.0790499365</v>
      </c>
      <c r="I4" s="8" t="s">
        <v>10</v>
      </c>
    </row>
    <row r="5" spans="1:9" x14ac:dyDescent="0.3">
      <c r="A5" s="7" t="s">
        <v>11</v>
      </c>
      <c r="B5" s="8" t="s">
        <v>2</v>
      </c>
      <c r="C5" s="8" t="s">
        <v>3</v>
      </c>
      <c r="D5" s="8" t="s">
        <v>12</v>
      </c>
      <c r="E5" s="8" t="s">
        <v>13</v>
      </c>
      <c r="F5" s="13">
        <v>1626.7063714746957</v>
      </c>
      <c r="G5" s="12">
        <v>2592600.4098612806</v>
      </c>
      <c r="I5" s="8" t="s">
        <v>13</v>
      </c>
    </row>
    <row r="6" spans="1:9" x14ac:dyDescent="0.3">
      <c r="A6" s="7" t="s">
        <v>1</v>
      </c>
      <c r="B6" s="8" t="s">
        <v>14</v>
      </c>
      <c r="C6" s="8" t="s">
        <v>15</v>
      </c>
      <c r="D6" s="8" t="s">
        <v>12</v>
      </c>
      <c r="E6" s="8" t="s">
        <v>16</v>
      </c>
      <c r="F6" s="13">
        <v>540.58685252966825</v>
      </c>
      <c r="G6" s="12">
        <v>3498113.8460516375</v>
      </c>
      <c r="I6" s="8" t="s">
        <v>16</v>
      </c>
    </row>
    <row r="7" spans="1:9" x14ac:dyDescent="0.3">
      <c r="A7" s="7" t="s">
        <v>6</v>
      </c>
      <c r="B7" s="8" t="s">
        <v>14</v>
      </c>
      <c r="C7" s="8" t="s">
        <v>15</v>
      </c>
      <c r="D7" s="8" t="s">
        <v>7</v>
      </c>
      <c r="E7" s="8" t="s">
        <v>17</v>
      </c>
      <c r="F7" s="13">
        <v>133.09912498261838</v>
      </c>
      <c r="G7" s="12">
        <v>329043.89482235274</v>
      </c>
      <c r="I7" s="8" t="s">
        <v>17</v>
      </c>
    </row>
    <row r="8" spans="1:9" x14ac:dyDescent="0.3">
      <c r="A8" s="7" t="s">
        <v>9</v>
      </c>
      <c r="B8" s="8" t="s">
        <v>14</v>
      </c>
      <c r="C8" s="8" t="s">
        <v>15</v>
      </c>
      <c r="D8" s="8" t="s">
        <v>4</v>
      </c>
      <c r="E8" s="8" t="s">
        <v>5</v>
      </c>
      <c r="F8" s="13">
        <v>700.83415030821925</v>
      </c>
      <c r="G8" s="12">
        <v>959716.80407376168</v>
      </c>
      <c r="I8" s="11"/>
    </row>
    <row r="9" spans="1:9" x14ac:dyDescent="0.3">
      <c r="A9" s="7" t="s">
        <v>11</v>
      </c>
      <c r="B9" s="8" t="s">
        <v>14</v>
      </c>
      <c r="C9" s="8" t="s">
        <v>15</v>
      </c>
      <c r="D9" s="8" t="s">
        <v>7</v>
      </c>
      <c r="E9" s="8" t="s">
        <v>8</v>
      </c>
      <c r="F9" s="13">
        <v>901.82309649826493</v>
      </c>
      <c r="G9" s="12">
        <v>1277235.4687311356</v>
      </c>
      <c r="I9"/>
    </row>
    <row r="10" spans="1:9" x14ac:dyDescent="0.3">
      <c r="A10" s="7" t="s">
        <v>1</v>
      </c>
      <c r="B10" s="8" t="s">
        <v>14</v>
      </c>
      <c r="C10" s="8" t="s">
        <v>18</v>
      </c>
      <c r="D10" s="8" t="s">
        <v>4</v>
      </c>
      <c r="E10" s="8" t="s">
        <v>10</v>
      </c>
      <c r="F10" s="13">
        <v>1169.7676889061768</v>
      </c>
      <c r="G10" s="12">
        <v>2994441.4399509695</v>
      </c>
      <c r="I10"/>
    </row>
    <row r="11" spans="1:9" x14ac:dyDescent="0.3">
      <c r="A11" s="7" t="s">
        <v>1</v>
      </c>
      <c r="B11" s="8" t="s">
        <v>19</v>
      </c>
      <c r="C11" s="8" t="s">
        <v>19</v>
      </c>
      <c r="D11" s="8" t="s">
        <v>4</v>
      </c>
      <c r="E11" s="8" t="s">
        <v>5</v>
      </c>
      <c r="F11" s="13">
        <v>482.58699472153239</v>
      </c>
      <c r="G11" s="12">
        <v>3144472.0132891233</v>
      </c>
      <c r="I11"/>
    </row>
    <row r="12" spans="1:9" x14ac:dyDescent="0.3">
      <c r="A12" s="7" t="s">
        <v>6</v>
      </c>
      <c r="B12" s="8" t="s">
        <v>14</v>
      </c>
      <c r="C12" s="8" t="s">
        <v>18</v>
      </c>
      <c r="D12" s="8" t="s">
        <v>7</v>
      </c>
      <c r="E12" s="8" t="s">
        <v>8</v>
      </c>
      <c r="F12" s="13">
        <v>1585.8404178636192</v>
      </c>
      <c r="G12" s="12">
        <v>2919523.0418894682</v>
      </c>
      <c r="I12"/>
    </row>
    <row r="13" spans="1:9" x14ac:dyDescent="0.3">
      <c r="A13" s="7" t="s">
        <v>1</v>
      </c>
      <c r="B13" s="8" t="s">
        <v>2</v>
      </c>
      <c r="C13" s="8" t="s">
        <v>20</v>
      </c>
      <c r="D13" s="8" t="s">
        <v>4</v>
      </c>
      <c r="E13" s="8" t="s">
        <v>10</v>
      </c>
      <c r="F13" s="13">
        <v>143.24518973880913</v>
      </c>
      <c r="G13" s="12">
        <v>2293163.6124412762</v>
      </c>
      <c r="I13"/>
    </row>
    <row r="14" spans="1:9" x14ac:dyDescent="0.3">
      <c r="A14" s="7" t="s">
        <v>1</v>
      </c>
      <c r="B14" s="8" t="s">
        <v>19</v>
      </c>
      <c r="C14" s="8" t="s">
        <v>19</v>
      </c>
      <c r="D14" s="8" t="s">
        <v>12</v>
      </c>
      <c r="E14" s="8" t="s">
        <v>13</v>
      </c>
      <c r="F14" s="13">
        <v>502.56209981089341</v>
      </c>
      <c r="G14" s="12">
        <v>2954994.6760780588</v>
      </c>
      <c r="I14"/>
    </row>
    <row r="15" spans="1:9" x14ac:dyDescent="0.3">
      <c r="A15" s="7" t="s">
        <v>6</v>
      </c>
      <c r="B15" s="8" t="s">
        <v>19</v>
      </c>
      <c r="C15" s="8" t="s">
        <v>19</v>
      </c>
      <c r="D15" s="8" t="s">
        <v>4</v>
      </c>
      <c r="E15" s="8" t="s">
        <v>5</v>
      </c>
      <c r="F15" s="13">
        <v>661.02890958991338</v>
      </c>
      <c r="G15" s="12">
        <v>1463997.8460987622</v>
      </c>
      <c r="I15"/>
    </row>
    <row r="16" spans="1:9" x14ac:dyDescent="0.3">
      <c r="A16" s="7" t="s">
        <v>9</v>
      </c>
      <c r="B16" s="8" t="s">
        <v>14</v>
      </c>
      <c r="C16" s="8" t="s">
        <v>18</v>
      </c>
      <c r="D16" s="8" t="s">
        <v>7</v>
      </c>
      <c r="E16" s="8" t="s">
        <v>8</v>
      </c>
      <c r="F16" s="13">
        <v>43.409367737149296</v>
      </c>
      <c r="G16" s="12">
        <v>1624290.5304258117</v>
      </c>
      <c r="I16"/>
    </row>
    <row r="17" spans="1:9" x14ac:dyDescent="0.3">
      <c r="A17" s="7" t="s">
        <v>6</v>
      </c>
      <c r="B17" s="8" t="s">
        <v>2</v>
      </c>
      <c r="C17" s="8" t="s">
        <v>20</v>
      </c>
      <c r="D17" s="8" t="s">
        <v>4</v>
      </c>
      <c r="E17" s="8" t="s">
        <v>10</v>
      </c>
      <c r="F17" s="13">
        <v>156.4717210480012</v>
      </c>
      <c r="G17" s="12">
        <v>3462704.9756270209</v>
      </c>
      <c r="I17"/>
    </row>
    <row r="18" spans="1:9" x14ac:dyDescent="0.3">
      <c r="A18" s="7" t="s">
        <v>6</v>
      </c>
      <c r="B18" s="8" t="s">
        <v>19</v>
      </c>
      <c r="C18" s="8" t="s">
        <v>19</v>
      </c>
      <c r="D18" s="8" t="s">
        <v>12</v>
      </c>
      <c r="E18" s="8" t="s">
        <v>13</v>
      </c>
      <c r="F18" s="13">
        <v>431.16415670592687</v>
      </c>
      <c r="G18" s="12">
        <v>1336321.4169638376</v>
      </c>
      <c r="I18"/>
    </row>
    <row r="19" spans="1:9" x14ac:dyDescent="0.3">
      <c r="A19" s="7" t="s">
        <v>1</v>
      </c>
      <c r="B19" s="8" t="s">
        <v>2</v>
      </c>
      <c r="C19" s="8" t="s">
        <v>3</v>
      </c>
      <c r="D19" s="8" t="s">
        <v>12</v>
      </c>
      <c r="E19" s="8" t="s">
        <v>16</v>
      </c>
      <c r="F19" s="13">
        <v>833.71382049408567</v>
      </c>
      <c r="G19" s="12">
        <v>1595693.1107215495</v>
      </c>
      <c r="I19"/>
    </row>
    <row r="20" spans="1:9" x14ac:dyDescent="0.3">
      <c r="A20" s="7" t="s">
        <v>1</v>
      </c>
      <c r="B20" s="8" t="s">
        <v>2</v>
      </c>
      <c r="C20" s="8" t="s">
        <v>21</v>
      </c>
      <c r="D20" s="8" t="s">
        <v>4</v>
      </c>
      <c r="E20" s="8" t="s">
        <v>5</v>
      </c>
      <c r="F20" s="13">
        <v>321.44814604862404</v>
      </c>
      <c r="G20" s="12">
        <v>97298.31977529102</v>
      </c>
      <c r="I20"/>
    </row>
    <row r="21" spans="1:9" x14ac:dyDescent="0.3">
      <c r="A21" s="7" t="s">
        <v>1</v>
      </c>
      <c r="B21" s="8" t="s">
        <v>14</v>
      </c>
      <c r="C21" s="8" t="s">
        <v>18</v>
      </c>
      <c r="D21" s="8" t="s">
        <v>7</v>
      </c>
      <c r="E21" s="8" t="s">
        <v>8</v>
      </c>
      <c r="F21" s="13">
        <v>255.89267174473207</v>
      </c>
      <c r="G21" s="12">
        <v>1771804.1016473763</v>
      </c>
      <c r="I21"/>
    </row>
    <row r="22" spans="1:9" ht="12" customHeight="1" x14ac:dyDescent="0.3">
      <c r="A22" s="7" t="s">
        <v>9</v>
      </c>
      <c r="B22" s="8" t="s">
        <v>19</v>
      </c>
      <c r="C22" s="8" t="s">
        <v>19</v>
      </c>
      <c r="D22" s="8" t="s">
        <v>4</v>
      </c>
      <c r="E22" s="8" t="s">
        <v>10</v>
      </c>
      <c r="F22" s="13">
        <v>1803.5758704837463</v>
      </c>
      <c r="G22" s="12">
        <v>1946019.4772090607</v>
      </c>
      <c r="I22"/>
    </row>
    <row r="23" spans="1:9" x14ac:dyDescent="0.3">
      <c r="A23" s="7" t="s">
        <v>1</v>
      </c>
      <c r="B23" s="8" t="s">
        <v>2</v>
      </c>
      <c r="C23" s="8" t="s">
        <v>20</v>
      </c>
      <c r="D23" s="8" t="s">
        <v>12</v>
      </c>
      <c r="E23" s="8" t="s">
        <v>13</v>
      </c>
      <c r="F23" s="13">
        <v>809.28954641403834</v>
      </c>
      <c r="G23" s="12">
        <v>2733571.3871923871</v>
      </c>
      <c r="I23"/>
    </row>
    <row r="24" spans="1:9" x14ac:dyDescent="0.3">
      <c r="A24" s="7" t="s">
        <v>11</v>
      </c>
      <c r="B24" s="8" t="s">
        <v>14</v>
      </c>
      <c r="C24" s="8" t="s">
        <v>18</v>
      </c>
      <c r="D24" s="8" t="s">
        <v>12</v>
      </c>
      <c r="E24" s="8" t="s">
        <v>16</v>
      </c>
      <c r="F24" s="13">
        <v>990.87795684226876</v>
      </c>
      <c r="G24" s="12">
        <v>2785011.3915208825</v>
      </c>
      <c r="I24"/>
    </row>
    <row r="25" spans="1:9" x14ac:dyDescent="0.3">
      <c r="A25" s="7" t="s">
        <v>9</v>
      </c>
      <c r="B25" s="8" t="s">
        <v>2</v>
      </c>
      <c r="C25" s="8" t="s">
        <v>20</v>
      </c>
      <c r="D25" s="8" t="s">
        <v>4</v>
      </c>
      <c r="E25" s="8" t="s">
        <v>5</v>
      </c>
      <c r="F25" s="13">
        <v>543.6423659499269</v>
      </c>
      <c r="G25" s="12">
        <v>277536.86710602196</v>
      </c>
      <c r="I25"/>
    </row>
    <row r="26" spans="1:9" x14ac:dyDescent="0.3">
      <c r="A26" s="7" t="s">
        <v>9</v>
      </c>
      <c r="B26" s="8" t="s">
        <v>19</v>
      </c>
      <c r="C26" s="8" t="s">
        <v>19</v>
      </c>
      <c r="D26" s="8" t="s">
        <v>7</v>
      </c>
      <c r="E26" s="8" t="s">
        <v>8</v>
      </c>
      <c r="F26" s="13">
        <v>644.65000973650604</v>
      </c>
      <c r="G26" s="12">
        <v>2961090.0068195374</v>
      </c>
      <c r="I26"/>
    </row>
    <row r="27" spans="1:9" x14ac:dyDescent="0.3">
      <c r="A27" s="7" t="s">
        <v>6</v>
      </c>
      <c r="B27" s="8" t="s">
        <v>2</v>
      </c>
      <c r="C27" s="8" t="s">
        <v>3</v>
      </c>
      <c r="D27" s="8" t="s">
        <v>4</v>
      </c>
      <c r="E27" s="8" t="s">
        <v>10</v>
      </c>
      <c r="F27" s="13">
        <v>570.67072717509291</v>
      </c>
      <c r="G27" s="12">
        <v>3253993.5253579607</v>
      </c>
      <c r="I27"/>
    </row>
    <row r="28" spans="1:9" x14ac:dyDescent="0.3">
      <c r="A28" s="7" t="s">
        <v>6</v>
      </c>
      <c r="B28" s="8" t="s">
        <v>2</v>
      </c>
      <c r="C28" s="8" t="s">
        <v>21</v>
      </c>
      <c r="D28" s="8" t="s">
        <v>12</v>
      </c>
      <c r="E28" s="8" t="s">
        <v>13</v>
      </c>
      <c r="F28" s="13">
        <v>438.95673491597336</v>
      </c>
      <c r="G28" s="12">
        <v>776786.56815970957</v>
      </c>
      <c r="I28"/>
    </row>
    <row r="29" spans="1:9" x14ac:dyDescent="0.3">
      <c r="A29" s="7" t="s">
        <v>6</v>
      </c>
      <c r="B29" s="8" t="s">
        <v>14</v>
      </c>
      <c r="C29" s="8" t="s">
        <v>18</v>
      </c>
      <c r="D29" s="8" t="s">
        <v>12</v>
      </c>
      <c r="E29" s="8" t="s">
        <v>16</v>
      </c>
      <c r="F29" s="13">
        <v>433.05807716133131</v>
      </c>
      <c r="G29" s="12">
        <v>2279197.6614709985</v>
      </c>
      <c r="I29"/>
    </row>
    <row r="30" spans="1:9" x14ac:dyDescent="0.3">
      <c r="A30" s="7" t="s">
        <v>11</v>
      </c>
      <c r="B30" s="8" t="s">
        <v>19</v>
      </c>
      <c r="C30" s="8" t="s">
        <v>19</v>
      </c>
      <c r="D30" s="8" t="s">
        <v>7</v>
      </c>
      <c r="E30" s="8" t="s">
        <v>17</v>
      </c>
      <c r="F30" s="13">
        <v>1625.7114291099242</v>
      </c>
      <c r="G30" s="12">
        <v>1725444.0238804487</v>
      </c>
      <c r="I30"/>
    </row>
    <row r="31" spans="1:9" x14ac:dyDescent="0.3">
      <c r="A31" s="7" t="s">
        <v>6</v>
      </c>
      <c r="B31" s="8" t="s">
        <v>2</v>
      </c>
      <c r="C31" s="8" t="s">
        <v>20</v>
      </c>
      <c r="D31" s="8" t="s">
        <v>4</v>
      </c>
      <c r="E31" s="8" t="s">
        <v>5</v>
      </c>
      <c r="F31" s="13">
        <v>64.771333339012926</v>
      </c>
      <c r="G31" s="12">
        <v>2729384.4333960861</v>
      </c>
      <c r="I31"/>
    </row>
    <row r="32" spans="1:9" x14ac:dyDescent="0.3">
      <c r="A32" s="7" t="s">
        <v>11</v>
      </c>
      <c r="B32" s="8" t="s">
        <v>2</v>
      </c>
      <c r="C32" s="8" t="s">
        <v>20</v>
      </c>
      <c r="D32" s="8" t="s">
        <v>7</v>
      </c>
      <c r="E32" s="8" t="s">
        <v>8</v>
      </c>
      <c r="F32" s="13">
        <v>535.89516859137802</v>
      </c>
      <c r="G32" s="12">
        <v>1116631.8901956801</v>
      </c>
      <c r="I32"/>
    </row>
    <row r="33" spans="1:9" x14ac:dyDescent="0.3">
      <c r="A33" s="7" t="s">
        <v>11</v>
      </c>
      <c r="B33" s="8" t="s">
        <v>19</v>
      </c>
      <c r="C33" s="8" t="s">
        <v>19</v>
      </c>
      <c r="D33" s="8" t="s">
        <v>4</v>
      </c>
      <c r="E33" s="8" t="s">
        <v>10</v>
      </c>
      <c r="F33" s="13">
        <v>324.2546850713552</v>
      </c>
      <c r="G33" s="12">
        <v>2373041.6752210646</v>
      </c>
      <c r="I33"/>
    </row>
    <row r="34" spans="1:9" x14ac:dyDescent="0.3">
      <c r="A34" s="7" t="s">
        <v>9</v>
      </c>
      <c r="B34" s="8" t="s">
        <v>2</v>
      </c>
      <c r="C34" s="8" t="s">
        <v>3</v>
      </c>
      <c r="D34" s="8" t="s">
        <v>4</v>
      </c>
      <c r="E34" s="8" t="s">
        <v>5</v>
      </c>
      <c r="F34" s="13">
        <v>321.51804864788573</v>
      </c>
      <c r="G34" s="12">
        <v>495166.29849524173</v>
      </c>
      <c r="I34"/>
    </row>
    <row r="35" spans="1:9" x14ac:dyDescent="0.3">
      <c r="A35" s="7" t="s">
        <v>9</v>
      </c>
      <c r="B35" s="8" t="s">
        <v>2</v>
      </c>
      <c r="C35" s="8" t="s">
        <v>21</v>
      </c>
      <c r="D35" s="8" t="s">
        <v>7</v>
      </c>
      <c r="E35" s="8" t="s">
        <v>8</v>
      </c>
      <c r="F35" s="13">
        <v>256.55022322353034</v>
      </c>
      <c r="G35" s="12">
        <v>2608573.6760563506</v>
      </c>
      <c r="I35"/>
    </row>
    <row r="36" spans="1:9" x14ac:dyDescent="0.3">
      <c r="A36" s="7" t="s">
        <v>9</v>
      </c>
      <c r="B36" s="8" t="s">
        <v>14</v>
      </c>
      <c r="C36" s="8" t="s">
        <v>18</v>
      </c>
      <c r="D36" s="8" t="s">
        <v>4</v>
      </c>
      <c r="E36" s="8" t="s">
        <v>10</v>
      </c>
      <c r="F36" s="13">
        <v>544.71690417349237</v>
      </c>
      <c r="G36" s="12">
        <v>1940885.3876633777</v>
      </c>
      <c r="I36"/>
    </row>
    <row r="37" spans="1:9" x14ac:dyDescent="0.3">
      <c r="A37" s="7" t="s">
        <v>9</v>
      </c>
      <c r="B37" s="8" t="s">
        <v>2</v>
      </c>
      <c r="C37" s="8" t="s">
        <v>20</v>
      </c>
      <c r="D37" s="8" t="s">
        <v>12</v>
      </c>
      <c r="E37" s="8" t="s">
        <v>13</v>
      </c>
      <c r="F37" s="13">
        <v>1293.3996422789278</v>
      </c>
      <c r="G37" s="12">
        <v>2445365.6171331094</v>
      </c>
      <c r="I37"/>
    </row>
    <row r="38" spans="1:9" x14ac:dyDescent="0.3">
      <c r="A38" s="7" t="s">
        <v>11</v>
      </c>
      <c r="B38" s="8" t="s">
        <v>2</v>
      </c>
      <c r="C38" s="8" t="s">
        <v>3</v>
      </c>
      <c r="D38" s="8" t="s">
        <v>12</v>
      </c>
      <c r="E38" s="8" t="s">
        <v>16</v>
      </c>
      <c r="F38" s="13">
        <v>1290.1935696967485</v>
      </c>
      <c r="G38" s="12">
        <v>1577032.7919579723</v>
      </c>
      <c r="I38"/>
    </row>
    <row r="39" spans="1:9" x14ac:dyDescent="0.3">
      <c r="A39" s="7" t="s">
        <v>11</v>
      </c>
      <c r="B39" s="8" t="s">
        <v>2</v>
      </c>
      <c r="C39" s="8" t="s">
        <v>21</v>
      </c>
      <c r="D39" s="8" t="s">
        <v>7</v>
      </c>
      <c r="E39" s="8" t="s">
        <v>17</v>
      </c>
      <c r="F39" s="13">
        <v>244.81511633202899</v>
      </c>
      <c r="G39" s="12">
        <v>266132.1992881425</v>
      </c>
      <c r="I39"/>
    </row>
    <row r="40" spans="1:9" x14ac:dyDescent="0.3">
      <c r="A40" s="7" t="s">
        <v>11</v>
      </c>
      <c r="B40" s="8" t="s">
        <v>14</v>
      </c>
      <c r="C40" s="8" t="s">
        <v>18</v>
      </c>
      <c r="D40" s="8" t="s">
        <v>4</v>
      </c>
      <c r="E40" s="8" t="s">
        <v>5</v>
      </c>
      <c r="F40" s="13">
        <v>693.7313703111613</v>
      </c>
      <c r="G40" s="12">
        <v>1628460.1785076689</v>
      </c>
      <c r="I40"/>
    </row>
    <row r="41" spans="1:9" x14ac:dyDescent="0.3">
      <c r="A41" s="7" t="s">
        <v>11</v>
      </c>
      <c r="B41" s="8" t="s">
        <v>2</v>
      </c>
      <c r="C41" s="8" t="s">
        <v>20</v>
      </c>
      <c r="D41" s="8" t="s">
        <v>7</v>
      </c>
      <c r="E41" s="8" t="s">
        <v>8</v>
      </c>
      <c r="F41" s="13">
        <v>96.20660948803561</v>
      </c>
      <c r="G41" s="12">
        <v>1337527.6842166325</v>
      </c>
      <c r="I41"/>
    </row>
    <row r="42" spans="1:9" x14ac:dyDescent="0.3">
      <c r="A42" s="7" t="s">
        <v>1</v>
      </c>
      <c r="B42" s="8" t="s">
        <v>2</v>
      </c>
      <c r="C42" s="8" t="s">
        <v>21</v>
      </c>
      <c r="D42" s="8" t="s">
        <v>4</v>
      </c>
      <c r="E42" s="8" t="s">
        <v>10</v>
      </c>
      <c r="F42" s="13">
        <v>782.84039052632579</v>
      </c>
      <c r="G42" s="12">
        <v>417241.19905993575</v>
      </c>
      <c r="I42"/>
    </row>
    <row r="43" spans="1:9" x14ac:dyDescent="0.3">
      <c r="A43" s="7" t="s">
        <v>6</v>
      </c>
      <c r="B43" s="8" t="s">
        <v>2</v>
      </c>
      <c r="C43" s="8" t="s">
        <v>21</v>
      </c>
      <c r="D43" s="8" t="s">
        <v>12</v>
      </c>
      <c r="E43" s="8" t="s">
        <v>13</v>
      </c>
      <c r="F43" s="13">
        <v>954.19918728730408</v>
      </c>
      <c r="G43" s="12">
        <v>1871054.0807609286</v>
      </c>
      <c r="I43"/>
    </row>
    <row r="44" spans="1:9" x14ac:dyDescent="0.3">
      <c r="A44" s="7" t="s">
        <v>1</v>
      </c>
      <c r="B44" s="8" t="s">
        <v>14</v>
      </c>
      <c r="C44" s="8" t="s">
        <v>15</v>
      </c>
      <c r="D44" s="8" t="s">
        <v>12</v>
      </c>
      <c r="E44" s="8" t="s">
        <v>16</v>
      </c>
      <c r="F44" s="13">
        <v>717.19784501237882</v>
      </c>
      <c r="G44" s="12">
        <v>454615.51565676928</v>
      </c>
      <c r="I44"/>
    </row>
    <row r="45" spans="1:9" x14ac:dyDescent="0.3">
      <c r="A45" s="7" t="s">
        <v>9</v>
      </c>
      <c r="B45" s="8" t="s">
        <v>2</v>
      </c>
      <c r="C45" s="8" t="s">
        <v>21</v>
      </c>
      <c r="D45" s="8" t="s">
        <v>7</v>
      </c>
      <c r="E45" s="8" t="s">
        <v>17</v>
      </c>
      <c r="F45" s="13">
        <v>298.51259471615776</v>
      </c>
      <c r="G45" s="12">
        <v>47491.66691907456</v>
      </c>
      <c r="I45"/>
    </row>
    <row r="46" spans="1:9" x14ac:dyDescent="0.3">
      <c r="A46" s="7" t="s">
        <v>6</v>
      </c>
      <c r="B46" s="8" t="s">
        <v>14</v>
      </c>
      <c r="C46" s="8" t="s">
        <v>15</v>
      </c>
      <c r="D46" s="8" t="s">
        <v>4</v>
      </c>
      <c r="E46" s="8" t="s">
        <v>5</v>
      </c>
      <c r="F46" s="13">
        <v>531.89043383736134</v>
      </c>
      <c r="G46" s="12">
        <v>391295.43405837467</v>
      </c>
      <c r="I46"/>
    </row>
    <row r="47" spans="1:9" x14ac:dyDescent="0.3">
      <c r="A47" s="7" t="s">
        <v>11</v>
      </c>
      <c r="B47" s="8" t="s">
        <v>2</v>
      </c>
      <c r="C47" s="8" t="s">
        <v>21</v>
      </c>
      <c r="D47" s="8" t="s">
        <v>7</v>
      </c>
      <c r="E47" s="8" t="s">
        <v>8</v>
      </c>
      <c r="F47" s="13">
        <v>3.9607090111530852</v>
      </c>
      <c r="G47" s="12">
        <v>900458.03661811398</v>
      </c>
      <c r="I47"/>
    </row>
    <row r="48" spans="1:9" x14ac:dyDescent="0.3">
      <c r="A48" s="7" t="s">
        <v>1</v>
      </c>
      <c r="B48" s="8" t="s">
        <v>19</v>
      </c>
      <c r="C48" s="8" t="s">
        <v>19</v>
      </c>
      <c r="D48" s="8" t="s">
        <v>4</v>
      </c>
      <c r="E48" s="8" t="s">
        <v>10</v>
      </c>
      <c r="F48" s="13">
        <v>413.526065755741</v>
      </c>
      <c r="G48" s="12">
        <v>1371741.5477135547</v>
      </c>
      <c r="I48"/>
    </row>
    <row r="49" spans="1:9" x14ac:dyDescent="0.3">
      <c r="A49" s="7" t="s">
        <v>9</v>
      </c>
      <c r="B49" s="8" t="s">
        <v>14</v>
      </c>
      <c r="C49" s="8" t="s">
        <v>15</v>
      </c>
      <c r="D49" s="8" t="s">
        <v>4</v>
      </c>
      <c r="E49" s="8" t="s">
        <v>5</v>
      </c>
      <c r="F49" s="13">
        <v>723.99416673943051</v>
      </c>
      <c r="G49" s="12">
        <v>651542.93649375904</v>
      </c>
      <c r="I49"/>
    </row>
    <row r="50" spans="1:9" x14ac:dyDescent="0.3">
      <c r="A50" s="7" t="s">
        <v>6</v>
      </c>
      <c r="B50" s="8" t="s">
        <v>19</v>
      </c>
      <c r="C50" s="8" t="s">
        <v>19</v>
      </c>
      <c r="D50" s="8" t="s">
        <v>7</v>
      </c>
      <c r="E50" s="8" t="s">
        <v>8</v>
      </c>
      <c r="F50" s="13">
        <v>208.42043810471296</v>
      </c>
      <c r="G50" s="12">
        <v>1161848.8380291683</v>
      </c>
      <c r="I50"/>
    </row>
    <row r="51" spans="1:9" x14ac:dyDescent="0.3">
      <c r="A51" s="7" t="s">
        <v>11</v>
      </c>
      <c r="B51" s="8" t="s">
        <v>14</v>
      </c>
      <c r="C51" s="8" t="s">
        <v>15</v>
      </c>
      <c r="D51" s="8" t="s">
        <v>4</v>
      </c>
      <c r="E51" s="8" t="s">
        <v>10</v>
      </c>
      <c r="F51" s="13">
        <v>685.7010054809507</v>
      </c>
      <c r="G51" s="12">
        <v>47399.604896327743</v>
      </c>
      <c r="I51"/>
    </row>
    <row r="52" spans="1:9" x14ac:dyDescent="0.3">
      <c r="A52" s="7" t="s">
        <v>1</v>
      </c>
      <c r="B52" s="8" t="s">
        <v>14</v>
      </c>
      <c r="C52" s="8" t="s">
        <v>22</v>
      </c>
      <c r="D52" s="8" t="s">
        <v>12</v>
      </c>
      <c r="E52" s="8" t="s">
        <v>13</v>
      </c>
      <c r="F52" s="13">
        <v>226.20921949646799</v>
      </c>
      <c r="G52" s="12">
        <v>1443134.2999009758</v>
      </c>
      <c r="I52"/>
    </row>
    <row r="53" spans="1:9" x14ac:dyDescent="0.3">
      <c r="A53" s="7" t="s">
        <v>9</v>
      </c>
      <c r="B53" s="8" t="s">
        <v>19</v>
      </c>
      <c r="C53" s="8" t="s">
        <v>19</v>
      </c>
      <c r="D53" s="8" t="s">
        <v>4</v>
      </c>
      <c r="E53" s="8" t="s">
        <v>5</v>
      </c>
      <c r="F53" s="13">
        <v>125.13045695613982</v>
      </c>
      <c r="G53" s="12">
        <v>1365302.9005884556</v>
      </c>
      <c r="I53"/>
    </row>
    <row r="54" spans="1:9" x14ac:dyDescent="0.3">
      <c r="A54" s="7" t="s">
        <v>6</v>
      </c>
      <c r="B54" s="8" t="s">
        <v>14</v>
      </c>
      <c r="C54" s="8" t="s">
        <v>22</v>
      </c>
      <c r="D54" s="8" t="s">
        <v>7</v>
      </c>
      <c r="E54" s="8" t="s">
        <v>8</v>
      </c>
      <c r="F54" s="13">
        <v>56.071262800742261</v>
      </c>
      <c r="G54" s="12">
        <v>1012508.554698029</v>
      </c>
      <c r="I54"/>
    </row>
    <row r="55" spans="1:9" x14ac:dyDescent="0.3">
      <c r="A55" s="7" t="s">
        <v>11</v>
      </c>
      <c r="B55" s="8" t="s">
        <v>19</v>
      </c>
      <c r="C55" s="8" t="s">
        <v>19</v>
      </c>
      <c r="D55" s="8" t="s">
        <v>4</v>
      </c>
      <c r="E55" s="8" t="s">
        <v>10</v>
      </c>
      <c r="F55" s="13">
        <v>734.35834157608042</v>
      </c>
      <c r="G55" s="12">
        <v>217573.89674266177</v>
      </c>
      <c r="I55"/>
    </row>
    <row r="56" spans="1:9" x14ac:dyDescent="0.3">
      <c r="A56" s="7" t="s">
        <v>9</v>
      </c>
      <c r="B56" s="8" t="s">
        <v>14</v>
      </c>
      <c r="C56" s="8" t="s">
        <v>22</v>
      </c>
      <c r="D56" s="8" t="s">
        <v>12</v>
      </c>
      <c r="E56" s="8" t="s">
        <v>13</v>
      </c>
      <c r="F56" s="13">
        <v>174.77272548176188</v>
      </c>
      <c r="G56" s="12">
        <v>1058712.1916132127</v>
      </c>
      <c r="I56"/>
    </row>
    <row r="57" spans="1:9" x14ac:dyDescent="0.3">
      <c r="A57" s="7" t="s">
        <v>1</v>
      </c>
      <c r="B57" s="8" t="s">
        <v>14</v>
      </c>
      <c r="C57" s="8" t="s">
        <v>18</v>
      </c>
      <c r="D57" s="8" t="s">
        <v>12</v>
      </c>
      <c r="E57" s="8" t="s">
        <v>16</v>
      </c>
      <c r="F57" s="13">
        <v>877.99507163945236</v>
      </c>
      <c r="G57" s="12">
        <v>437971.61654983938</v>
      </c>
      <c r="I57"/>
    </row>
    <row r="58" spans="1:9" x14ac:dyDescent="0.3">
      <c r="A58" s="7" t="s">
        <v>11</v>
      </c>
      <c r="B58" s="8" t="s">
        <v>14</v>
      </c>
      <c r="C58" s="8" t="s">
        <v>22</v>
      </c>
      <c r="D58" s="8" t="s">
        <v>4</v>
      </c>
      <c r="E58" s="8" t="s">
        <v>5</v>
      </c>
      <c r="F58" s="13">
        <v>57.927031081453606</v>
      </c>
      <c r="G58" s="12">
        <v>888600.64695231325</v>
      </c>
      <c r="I58"/>
    </row>
    <row r="59" spans="1:9" x14ac:dyDescent="0.3">
      <c r="A59" s="7" t="s">
        <v>6</v>
      </c>
      <c r="B59" s="8" t="s">
        <v>14</v>
      </c>
      <c r="C59" s="8" t="s">
        <v>18</v>
      </c>
      <c r="D59" s="8" t="s">
        <v>7</v>
      </c>
      <c r="E59" s="8" t="s">
        <v>8</v>
      </c>
      <c r="F59" s="13">
        <v>722.36762485081272</v>
      </c>
      <c r="G59" s="12">
        <v>750854.50539537484</v>
      </c>
      <c r="I59"/>
    </row>
    <row r="60" spans="1:9" x14ac:dyDescent="0.3">
      <c r="A60" s="7" t="s">
        <v>1</v>
      </c>
      <c r="B60" s="8" t="s">
        <v>14</v>
      </c>
      <c r="C60" s="8" t="s">
        <v>23</v>
      </c>
      <c r="D60" s="8" t="s">
        <v>4</v>
      </c>
      <c r="E60" s="8" t="s">
        <v>10</v>
      </c>
      <c r="F60" s="13">
        <v>26.863821343431482</v>
      </c>
      <c r="G60" s="12">
        <v>918931.85635126429</v>
      </c>
      <c r="I60"/>
    </row>
    <row r="61" spans="1:9" x14ac:dyDescent="0.3">
      <c r="A61" s="7" t="s">
        <v>1</v>
      </c>
      <c r="B61" s="8" t="s">
        <v>14</v>
      </c>
      <c r="C61" s="8" t="s">
        <v>24</v>
      </c>
      <c r="D61" s="8" t="s">
        <v>12</v>
      </c>
      <c r="E61" s="8" t="s">
        <v>13</v>
      </c>
      <c r="F61" s="13">
        <v>413.26076275755952</v>
      </c>
      <c r="G61" s="12">
        <v>282020.48174989613</v>
      </c>
      <c r="I61"/>
    </row>
    <row r="62" spans="1:9" x14ac:dyDescent="0.3">
      <c r="A62" s="7" t="s">
        <v>1</v>
      </c>
      <c r="B62" s="8" t="s">
        <v>2</v>
      </c>
      <c r="C62" s="8" t="s">
        <v>21</v>
      </c>
      <c r="D62" s="8" t="s">
        <v>12</v>
      </c>
      <c r="E62" s="8" t="s">
        <v>16</v>
      </c>
      <c r="F62" s="13">
        <v>982.49628278517775</v>
      </c>
      <c r="G62" s="12">
        <v>28005.135742205312</v>
      </c>
      <c r="I62"/>
    </row>
    <row r="63" spans="1:9" x14ac:dyDescent="0.3">
      <c r="A63" s="7" t="s">
        <v>9</v>
      </c>
      <c r="B63" s="8" t="s">
        <v>14</v>
      </c>
      <c r="C63" s="8" t="s">
        <v>18</v>
      </c>
      <c r="D63" s="8" t="s">
        <v>4</v>
      </c>
      <c r="E63" s="8" t="s">
        <v>5</v>
      </c>
      <c r="F63" s="13">
        <v>163.86612210189924</v>
      </c>
      <c r="G63" s="12">
        <v>680038.4320743219</v>
      </c>
      <c r="I63"/>
    </row>
    <row r="64" spans="1:9" x14ac:dyDescent="0.3">
      <c r="A64" s="7" t="s">
        <v>6</v>
      </c>
      <c r="B64" s="8" t="s">
        <v>14</v>
      </c>
      <c r="C64" s="8" t="s">
        <v>23</v>
      </c>
      <c r="D64" s="8" t="s">
        <v>7</v>
      </c>
      <c r="E64" s="8" t="s">
        <v>8</v>
      </c>
      <c r="F64" s="13">
        <v>105.45613227350259</v>
      </c>
      <c r="G64" s="12">
        <v>453315.50244478422</v>
      </c>
      <c r="I64"/>
    </row>
    <row r="65" spans="1:9" x14ac:dyDescent="0.3">
      <c r="A65" s="7" t="s">
        <v>6</v>
      </c>
      <c r="B65" s="8" t="s">
        <v>14</v>
      </c>
      <c r="C65" s="8" t="s">
        <v>24</v>
      </c>
      <c r="D65" s="8" t="s">
        <v>4</v>
      </c>
      <c r="E65" s="8" t="s">
        <v>10</v>
      </c>
      <c r="F65" s="13">
        <v>81.489139670338773</v>
      </c>
      <c r="G65" s="12">
        <v>816478.51804683346</v>
      </c>
      <c r="I65"/>
    </row>
    <row r="66" spans="1:9" x14ac:dyDescent="0.3">
      <c r="A66" s="7" t="s">
        <v>6</v>
      </c>
      <c r="B66" s="8" t="s">
        <v>2</v>
      </c>
      <c r="C66" s="8" t="s">
        <v>21</v>
      </c>
      <c r="D66" s="8" t="s">
        <v>12</v>
      </c>
      <c r="E66" s="8" t="s">
        <v>13</v>
      </c>
      <c r="F66" s="13">
        <v>907.90291976463777</v>
      </c>
      <c r="G66" s="12">
        <v>133805.00036430021</v>
      </c>
      <c r="I66"/>
    </row>
    <row r="67" spans="1:9" x14ac:dyDescent="0.3">
      <c r="A67" s="7" t="s">
        <v>11</v>
      </c>
      <c r="B67" s="8" t="s">
        <v>14</v>
      </c>
      <c r="C67" s="8" t="s">
        <v>18</v>
      </c>
      <c r="D67" s="8" t="s">
        <v>12</v>
      </c>
      <c r="E67" s="8" t="s">
        <v>16</v>
      </c>
      <c r="F67" s="13">
        <v>805.5702462719637</v>
      </c>
      <c r="G67" s="12">
        <v>837253.18574601447</v>
      </c>
      <c r="I67"/>
    </row>
    <row r="68" spans="1:9" x14ac:dyDescent="0.3">
      <c r="A68" s="7" t="s">
        <v>9</v>
      </c>
      <c r="B68" s="8" t="s">
        <v>14</v>
      </c>
      <c r="C68" s="8" t="s">
        <v>23</v>
      </c>
      <c r="D68" s="8" t="s">
        <v>7</v>
      </c>
      <c r="E68" s="8" t="s">
        <v>17</v>
      </c>
      <c r="F68" s="13">
        <v>189.87100121285039</v>
      </c>
      <c r="G68" s="12">
        <v>469875.08220069157</v>
      </c>
      <c r="I68"/>
    </row>
    <row r="69" spans="1:9" x14ac:dyDescent="0.3">
      <c r="A69" s="7" t="s">
        <v>9</v>
      </c>
      <c r="B69" s="8" t="s">
        <v>14</v>
      </c>
      <c r="C69" s="8" t="s">
        <v>24</v>
      </c>
      <c r="D69" s="8" t="s">
        <v>4</v>
      </c>
      <c r="E69" s="8" t="s">
        <v>5</v>
      </c>
      <c r="F69" s="13">
        <v>290.38165211295563</v>
      </c>
      <c r="G69" s="12">
        <v>201961.13536192762</v>
      </c>
      <c r="I69"/>
    </row>
    <row r="70" spans="1:9" x14ac:dyDescent="0.3">
      <c r="A70" s="7" t="s">
        <v>9</v>
      </c>
      <c r="B70" s="8" t="s">
        <v>2</v>
      </c>
      <c r="C70" s="8" t="s">
        <v>21</v>
      </c>
      <c r="D70" s="8" t="s">
        <v>7</v>
      </c>
      <c r="E70" s="8" t="s">
        <v>8</v>
      </c>
      <c r="F70" s="13">
        <v>800.82439582565712</v>
      </c>
      <c r="G70" s="12">
        <v>206998.4692279115</v>
      </c>
      <c r="I70"/>
    </row>
    <row r="71" spans="1:9" x14ac:dyDescent="0.3">
      <c r="A71" s="7" t="s">
        <v>1</v>
      </c>
      <c r="B71" s="8" t="s">
        <v>14</v>
      </c>
      <c r="C71" s="8" t="s">
        <v>25</v>
      </c>
      <c r="D71" s="8" t="s">
        <v>4</v>
      </c>
      <c r="E71" s="8" t="s">
        <v>10</v>
      </c>
      <c r="F71" s="13">
        <v>177.61530702991877</v>
      </c>
      <c r="G71" s="12">
        <v>525771.774048917</v>
      </c>
      <c r="I71"/>
    </row>
    <row r="72" spans="1:9" x14ac:dyDescent="0.3">
      <c r="A72" s="7" t="s">
        <v>1</v>
      </c>
      <c r="B72" s="8" t="s">
        <v>2</v>
      </c>
      <c r="C72" s="8" t="s">
        <v>26</v>
      </c>
      <c r="D72" s="8" t="s">
        <v>4</v>
      </c>
      <c r="E72" s="8" t="s">
        <v>5</v>
      </c>
      <c r="F72" s="13">
        <v>101.97998066832952</v>
      </c>
      <c r="G72" s="12">
        <v>519357.31389385182</v>
      </c>
      <c r="I72"/>
    </row>
    <row r="73" spans="1:9" x14ac:dyDescent="0.3">
      <c r="A73" s="7" t="s">
        <v>1</v>
      </c>
      <c r="B73" s="8" t="s">
        <v>14</v>
      </c>
      <c r="C73" s="8" t="s">
        <v>23</v>
      </c>
      <c r="D73" s="8" t="s">
        <v>7</v>
      </c>
      <c r="E73" s="8" t="s">
        <v>8</v>
      </c>
      <c r="F73" s="13">
        <v>12.725981163384859</v>
      </c>
      <c r="G73" s="12">
        <v>296079.49989731424</v>
      </c>
      <c r="I73"/>
    </row>
    <row r="74" spans="1:9" x14ac:dyDescent="0.3">
      <c r="A74" s="7" t="s">
        <v>1</v>
      </c>
      <c r="B74" s="8" t="s">
        <v>14</v>
      </c>
      <c r="C74" s="8" t="s">
        <v>15</v>
      </c>
      <c r="D74" s="8" t="s">
        <v>4</v>
      </c>
      <c r="E74" s="8" t="s">
        <v>10</v>
      </c>
      <c r="F74" s="13">
        <v>336.35993757561664</v>
      </c>
      <c r="G74" s="12">
        <v>705391.98307888</v>
      </c>
      <c r="I74"/>
    </row>
    <row r="75" spans="1:9" x14ac:dyDescent="0.3">
      <c r="A75" s="7" t="s">
        <v>11</v>
      </c>
      <c r="B75" s="8" t="s">
        <v>14</v>
      </c>
      <c r="C75" s="8" t="s">
        <v>23</v>
      </c>
      <c r="D75" s="8" t="s">
        <v>12</v>
      </c>
      <c r="E75" s="8" t="s">
        <v>13</v>
      </c>
      <c r="F75" s="13">
        <v>28.624011157080531</v>
      </c>
      <c r="G75" s="12">
        <v>132810.85623667584</v>
      </c>
      <c r="I75"/>
    </row>
    <row r="76" spans="1:9" x14ac:dyDescent="0.3">
      <c r="A76" s="7" t="s">
        <v>11</v>
      </c>
      <c r="B76" s="8" t="s">
        <v>14</v>
      </c>
      <c r="C76" s="8" t="s">
        <v>24</v>
      </c>
      <c r="D76" s="8" t="s">
        <v>12</v>
      </c>
      <c r="E76" s="8" t="s">
        <v>16</v>
      </c>
      <c r="F76" s="13">
        <v>147.39272240103674</v>
      </c>
      <c r="G76" s="12">
        <v>247494.40000819773</v>
      </c>
      <c r="I76"/>
    </row>
    <row r="77" spans="1:9" x14ac:dyDescent="0.3">
      <c r="A77" s="7" t="s">
        <v>11</v>
      </c>
      <c r="B77" s="8" t="s">
        <v>2</v>
      </c>
      <c r="C77" s="8" t="s">
        <v>21</v>
      </c>
      <c r="D77" s="8" t="s">
        <v>7</v>
      </c>
      <c r="E77" s="8" t="s">
        <v>17</v>
      </c>
      <c r="F77" s="13">
        <v>116.54718001409492</v>
      </c>
      <c r="G77" s="12">
        <v>702400.71915494872</v>
      </c>
      <c r="I77"/>
    </row>
    <row r="78" spans="1:9" x14ac:dyDescent="0.3">
      <c r="A78" s="7" t="s">
        <v>6</v>
      </c>
      <c r="B78" s="8" t="s">
        <v>14</v>
      </c>
      <c r="C78" s="8" t="s">
        <v>25</v>
      </c>
      <c r="D78" s="8" t="s">
        <v>4</v>
      </c>
      <c r="E78" s="8" t="s">
        <v>5</v>
      </c>
      <c r="F78" s="13">
        <v>30.35667945696332</v>
      </c>
      <c r="G78" s="12">
        <v>125464.03721292882</v>
      </c>
      <c r="I78"/>
    </row>
    <row r="79" spans="1:9" x14ac:dyDescent="0.3">
      <c r="A79" s="7" t="s">
        <v>6</v>
      </c>
      <c r="B79" s="8" t="s">
        <v>2</v>
      </c>
      <c r="C79" s="8" t="s">
        <v>26</v>
      </c>
      <c r="D79" s="8" t="s">
        <v>7</v>
      </c>
      <c r="E79" s="8" t="s">
        <v>8</v>
      </c>
      <c r="F79" s="13">
        <v>392.46177007589722</v>
      </c>
      <c r="G79" s="12">
        <v>703338.9723693399</v>
      </c>
      <c r="I79"/>
    </row>
    <row r="80" spans="1:9" x14ac:dyDescent="0.3">
      <c r="A80" s="7" t="s">
        <v>6</v>
      </c>
      <c r="B80" s="8" t="s">
        <v>14</v>
      </c>
      <c r="C80" s="8" t="s">
        <v>23</v>
      </c>
      <c r="D80" s="8" t="s">
        <v>4</v>
      </c>
      <c r="E80" s="8" t="s">
        <v>10</v>
      </c>
      <c r="F80" s="13">
        <v>23.213633309569559</v>
      </c>
      <c r="G80" s="12">
        <v>373179.64487495919</v>
      </c>
      <c r="I80"/>
    </row>
    <row r="81" spans="1:9" x14ac:dyDescent="0.3">
      <c r="A81" s="7" t="s">
        <v>6</v>
      </c>
      <c r="B81" s="8" t="s">
        <v>14</v>
      </c>
      <c r="C81" s="8" t="s">
        <v>15</v>
      </c>
      <c r="D81" s="8" t="s">
        <v>12</v>
      </c>
      <c r="E81" s="8" t="s">
        <v>13</v>
      </c>
      <c r="F81" s="13">
        <v>329.25612837861991</v>
      </c>
      <c r="G81" s="12">
        <v>677345.4455898609</v>
      </c>
      <c r="I81"/>
    </row>
    <row r="82" spans="1:9" x14ac:dyDescent="0.3">
      <c r="A82" s="7" t="s">
        <v>9</v>
      </c>
      <c r="B82" s="8" t="s">
        <v>14</v>
      </c>
      <c r="C82" s="8" t="s">
        <v>25</v>
      </c>
      <c r="D82" s="8" t="s">
        <v>12</v>
      </c>
      <c r="E82" s="8" t="s">
        <v>16</v>
      </c>
      <c r="F82" s="13">
        <v>220.98991156417469</v>
      </c>
      <c r="G82" s="12">
        <v>626069.29195154307</v>
      </c>
      <c r="I82"/>
    </row>
    <row r="83" spans="1:9" x14ac:dyDescent="0.3">
      <c r="A83" s="7" t="s">
        <v>9</v>
      </c>
      <c r="B83" s="8" t="s">
        <v>2</v>
      </c>
      <c r="C83" s="8" t="s">
        <v>26</v>
      </c>
      <c r="D83" s="8" t="s">
        <v>7</v>
      </c>
      <c r="E83" s="8" t="s">
        <v>17</v>
      </c>
      <c r="F83" s="13">
        <v>283.09740287077148</v>
      </c>
      <c r="G83" s="12">
        <v>139318.37171424486</v>
      </c>
      <c r="I83"/>
    </row>
    <row r="84" spans="1:9" x14ac:dyDescent="0.3">
      <c r="A84" s="7" t="s">
        <v>9</v>
      </c>
      <c r="B84" s="8" t="s">
        <v>14</v>
      </c>
      <c r="C84" s="8" t="s">
        <v>23</v>
      </c>
      <c r="D84" s="8" t="s">
        <v>4</v>
      </c>
      <c r="E84" s="8" t="s">
        <v>5</v>
      </c>
      <c r="F84" s="13">
        <v>171.39973201956309</v>
      </c>
      <c r="G84" s="12">
        <v>533723.18945506681</v>
      </c>
      <c r="I84"/>
    </row>
    <row r="85" spans="1:9" x14ac:dyDescent="0.3">
      <c r="A85" s="7" t="s">
        <v>9</v>
      </c>
      <c r="B85" s="8" t="s">
        <v>14</v>
      </c>
      <c r="C85" s="8" t="s">
        <v>15</v>
      </c>
      <c r="D85" s="8" t="s">
        <v>7</v>
      </c>
      <c r="E85" s="8" t="s">
        <v>8</v>
      </c>
      <c r="F85" s="13">
        <v>652.97896883130306</v>
      </c>
      <c r="G85" s="12">
        <v>598850.37870244146</v>
      </c>
      <c r="I85"/>
    </row>
    <row r="86" spans="1:9" x14ac:dyDescent="0.3">
      <c r="A86" s="7" t="s">
        <v>11</v>
      </c>
      <c r="B86" s="8" t="s">
        <v>14</v>
      </c>
      <c r="C86" s="8" t="s">
        <v>25</v>
      </c>
      <c r="D86" s="8" t="s">
        <v>4</v>
      </c>
      <c r="E86" s="8" t="s">
        <v>10</v>
      </c>
      <c r="F86" s="13">
        <v>330.6354447373451</v>
      </c>
      <c r="G86" s="12">
        <v>529730.66035374894</v>
      </c>
      <c r="I86"/>
    </row>
    <row r="87" spans="1:9" x14ac:dyDescent="0.3">
      <c r="A87" s="7" t="s">
        <v>11</v>
      </c>
      <c r="B87" s="8" t="s">
        <v>2</v>
      </c>
      <c r="C87" s="8" t="s">
        <v>26</v>
      </c>
      <c r="D87" s="8" t="s">
        <v>4</v>
      </c>
      <c r="E87" s="8" t="s">
        <v>5</v>
      </c>
      <c r="F87" s="13">
        <v>379.67275728442473</v>
      </c>
      <c r="G87" s="12">
        <v>323088.24763647118</v>
      </c>
      <c r="I87"/>
    </row>
    <row r="88" spans="1:9" x14ac:dyDescent="0.3">
      <c r="A88" s="7" t="s">
        <v>11</v>
      </c>
      <c r="B88" s="8" t="s">
        <v>14</v>
      </c>
      <c r="C88" s="8" t="s">
        <v>23</v>
      </c>
      <c r="D88" s="8" t="s">
        <v>7</v>
      </c>
      <c r="E88" s="8" t="s">
        <v>8</v>
      </c>
      <c r="F88" s="13">
        <v>254.23312321036065</v>
      </c>
      <c r="G88" s="12">
        <v>417130.49446437543</v>
      </c>
      <c r="I88"/>
    </row>
    <row r="89" spans="1:9" x14ac:dyDescent="0.3">
      <c r="A89" s="7" t="s">
        <v>11</v>
      </c>
      <c r="B89" s="8" t="s">
        <v>14</v>
      </c>
      <c r="C89" s="8" t="s">
        <v>15</v>
      </c>
      <c r="D89" s="8" t="s">
        <v>4</v>
      </c>
      <c r="E89" s="8" t="s">
        <v>10</v>
      </c>
      <c r="F89" s="13">
        <v>576.94293489184929</v>
      </c>
      <c r="G89" s="12">
        <v>253986.55842813425</v>
      </c>
      <c r="I89"/>
    </row>
    <row r="90" spans="1:9" x14ac:dyDescent="0.3">
      <c r="A90" s="7" t="s">
        <v>1</v>
      </c>
      <c r="B90" s="8" t="s">
        <v>27</v>
      </c>
      <c r="C90" s="8" t="s">
        <v>28</v>
      </c>
      <c r="D90" s="8" t="s">
        <v>12</v>
      </c>
      <c r="E90" s="8" t="s">
        <v>13</v>
      </c>
      <c r="F90" s="13">
        <v>46.523496955433075</v>
      </c>
      <c r="G90" s="12">
        <v>383484.32372185925</v>
      </c>
      <c r="I90"/>
    </row>
    <row r="91" spans="1:9" x14ac:dyDescent="0.3">
      <c r="A91" s="7" t="s">
        <v>1</v>
      </c>
      <c r="B91" s="8" t="s">
        <v>27</v>
      </c>
      <c r="C91" s="8" t="s">
        <v>29</v>
      </c>
      <c r="D91" s="8" t="s">
        <v>4</v>
      </c>
      <c r="E91" s="8" t="s">
        <v>5</v>
      </c>
      <c r="F91" s="13">
        <v>76.276275342388544</v>
      </c>
      <c r="G91" s="12">
        <v>488211.82220444828</v>
      </c>
      <c r="I91"/>
    </row>
    <row r="92" spans="1:9" x14ac:dyDescent="0.3">
      <c r="A92" s="7" t="s">
        <v>1</v>
      </c>
      <c r="B92" s="8" t="s">
        <v>14</v>
      </c>
      <c r="C92" s="8" t="s">
        <v>23</v>
      </c>
      <c r="D92" s="8" t="s">
        <v>7</v>
      </c>
      <c r="E92" s="8" t="s">
        <v>8</v>
      </c>
      <c r="F92" s="13">
        <v>217.39321656923494</v>
      </c>
      <c r="G92" s="12">
        <v>421413.45178879419</v>
      </c>
      <c r="I92"/>
    </row>
    <row r="93" spans="1:9" x14ac:dyDescent="0.3">
      <c r="A93" s="7" t="s">
        <v>1</v>
      </c>
      <c r="B93" s="8" t="s">
        <v>14</v>
      </c>
      <c r="C93" s="8" t="s">
        <v>30</v>
      </c>
      <c r="D93" s="8" t="s">
        <v>4</v>
      </c>
      <c r="E93" s="8" t="s">
        <v>10</v>
      </c>
      <c r="F93" s="13">
        <v>330.345462153673</v>
      </c>
      <c r="G93" s="12">
        <v>323706.49020276684</v>
      </c>
      <c r="I93"/>
    </row>
    <row r="94" spans="1:9" x14ac:dyDescent="0.3">
      <c r="A94" s="7" t="s">
        <v>6</v>
      </c>
      <c r="B94" s="8" t="s">
        <v>27</v>
      </c>
      <c r="C94" s="8" t="s">
        <v>28</v>
      </c>
      <c r="D94" s="8" t="s">
        <v>12</v>
      </c>
      <c r="E94" s="8" t="s">
        <v>13</v>
      </c>
      <c r="F94" s="13">
        <v>29.941865511227661</v>
      </c>
      <c r="G94" s="12">
        <v>430988.68933393533</v>
      </c>
      <c r="I94"/>
    </row>
    <row r="95" spans="1:9" x14ac:dyDescent="0.3">
      <c r="A95" s="7" t="s">
        <v>6</v>
      </c>
      <c r="B95" s="8" t="s">
        <v>27</v>
      </c>
      <c r="C95" s="8" t="s">
        <v>29</v>
      </c>
      <c r="D95" s="8" t="s">
        <v>12</v>
      </c>
      <c r="E95" s="8" t="s">
        <v>16</v>
      </c>
      <c r="F95" s="13">
        <v>16.201826536052977</v>
      </c>
      <c r="G95" s="12">
        <v>256153.60577383853</v>
      </c>
      <c r="I95"/>
    </row>
    <row r="96" spans="1:9" x14ac:dyDescent="0.3">
      <c r="A96" s="7" t="s">
        <v>6</v>
      </c>
      <c r="B96" s="8" t="s">
        <v>14</v>
      </c>
      <c r="C96" s="8" t="s">
        <v>23</v>
      </c>
      <c r="D96" s="8" t="s">
        <v>4</v>
      </c>
      <c r="E96" s="8" t="s">
        <v>5</v>
      </c>
      <c r="F96" s="13">
        <v>263.44117662256394</v>
      </c>
      <c r="G96" s="12">
        <v>411122.26199477847</v>
      </c>
      <c r="I96"/>
    </row>
    <row r="97" spans="1:9" x14ac:dyDescent="0.3">
      <c r="A97" s="7" t="s">
        <v>6</v>
      </c>
      <c r="B97" s="8" t="s">
        <v>14</v>
      </c>
      <c r="C97" s="8" t="s">
        <v>30</v>
      </c>
      <c r="D97" s="8" t="s">
        <v>7</v>
      </c>
      <c r="E97" s="8" t="s">
        <v>8</v>
      </c>
      <c r="F97" s="13">
        <v>307.470057545288</v>
      </c>
      <c r="G97" s="12">
        <v>173719.82981899235</v>
      </c>
      <c r="I97"/>
    </row>
    <row r="98" spans="1:9" x14ac:dyDescent="0.3">
      <c r="A98" s="7" t="s">
        <v>1</v>
      </c>
      <c r="B98" s="8" t="s">
        <v>2</v>
      </c>
      <c r="C98" s="8" t="s">
        <v>31</v>
      </c>
      <c r="D98" s="8" t="s">
        <v>4</v>
      </c>
      <c r="E98" s="8" t="s">
        <v>10</v>
      </c>
      <c r="F98" s="13">
        <v>122.98515754328037</v>
      </c>
      <c r="G98" s="12">
        <v>40077.763234194208</v>
      </c>
      <c r="I98"/>
    </row>
    <row r="99" spans="1:9" x14ac:dyDescent="0.3">
      <c r="A99" s="7" t="s">
        <v>9</v>
      </c>
      <c r="B99" s="8" t="s">
        <v>27</v>
      </c>
      <c r="C99" s="8" t="s">
        <v>28</v>
      </c>
      <c r="D99" s="8" t="s">
        <v>12</v>
      </c>
      <c r="E99" s="8" t="s">
        <v>13</v>
      </c>
      <c r="F99" s="13">
        <v>54.988825889631698</v>
      </c>
      <c r="G99" s="12">
        <v>359522.80259248184</v>
      </c>
      <c r="I99"/>
    </row>
    <row r="100" spans="1:9" x14ac:dyDescent="0.3">
      <c r="A100" s="7" t="s">
        <v>9</v>
      </c>
      <c r="B100" s="8" t="s">
        <v>27</v>
      </c>
      <c r="C100" s="8" t="s">
        <v>29</v>
      </c>
      <c r="D100" s="8" t="s">
        <v>12</v>
      </c>
      <c r="E100" s="8" t="s">
        <v>16</v>
      </c>
      <c r="F100" s="13">
        <v>61.048989469963999</v>
      </c>
      <c r="G100" s="12">
        <v>324152.98962565605</v>
      </c>
      <c r="I100"/>
    </row>
    <row r="101" spans="1:9" x14ac:dyDescent="0.3">
      <c r="A101" s="7" t="s">
        <v>9</v>
      </c>
      <c r="B101" s="8" t="s">
        <v>14</v>
      </c>
      <c r="C101" s="8" t="s">
        <v>23</v>
      </c>
      <c r="D101" s="8" t="s">
        <v>4</v>
      </c>
      <c r="E101" s="8" t="s">
        <v>5</v>
      </c>
      <c r="F101" s="13">
        <v>422.21277151156755</v>
      </c>
      <c r="G101" s="12">
        <v>82345.258794730631</v>
      </c>
      <c r="I101"/>
    </row>
    <row r="102" spans="1:9" x14ac:dyDescent="0.3">
      <c r="A102" s="7" t="s">
        <v>9</v>
      </c>
      <c r="B102" s="8" t="s">
        <v>14</v>
      </c>
      <c r="C102" s="8" t="s">
        <v>30</v>
      </c>
      <c r="D102" s="8" t="s">
        <v>7</v>
      </c>
      <c r="E102" s="8" t="s">
        <v>8</v>
      </c>
      <c r="F102" s="13">
        <v>94.500556653656531</v>
      </c>
      <c r="G102" s="12">
        <v>229183.2825934538</v>
      </c>
      <c r="I102"/>
    </row>
    <row r="103" spans="1:9" x14ac:dyDescent="0.3">
      <c r="A103" s="7" t="s">
        <v>6</v>
      </c>
      <c r="B103" s="8" t="s">
        <v>2</v>
      </c>
      <c r="C103" s="8" t="s">
        <v>31</v>
      </c>
      <c r="D103" s="8" t="s">
        <v>4</v>
      </c>
      <c r="E103" s="8" t="s">
        <v>10</v>
      </c>
      <c r="F103" s="13">
        <v>212.4193831968114</v>
      </c>
      <c r="G103" s="12">
        <v>40809.71344934596</v>
      </c>
      <c r="I103"/>
    </row>
    <row r="104" spans="1:9" x14ac:dyDescent="0.3">
      <c r="A104" s="7" t="s">
        <v>1</v>
      </c>
      <c r="B104" s="8" t="s">
        <v>14</v>
      </c>
      <c r="C104" s="8" t="s">
        <v>32</v>
      </c>
      <c r="D104" s="8" t="s">
        <v>12</v>
      </c>
      <c r="E104" s="8" t="s">
        <v>13</v>
      </c>
      <c r="F104" s="13">
        <v>575.91750187129946</v>
      </c>
      <c r="G104" s="12">
        <v>276356.50192896719</v>
      </c>
      <c r="I104"/>
    </row>
    <row r="105" spans="1:9" x14ac:dyDescent="0.3">
      <c r="A105" s="7" t="s">
        <v>1</v>
      </c>
      <c r="B105" s="8" t="s">
        <v>33</v>
      </c>
      <c r="C105" s="8" t="s">
        <v>34</v>
      </c>
      <c r="D105" s="8" t="s">
        <v>12</v>
      </c>
      <c r="E105" s="8" t="s">
        <v>16</v>
      </c>
      <c r="F105" s="13">
        <v>177.01783755419456</v>
      </c>
      <c r="G105" s="12">
        <v>329175.22353563982</v>
      </c>
      <c r="I105"/>
    </row>
    <row r="106" spans="1:9" x14ac:dyDescent="0.3">
      <c r="A106" s="7" t="s">
        <v>1</v>
      </c>
      <c r="B106" s="8" t="s">
        <v>2</v>
      </c>
      <c r="C106" s="8" t="s">
        <v>31</v>
      </c>
      <c r="D106" s="8" t="s">
        <v>7</v>
      </c>
      <c r="E106" s="8" t="s">
        <v>17</v>
      </c>
      <c r="F106" s="13">
        <v>139.53285026727826</v>
      </c>
      <c r="G106" s="12">
        <v>217209.40443628933</v>
      </c>
      <c r="I106"/>
    </row>
    <row r="107" spans="1:9" x14ac:dyDescent="0.3">
      <c r="A107" s="7" t="s">
        <v>1</v>
      </c>
      <c r="B107" s="8" t="s">
        <v>33</v>
      </c>
      <c r="C107" s="8" t="s">
        <v>35</v>
      </c>
      <c r="D107" s="8" t="s">
        <v>4</v>
      </c>
      <c r="E107" s="8" t="s">
        <v>5</v>
      </c>
      <c r="F107" s="13">
        <v>106.12959060945286</v>
      </c>
      <c r="G107" s="12">
        <v>222929.19116844132</v>
      </c>
      <c r="I107"/>
    </row>
    <row r="108" spans="1:9" x14ac:dyDescent="0.3">
      <c r="A108" s="7" t="s">
        <v>11</v>
      </c>
      <c r="B108" s="8" t="s">
        <v>27</v>
      </c>
      <c r="C108" s="8" t="s">
        <v>28</v>
      </c>
      <c r="D108" s="8" t="s">
        <v>7</v>
      </c>
      <c r="E108" s="8" t="s">
        <v>8</v>
      </c>
      <c r="F108" s="13">
        <v>73.665218295172963</v>
      </c>
      <c r="G108" s="12">
        <v>1171135.2772554001</v>
      </c>
      <c r="I108"/>
    </row>
    <row r="109" spans="1:9" x14ac:dyDescent="0.3">
      <c r="A109" s="7" t="s">
        <v>11</v>
      </c>
      <c r="B109" s="8" t="s">
        <v>27</v>
      </c>
      <c r="C109" s="8" t="s">
        <v>29</v>
      </c>
      <c r="D109" s="8" t="s">
        <v>4</v>
      </c>
      <c r="E109" s="8" t="s">
        <v>10</v>
      </c>
      <c r="F109" s="13">
        <v>59.529240711071907</v>
      </c>
      <c r="G109" s="12">
        <v>210217.97371528574</v>
      </c>
      <c r="I109"/>
    </row>
    <row r="110" spans="1:9" x14ac:dyDescent="0.3">
      <c r="A110" s="7" t="s">
        <v>11</v>
      </c>
      <c r="B110" s="8" t="s">
        <v>14</v>
      </c>
      <c r="C110" s="8" t="s">
        <v>23</v>
      </c>
      <c r="D110" s="8" t="s">
        <v>4</v>
      </c>
      <c r="E110" s="8" t="s">
        <v>5</v>
      </c>
      <c r="F110" s="13">
        <v>476.73021499576862</v>
      </c>
      <c r="G110" s="12">
        <v>41029.977634194998</v>
      </c>
      <c r="I110"/>
    </row>
    <row r="111" spans="1:9" x14ac:dyDescent="0.3">
      <c r="A111" s="7" t="s">
        <v>11</v>
      </c>
      <c r="B111" s="8" t="s">
        <v>14</v>
      </c>
      <c r="C111" s="8" t="s">
        <v>30</v>
      </c>
      <c r="D111" s="8" t="s">
        <v>7</v>
      </c>
      <c r="E111" s="8" t="s">
        <v>8</v>
      </c>
      <c r="F111" s="13">
        <v>232.6374459348699</v>
      </c>
      <c r="G111" s="12">
        <v>174394.95804058734</v>
      </c>
      <c r="I111"/>
    </row>
    <row r="112" spans="1:9" x14ac:dyDescent="0.3">
      <c r="A112" s="7" t="s">
        <v>9</v>
      </c>
      <c r="B112" s="8" t="s">
        <v>2</v>
      </c>
      <c r="C112" s="8" t="s">
        <v>31</v>
      </c>
      <c r="D112" s="8" t="s">
        <v>4</v>
      </c>
      <c r="E112" s="8" t="s">
        <v>10</v>
      </c>
      <c r="F112" s="13">
        <v>329.16570545075956</v>
      </c>
      <c r="G112" s="12">
        <v>368511.07151175069</v>
      </c>
      <c r="I112"/>
    </row>
    <row r="113" spans="1:9" x14ac:dyDescent="0.3">
      <c r="A113" s="7" t="s">
        <v>6</v>
      </c>
      <c r="B113" s="8" t="s">
        <v>14</v>
      </c>
      <c r="C113" s="8" t="s">
        <v>32</v>
      </c>
      <c r="D113" s="8" t="s">
        <v>12</v>
      </c>
      <c r="E113" s="8" t="s">
        <v>13</v>
      </c>
      <c r="F113" s="13">
        <v>342.68699305685004</v>
      </c>
      <c r="G113" s="12">
        <v>166721.64488449198</v>
      </c>
      <c r="I113"/>
    </row>
    <row r="114" spans="1:9" x14ac:dyDescent="0.3">
      <c r="A114" s="7" t="s">
        <v>6</v>
      </c>
      <c r="B114" s="8" t="s">
        <v>33</v>
      </c>
      <c r="C114" s="8" t="s">
        <v>34</v>
      </c>
      <c r="D114" s="8" t="s">
        <v>12</v>
      </c>
      <c r="E114" s="8" t="s">
        <v>16</v>
      </c>
      <c r="F114" s="13">
        <v>94.222921329674136</v>
      </c>
      <c r="G114" s="12">
        <v>88244.665501879354</v>
      </c>
      <c r="I114"/>
    </row>
    <row r="115" spans="1:9" x14ac:dyDescent="0.3">
      <c r="A115" s="7" t="s">
        <v>6</v>
      </c>
      <c r="B115" s="8" t="s">
        <v>2</v>
      </c>
      <c r="C115" s="8" t="s">
        <v>31</v>
      </c>
      <c r="D115" s="8" t="s">
        <v>7</v>
      </c>
      <c r="E115" s="8" t="s">
        <v>17</v>
      </c>
      <c r="F115" s="13">
        <v>125.92247391439741</v>
      </c>
      <c r="G115" s="12">
        <v>123950.0421754019</v>
      </c>
      <c r="I115"/>
    </row>
    <row r="116" spans="1:9" x14ac:dyDescent="0.3">
      <c r="A116" s="7" t="s">
        <v>6</v>
      </c>
      <c r="B116" s="8" t="s">
        <v>33</v>
      </c>
      <c r="C116" s="8" t="s">
        <v>35</v>
      </c>
      <c r="D116" s="8" t="s">
        <v>4</v>
      </c>
      <c r="E116" s="8" t="s">
        <v>5</v>
      </c>
      <c r="F116" s="13">
        <v>136.24125781261682</v>
      </c>
      <c r="G116" s="12">
        <v>155766.4570059278</v>
      </c>
      <c r="I116"/>
    </row>
    <row r="117" spans="1:9" x14ac:dyDescent="0.3">
      <c r="A117" s="7" t="s">
        <v>1</v>
      </c>
      <c r="B117" s="8" t="s">
        <v>14</v>
      </c>
      <c r="C117" s="8" t="s">
        <v>36</v>
      </c>
      <c r="D117" s="8" t="s">
        <v>7</v>
      </c>
      <c r="E117" s="8" t="s">
        <v>8</v>
      </c>
      <c r="F117" s="13">
        <v>301.83115659147006</v>
      </c>
      <c r="G117" s="12">
        <v>112875.65516417999</v>
      </c>
      <c r="I117"/>
    </row>
    <row r="118" spans="1:9" x14ac:dyDescent="0.3">
      <c r="A118" s="7" t="s">
        <v>11</v>
      </c>
      <c r="B118" s="8" t="s">
        <v>2</v>
      </c>
      <c r="C118" s="8" t="s">
        <v>31</v>
      </c>
      <c r="D118" s="8" t="s">
        <v>4</v>
      </c>
      <c r="E118" s="8" t="s">
        <v>10</v>
      </c>
      <c r="F118" s="13">
        <v>645.75350534769314</v>
      </c>
      <c r="G118" s="12">
        <v>110760.7366881549</v>
      </c>
      <c r="I118"/>
    </row>
    <row r="119" spans="1:9" x14ac:dyDescent="0.3">
      <c r="A119" s="7" t="s">
        <v>9</v>
      </c>
      <c r="B119" s="8" t="s">
        <v>14</v>
      </c>
      <c r="C119" s="8" t="s">
        <v>32</v>
      </c>
      <c r="D119" s="8" t="s">
        <v>12</v>
      </c>
      <c r="E119" s="8" t="s">
        <v>13</v>
      </c>
      <c r="F119" s="13">
        <v>318.61223345331382</v>
      </c>
      <c r="G119" s="12">
        <v>292160.71669190994</v>
      </c>
      <c r="I119"/>
    </row>
    <row r="120" spans="1:9" x14ac:dyDescent="0.3">
      <c r="A120" s="7" t="s">
        <v>9</v>
      </c>
      <c r="B120" s="8" t="s">
        <v>33</v>
      </c>
      <c r="C120" s="8" t="s">
        <v>34</v>
      </c>
      <c r="D120" s="8" t="s">
        <v>12</v>
      </c>
      <c r="E120" s="8" t="s">
        <v>16</v>
      </c>
      <c r="F120" s="13">
        <v>6.3361699605593458</v>
      </c>
      <c r="G120" s="12">
        <v>159533.85958096085</v>
      </c>
      <c r="I120"/>
    </row>
    <row r="121" spans="1:9" x14ac:dyDescent="0.3">
      <c r="A121" s="7" t="s">
        <v>9</v>
      </c>
      <c r="B121" s="8" t="s">
        <v>2</v>
      </c>
      <c r="C121" s="8" t="s">
        <v>31</v>
      </c>
      <c r="D121" s="8" t="s">
        <v>7</v>
      </c>
      <c r="E121" s="8" t="s">
        <v>17</v>
      </c>
      <c r="F121" s="13">
        <v>88.011990782069915</v>
      </c>
      <c r="G121" s="12">
        <v>238314.90321742426</v>
      </c>
      <c r="I121"/>
    </row>
    <row r="122" spans="1:9" x14ac:dyDescent="0.3">
      <c r="A122" s="7" t="s">
        <v>9</v>
      </c>
      <c r="B122" s="8" t="s">
        <v>33</v>
      </c>
      <c r="C122" s="8" t="s">
        <v>35</v>
      </c>
      <c r="D122" s="8" t="s">
        <v>4</v>
      </c>
      <c r="E122" s="8" t="s">
        <v>5</v>
      </c>
      <c r="F122" s="13">
        <v>111.00448630350002</v>
      </c>
      <c r="G122" s="12">
        <v>59769.39210562261</v>
      </c>
      <c r="I122"/>
    </row>
    <row r="123" spans="1:9" x14ac:dyDescent="0.3">
      <c r="A123" s="7" t="s">
        <v>6</v>
      </c>
      <c r="B123" s="8" t="s">
        <v>14</v>
      </c>
      <c r="C123" s="8" t="s">
        <v>36</v>
      </c>
      <c r="D123" s="8" t="s">
        <v>7</v>
      </c>
      <c r="E123" s="8" t="s">
        <v>8</v>
      </c>
      <c r="F123" s="13">
        <v>373.30983226156604</v>
      </c>
      <c r="G123" s="12">
        <v>8734.1203136988952</v>
      </c>
      <c r="I123"/>
    </row>
    <row r="124" spans="1:9" x14ac:dyDescent="0.3">
      <c r="A124" s="7" t="s">
        <v>11</v>
      </c>
      <c r="B124" s="8" t="s">
        <v>14</v>
      </c>
      <c r="C124" s="8" t="s">
        <v>32</v>
      </c>
      <c r="D124" s="8" t="s">
        <v>4</v>
      </c>
      <c r="E124" s="8" t="s">
        <v>10</v>
      </c>
      <c r="F124" s="13">
        <v>721.55269688519184</v>
      </c>
      <c r="G124" s="12">
        <v>272936.36747182265</v>
      </c>
      <c r="I124"/>
    </row>
    <row r="125" spans="1:9" x14ac:dyDescent="0.3">
      <c r="A125" s="7" t="s">
        <v>11</v>
      </c>
      <c r="B125" s="8" t="s">
        <v>33</v>
      </c>
      <c r="C125" s="8" t="s">
        <v>34</v>
      </c>
      <c r="D125" s="8" t="s">
        <v>4</v>
      </c>
      <c r="E125" s="8" t="s">
        <v>5</v>
      </c>
      <c r="F125" s="13">
        <v>138.10836525062768</v>
      </c>
      <c r="G125" s="12">
        <v>234544.54926819686</v>
      </c>
      <c r="I125"/>
    </row>
    <row r="126" spans="1:9" x14ac:dyDescent="0.3">
      <c r="A126" s="7" t="s">
        <v>11</v>
      </c>
      <c r="B126" s="8" t="s">
        <v>2</v>
      </c>
      <c r="C126" s="8" t="s">
        <v>31</v>
      </c>
      <c r="D126" s="8" t="s">
        <v>7</v>
      </c>
      <c r="E126" s="8" t="s">
        <v>8</v>
      </c>
      <c r="F126" s="13">
        <v>40.397509818649269</v>
      </c>
      <c r="G126" s="12">
        <v>299383.13318417175</v>
      </c>
      <c r="I126"/>
    </row>
    <row r="127" spans="1:9" x14ac:dyDescent="0.3">
      <c r="A127" s="7" t="s">
        <v>11</v>
      </c>
      <c r="B127" s="8" t="s">
        <v>33</v>
      </c>
      <c r="C127" s="8" t="s">
        <v>35</v>
      </c>
      <c r="D127" s="8" t="s">
        <v>4</v>
      </c>
      <c r="E127" s="8" t="s">
        <v>10</v>
      </c>
      <c r="F127" s="13">
        <v>49.510194843065847</v>
      </c>
      <c r="G127" s="12">
        <v>249084.65395819934</v>
      </c>
      <c r="I127"/>
    </row>
    <row r="128" spans="1:9" x14ac:dyDescent="0.3">
      <c r="A128" s="7" t="s">
        <v>1</v>
      </c>
      <c r="B128" s="8" t="s">
        <v>14</v>
      </c>
      <c r="C128" s="8" t="s">
        <v>32</v>
      </c>
      <c r="D128" s="8" t="s">
        <v>12</v>
      </c>
      <c r="E128" s="8" t="s">
        <v>13</v>
      </c>
      <c r="F128" s="13">
        <v>233.0976753001778</v>
      </c>
      <c r="G128" s="12">
        <v>141597.40907289233</v>
      </c>
      <c r="I128"/>
    </row>
    <row r="129" spans="1:9" x14ac:dyDescent="0.3">
      <c r="A129" s="7" t="s">
        <v>9</v>
      </c>
      <c r="B129" s="8" t="s">
        <v>14</v>
      </c>
      <c r="C129" s="8" t="s">
        <v>36</v>
      </c>
      <c r="D129" s="8" t="s">
        <v>4</v>
      </c>
      <c r="E129" s="8" t="s">
        <v>5</v>
      </c>
      <c r="F129" s="13">
        <v>434.50227272824122</v>
      </c>
      <c r="G129" s="12">
        <v>49834.617686217636</v>
      </c>
      <c r="I129"/>
    </row>
    <row r="130" spans="1:9" x14ac:dyDescent="0.3">
      <c r="A130" s="7" t="s">
        <v>6</v>
      </c>
      <c r="B130" s="8" t="s">
        <v>14</v>
      </c>
      <c r="C130" s="8" t="s">
        <v>32</v>
      </c>
      <c r="D130" s="8" t="s">
        <v>7</v>
      </c>
      <c r="E130" s="8" t="s">
        <v>8</v>
      </c>
      <c r="F130" s="13">
        <v>33.61191315261749</v>
      </c>
      <c r="G130" s="12">
        <v>139326.05389891978</v>
      </c>
      <c r="I130"/>
    </row>
    <row r="131" spans="1:9" x14ac:dyDescent="0.3">
      <c r="A131" s="7" t="s">
        <v>1</v>
      </c>
      <c r="B131" s="8" t="s">
        <v>14</v>
      </c>
      <c r="C131" s="8" t="s">
        <v>36</v>
      </c>
      <c r="D131" s="8" t="s">
        <v>4</v>
      </c>
      <c r="E131" s="8" t="s">
        <v>10</v>
      </c>
      <c r="F131" s="13">
        <v>6536.1558683784097</v>
      </c>
      <c r="G131" s="12">
        <v>46055.275568633806</v>
      </c>
      <c r="I131"/>
    </row>
    <row r="132" spans="1:9" x14ac:dyDescent="0.3">
      <c r="A132" s="7" t="s">
        <v>11</v>
      </c>
      <c r="B132" s="8" t="s">
        <v>14</v>
      </c>
      <c r="C132" s="8" t="s">
        <v>36</v>
      </c>
      <c r="D132" s="8" t="s">
        <v>12</v>
      </c>
      <c r="E132" s="8" t="s">
        <v>13</v>
      </c>
      <c r="F132" s="13">
        <v>593.21186745592058</v>
      </c>
      <c r="G132" s="12">
        <v>51944.967108127006</v>
      </c>
      <c r="I132"/>
    </row>
    <row r="133" spans="1:9" x14ac:dyDescent="0.3">
      <c r="A133" s="7" t="s">
        <v>1</v>
      </c>
      <c r="B133" s="8" t="s">
        <v>2</v>
      </c>
      <c r="C133" s="8" t="s">
        <v>26</v>
      </c>
      <c r="D133" s="8" t="s">
        <v>12</v>
      </c>
      <c r="E133" s="8" t="s">
        <v>16</v>
      </c>
      <c r="F133" s="13">
        <v>80.276109179067134</v>
      </c>
      <c r="G133" s="12">
        <v>70016.65212305852</v>
      </c>
      <c r="I133"/>
    </row>
    <row r="134" spans="1:9" x14ac:dyDescent="0.3">
      <c r="A134" s="7" t="s">
        <v>9</v>
      </c>
      <c r="B134" s="8" t="s">
        <v>14</v>
      </c>
      <c r="C134" s="8" t="s">
        <v>32</v>
      </c>
      <c r="D134" s="8" t="s">
        <v>4</v>
      </c>
      <c r="E134" s="8" t="s">
        <v>5</v>
      </c>
      <c r="F134" s="13">
        <v>212.01097023904367</v>
      </c>
      <c r="G134" s="12">
        <v>215696.98900835868</v>
      </c>
      <c r="I134"/>
    </row>
    <row r="135" spans="1:9" x14ac:dyDescent="0.3">
      <c r="A135" s="7" t="s">
        <v>6</v>
      </c>
      <c r="B135" s="8" t="s">
        <v>14</v>
      </c>
      <c r="C135" s="8" t="s">
        <v>36</v>
      </c>
      <c r="D135" s="8" t="s">
        <v>7</v>
      </c>
      <c r="E135" s="8" t="s">
        <v>8</v>
      </c>
      <c r="F135" s="13">
        <v>3470.3413392591756</v>
      </c>
      <c r="G135" s="12">
        <v>104874.22223761969</v>
      </c>
      <c r="I135"/>
    </row>
    <row r="136" spans="1:9" x14ac:dyDescent="0.3">
      <c r="A136" s="7" t="s">
        <v>6</v>
      </c>
      <c r="B136" s="8" t="s">
        <v>2</v>
      </c>
      <c r="C136" s="8" t="s">
        <v>26</v>
      </c>
      <c r="D136" s="8" t="s">
        <v>4</v>
      </c>
      <c r="E136" s="8" t="s">
        <v>10</v>
      </c>
      <c r="F136" s="13">
        <v>92.870366346232913</v>
      </c>
      <c r="G136" s="12">
        <v>226291.6166081095</v>
      </c>
      <c r="I136"/>
    </row>
    <row r="137" spans="1:9" x14ac:dyDescent="0.3">
      <c r="A137" s="7" t="s">
        <v>11</v>
      </c>
      <c r="B137" s="8" t="s">
        <v>14</v>
      </c>
      <c r="C137" s="8" t="s">
        <v>32</v>
      </c>
      <c r="D137" s="8" t="s">
        <v>12</v>
      </c>
      <c r="E137" s="8" t="s">
        <v>13</v>
      </c>
      <c r="F137" s="13">
        <v>229.94443393818074</v>
      </c>
      <c r="G137" s="12">
        <v>121087.96701279371</v>
      </c>
      <c r="I137"/>
    </row>
    <row r="138" spans="1:9" x14ac:dyDescent="0.3">
      <c r="A138" s="7" t="s">
        <v>9</v>
      </c>
      <c r="B138" s="8" t="s">
        <v>14</v>
      </c>
      <c r="C138" s="8" t="s">
        <v>36</v>
      </c>
      <c r="D138" s="8" t="s">
        <v>12</v>
      </c>
      <c r="E138" s="8" t="s">
        <v>16</v>
      </c>
      <c r="F138" s="13">
        <v>2407.4644430340413</v>
      </c>
      <c r="G138" s="12">
        <v>54536.111987493459</v>
      </c>
      <c r="I138"/>
    </row>
    <row r="139" spans="1:9" x14ac:dyDescent="0.3">
      <c r="A139" s="7" t="s">
        <v>1</v>
      </c>
      <c r="B139" s="8" t="s">
        <v>14</v>
      </c>
      <c r="C139" s="8" t="s">
        <v>18</v>
      </c>
      <c r="D139" s="8" t="s">
        <v>4</v>
      </c>
      <c r="E139" s="8" t="s">
        <v>5</v>
      </c>
      <c r="F139" s="13">
        <v>2321.4144497116649</v>
      </c>
      <c r="G139" s="12">
        <v>138942.49225655221</v>
      </c>
      <c r="I139"/>
    </row>
    <row r="140" spans="1:9" x14ac:dyDescent="0.3">
      <c r="A140" s="7" t="s">
        <v>9</v>
      </c>
      <c r="B140" s="8" t="s">
        <v>2</v>
      </c>
      <c r="C140" s="8" t="s">
        <v>26</v>
      </c>
      <c r="D140" s="8" t="s">
        <v>7</v>
      </c>
      <c r="E140" s="8" t="s">
        <v>8</v>
      </c>
      <c r="F140" s="13">
        <v>273.66477907662556</v>
      </c>
      <c r="G140" s="12">
        <v>45733.572266074567</v>
      </c>
      <c r="I140"/>
    </row>
    <row r="141" spans="1:9" x14ac:dyDescent="0.3">
      <c r="A141" s="7" t="s">
        <v>11</v>
      </c>
      <c r="B141" s="8" t="s">
        <v>14</v>
      </c>
      <c r="C141" s="8" t="s">
        <v>36</v>
      </c>
      <c r="D141" s="8" t="s">
        <v>4</v>
      </c>
      <c r="E141" s="8" t="s">
        <v>10</v>
      </c>
      <c r="F141" s="13">
        <v>7492.0631670182047</v>
      </c>
      <c r="G141" s="12">
        <v>87013.923096211511</v>
      </c>
      <c r="I141"/>
    </row>
    <row r="142" spans="1:9" x14ac:dyDescent="0.3">
      <c r="A142" s="7" t="s">
        <v>1</v>
      </c>
      <c r="B142" s="8" t="s">
        <v>14</v>
      </c>
      <c r="C142" s="8" t="s">
        <v>24</v>
      </c>
      <c r="D142" s="8" t="s">
        <v>12</v>
      </c>
      <c r="E142" s="8" t="s">
        <v>13</v>
      </c>
      <c r="F142" s="13">
        <v>215.07967668330821</v>
      </c>
      <c r="G142" s="12">
        <v>157994.1711797801</v>
      </c>
      <c r="I142"/>
    </row>
    <row r="143" spans="1:9" x14ac:dyDescent="0.3">
      <c r="A143" s="7" t="s">
        <v>1</v>
      </c>
      <c r="B143" s="8" t="s">
        <v>27</v>
      </c>
      <c r="C143" s="8" t="s">
        <v>28</v>
      </c>
      <c r="D143" s="8" t="s">
        <v>12</v>
      </c>
      <c r="E143" s="8" t="s">
        <v>16</v>
      </c>
      <c r="F143" s="13">
        <v>95.839788292505546</v>
      </c>
      <c r="G143" s="12">
        <v>72704.673209227622</v>
      </c>
      <c r="I143"/>
    </row>
    <row r="144" spans="1:9" x14ac:dyDescent="0.3">
      <c r="A144" s="7" t="s">
        <v>1</v>
      </c>
      <c r="B144" s="8" t="s">
        <v>14</v>
      </c>
      <c r="C144" s="8" t="s">
        <v>32</v>
      </c>
      <c r="D144" s="8" t="s">
        <v>7</v>
      </c>
      <c r="E144" s="8" t="s">
        <v>17</v>
      </c>
      <c r="F144" s="13">
        <v>30.59694540233977</v>
      </c>
      <c r="G144" s="12">
        <v>170901.8412633668</v>
      </c>
      <c r="I144"/>
    </row>
    <row r="145" spans="1:9" x14ac:dyDescent="0.3">
      <c r="A145" s="7" t="s">
        <v>1</v>
      </c>
      <c r="B145" s="8" t="s">
        <v>14</v>
      </c>
      <c r="C145" s="8" t="s">
        <v>37</v>
      </c>
      <c r="D145" s="8" t="s">
        <v>4</v>
      </c>
      <c r="E145" s="8" t="s">
        <v>5</v>
      </c>
      <c r="F145" s="13">
        <v>84.588821839315642</v>
      </c>
      <c r="G145" s="12">
        <v>32844.559434306575</v>
      </c>
      <c r="I145"/>
    </row>
    <row r="146" spans="1:9" x14ac:dyDescent="0.3">
      <c r="A146" s="7" t="s">
        <v>1</v>
      </c>
      <c r="B146" s="8" t="s">
        <v>27</v>
      </c>
      <c r="C146" s="8" t="s">
        <v>38</v>
      </c>
      <c r="D146" s="8" t="s">
        <v>7</v>
      </c>
      <c r="E146" s="8" t="s">
        <v>8</v>
      </c>
      <c r="F146" s="13">
        <v>29.760599841938529</v>
      </c>
      <c r="G146" s="12">
        <v>486604.75846075499</v>
      </c>
      <c r="I146"/>
    </row>
    <row r="147" spans="1:9" x14ac:dyDescent="0.3">
      <c r="A147" s="7" t="s">
        <v>1</v>
      </c>
      <c r="B147" s="8" t="s">
        <v>33</v>
      </c>
      <c r="C147" s="8" t="s">
        <v>39</v>
      </c>
      <c r="D147" s="8" t="s">
        <v>4</v>
      </c>
      <c r="E147" s="8" t="s">
        <v>10</v>
      </c>
      <c r="F147" s="13">
        <v>88.581581788548647</v>
      </c>
      <c r="G147" s="12">
        <v>193043.88905638916</v>
      </c>
      <c r="I147"/>
    </row>
    <row r="148" spans="1:9" x14ac:dyDescent="0.3">
      <c r="A148" s="7" t="s">
        <v>1</v>
      </c>
      <c r="B148" s="8" t="s">
        <v>27</v>
      </c>
      <c r="C148" s="8" t="s">
        <v>29</v>
      </c>
      <c r="D148" s="8" t="s">
        <v>4</v>
      </c>
      <c r="E148" s="8" t="s">
        <v>5</v>
      </c>
      <c r="F148" s="13">
        <v>86.147847977554193</v>
      </c>
      <c r="G148" s="12">
        <v>188700.77179926739</v>
      </c>
      <c r="I148"/>
    </row>
    <row r="149" spans="1:9" x14ac:dyDescent="0.3">
      <c r="A149" s="7" t="s">
        <v>1</v>
      </c>
      <c r="B149" s="8" t="s">
        <v>33</v>
      </c>
      <c r="C149" s="8" t="s">
        <v>40</v>
      </c>
      <c r="D149" s="8" t="s">
        <v>7</v>
      </c>
      <c r="E149" s="8" t="s">
        <v>8</v>
      </c>
      <c r="F149" s="13">
        <v>4.0817946249262604</v>
      </c>
      <c r="G149" s="12">
        <v>81260.596001271784</v>
      </c>
      <c r="I149"/>
    </row>
    <row r="150" spans="1:9" x14ac:dyDescent="0.3">
      <c r="A150" s="7" t="s">
        <v>1</v>
      </c>
      <c r="B150" s="8" t="s">
        <v>33</v>
      </c>
      <c r="C150" s="8" t="s">
        <v>41</v>
      </c>
      <c r="D150" s="8" t="s">
        <v>4</v>
      </c>
      <c r="E150" s="8" t="s">
        <v>10</v>
      </c>
      <c r="F150" s="13">
        <v>37.498581809813913</v>
      </c>
      <c r="G150" s="12">
        <v>19829.409413614485</v>
      </c>
      <c r="I150"/>
    </row>
    <row r="151" spans="1:9" x14ac:dyDescent="0.3">
      <c r="A151" s="7" t="s">
        <v>1</v>
      </c>
      <c r="B151" s="8" t="s">
        <v>27</v>
      </c>
      <c r="C151" s="8" t="s">
        <v>42</v>
      </c>
      <c r="D151" s="8" t="s">
        <v>12</v>
      </c>
      <c r="E151" s="8" t="s">
        <v>13</v>
      </c>
      <c r="F151" s="13">
        <v>18.414767969534296</v>
      </c>
      <c r="G151" s="12">
        <v>29234.385324161849</v>
      </c>
      <c r="I151"/>
    </row>
    <row r="152" spans="1:9" x14ac:dyDescent="0.3">
      <c r="A152" s="7" t="s">
        <v>1</v>
      </c>
      <c r="B152" s="8" t="s">
        <v>14</v>
      </c>
      <c r="C152" s="8" t="s">
        <v>30</v>
      </c>
      <c r="D152" s="8" t="s">
        <v>12</v>
      </c>
      <c r="E152" s="8" t="s">
        <v>16</v>
      </c>
      <c r="F152" s="13">
        <v>3.2470392030518269</v>
      </c>
      <c r="G152" s="12">
        <v>4528.9010611668346</v>
      </c>
      <c r="I152"/>
    </row>
    <row r="153" spans="1:9" x14ac:dyDescent="0.3">
      <c r="A153" s="7" t="s">
        <v>1</v>
      </c>
      <c r="B153" s="8" t="s">
        <v>14</v>
      </c>
      <c r="C153" s="8" t="s">
        <v>36</v>
      </c>
      <c r="D153" s="8" t="s">
        <v>7</v>
      </c>
      <c r="E153" s="8" t="s">
        <v>17</v>
      </c>
      <c r="F153" s="13">
        <v>90.666613324628997</v>
      </c>
      <c r="G153" s="12">
        <v>89216.799287532922</v>
      </c>
      <c r="I153"/>
    </row>
    <row r="154" spans="1:9" x14ac:dyDescent="0.3">
      <c r="A154" s="7" t="s">
        <v>1</v>
      </c>
      <c r="B154" s="8" t="s">
        <v>14</v>
      </c>
      <c r="C154" s="8" t="s">
        <v>22</v>
      </c>
      <c r="D154" s="8" t="s">
        <v>4</v>
      </c>
      <c r="E154" s="8" t="s">
        <v>5</v>
      </c>
      <c r="F154" s="13">
        <v>12.504947402885591</v>
      </c>
      <c r="G154" s="12">
        <v>112361.71530817955</v>
      </c>
      <c r="I154"/>
    </row>
    <row r="155" spans="1:9" x14ac:dyDescent="0.3">
      <c r="A155" s="7" t="s">
        <v>1</v>
      </c>
      <c r="B155" s="8" t="s">
        <v>14</v>
      </c>
      <c r="C155" s="8" t="s">
        <v>25</v>
      </c>
      <c r="D155" s="8" t="s">
        <v>7</v>
      </c>
      <c r="E155" s="8" t="s">
        <v>8</v>
      </c>
      <c r="F155" s="13">
        <v>184.16089280544838</v>
      </c>
      <c r="G155" s="12">
        <v>148108.2354355749</v>
      </c>
      <c r="I155"/>
    </row>
    <row r="156" spans="1:9" x14ac:dyDescent="0.3">
      <c r="A156" s="7" t="s">
        <v>1</v>
      </c>
      <c r="B156" s="8" t="s">
        <v>27</v>
      </c>
      <c r="C156" s="8" t="s">
        <v>28</v>
      </c>
      <c r="D156" s="8" t="s">
        <v>4</v>
      </c>
      <c r="E156" s="8" t="s">
        <v>10</v>
      </c>
      <c r="F156" s="13">
        <v>9.8933260185731342</v>
      </c>
      <c r="G156" s="12">
        <v>29093.164603727928</v>
      </c>
      <c r="I156"/>
    </row>
    <row r="157" spans="1:9" x14ac:dyDescent="0.3">
      <c r="A157" s="7" t="s">
        <v>1</v>
      </c>
      <c r="B157" s="8" t="s">
        <v>27</v>
      </c>
      <c r="C157" s="8" t="s">
        <v>38</v>
      </c>
      <c r="D157" s="8" t="s">
        <v>12</v>
      </c>
      <c r="E157" s="8" t="s">
        <v>13</v>
      </c>
      <c r="F157" s="13">
        <v>50.729607582798053</v>
      </c>
      <c r="G157" s="12">
        <v>63005.700846406398</v>
      </c>
      <c r="I157"/>
    </row>
    <row r="158" spans="1:9" x14ac:dyDescent="0.3">
      <c r="A158" s="7" t="s">
        <v>1</v>
      </c>
      <c r="B158" s="8" t="s">
        <v>2</v>
      </c>
      <c r="C158" s="8" t="s">
        <v>20</v>
      </c>
      <c r="D158" s="8" t="s">
        <v>12</v>
      </c>
      <c r="E158" s="8" t="s">
        <v>16</v>
      </c>
      <c r="F158" s="13">
        <v>122.26380857318873</v>
      </c>
      <c r="G158" s="12">
        <v>47271.033018478192</v>
      </c>
      <c r="I158"/>
    </row>
    <row r="159" spans="1:9" x14ac:dyDescent="0.3">
      <c r="A159" s="7" t="s">
        <v>1</v>
      </c>
      <c r="B159" s="8" t="s">
        <v>2</v>
      </c>
      <c r="C159" s="8" t="s">
        <v>3</v>
      </c>
      <c r="D159" s="8" t="s">
        <v>7</v>
      </c>
      <c r="E159" s="8" t="s">
        <v>17</v>
      </c>
      <c r="F159" s="13">
        <v>194.77567054182146</v>
      </c>
      <c r="G159" s="12">
        <v>121697.34769613569</v>
      </c>
      <c r="I159"/>
    </row>
    <row r="160" spans="1:9" x14ac:dyDescent="0.3">
      <c r="A160" s="7" t="s">
        <v>1</v>
      </c>
      <c r="B160" s="8" t="s">
        <v>27</v>
      </c>
      <c r="C160" s="8" t="s">
        <v>42</v>
      </c>
      <c r="D160" s="8" t="s">
        <v>4</v>
      </c>
      <c r="E160" s="8" t="s">
        <v>5</v>
      </c>
      <c r="F160" s="13">
        <v>67.895228899578797</v>
      </c>
      <c r="G160" s="12">
        <v>149070.7027453027</v>
      </c>
      <c r="I160"/>
    </row>
    <row r="161" spans="1:9" x14ac:dyDescent="0.3">
      <c r="A161" s="7" t="s">
        <v>1</v>
      </c>
      <c r="B161" s="8" t="s">
        <v>14</v>
      </c>
      <c r="C161" s="8" t="s">
        <v>36</v>
      </c>
      <c r="D161" s="8" t="s">
        <v>7</v>
      </c>
      <c r="E161" s="8" t="s">
        <v>8</v>
      </c>
      <c r="F161" s="13">
        <v>135.19661017180624</v>
      </c>
      <c r="G161" s="12">
        <v>22457.823775221186</v>
      </c>
      <c r="I161"/>
    </row>
    <row r="162" spans="1:9" x14ac:dyDescent="0.3">
      <c r="A162" s="7" t="s">
        <v>1</v>
      </c>
      <c r="B162" s="8" t="s">
        <v>33</v>
      </c>
      <c r="C162" s="8" t="s">
        <v>35</v>
      </c>
      <c r="D162" s="8" t="s">
        <v>4</v>
      </c>
      <c r="E162" s="8" t="s">
        <v>10</v>
      </c>
      <c r="F162" s="13">
        <v>100.8945012519689</v>
      </c>
      <c r="G162" s="12">
        <v>173582.82254208461</v>
      </c>
      <c r="I162"/>
    </row>
    <row r="163" spans="1:9" x14ac:dyDescent="0.3">
      <c r="A163" s="7" t="s">
        <v>6</v>
      </c>
      <c r="B163" s="8" t="s">
        <v>14</v>
      </c>
      <c r="C163" s="8" t="s">
        <v>18</v>
      </c>
      <c r="D163" s="8" t="s">
        <v>4</v>
      </c>
      <c r="E163" s="8" t="s">
        <v>5</v>
      </c>
      <c r="F163" s="13">
        <v>478.18209542483601</v>
      </c>
      <c r="G163" s="12">
        <v>35798.546245115504</v>
      </c>
      <c r="I163"/>
    </row>
    <row r="164" spans="1:9" x14ac:dyDescent="0.3">
      <c r="A164" s="7" t="s">
        <v>11</v>
      </c>
      <c r="B164" s="8" t="s">
        <v>2</v>
      </c>
      <c r="C164" s="8" t="s">
        <v>26</v>
      </c>
      <c r="D164" s="8" t="s">
        <v>7</v>
      </c>
      <c r="E164" s="8" t="s">
        <v>8</v>
      </c>
      <c r="F164" s="13">
        <v>74.752099015313433</v>
      </c>
      <c r="G164" s="12">
        <v>171870.44801842811</v>
      </c>
      <c r="I164"/>
    </row>
    <row r="165" spans="1:9" x14ac:dyDescent="0.3">
      <c r="A165" s="7" t="s">
        <v>6</v>
      </c>
      <c r="B165" s="8" t="s">
        <v>14</v>
      </c>
      <c r="C165" s="8" t="s">
        <v>24</v>
      </c>
      <c r="D165" s="8" t="s">
        <v>4</v>
      </c>
      <c r="E165" s="8" t="s">
        <v>10</v>
      </c>
      <c r="F165" s="13">
        <v>142.93988778190396</v>
      </c>
      <c r="G165" s="12">
        <v>50483.671149828297</v>
      </c>
      <c r="I165"/>
    </row>
    <row r="166" spans="1:9" x14ac:dyDescent="0.3">
      <c r="A166" s="7" t="s">
        <v>6</v>
      </c>
      <c r="B166" s="8" t="s">
        <v>27</v>
      </c>
      <c r="C166" s="8" t="s">
        <v>28</v>
      </c>
      <c r="D166" s="8" t="s">
        <v>12</v>
      </c>
      <c r="E166" s="8" t="s">
        <v>13</v>
      </c>
      <c r="F166" s="13">
        <v>72.86217678374669</v>
      </c>
      <c r="G166" s="12">
        <v>133044.55877189501</v>
      </c>
      <c r="I166"/>
    </row>
    <row r="167" spans="1:9" x14ac:dyDescent="0.3">
      <c r="A167" s="7" t="s">
        <v>6</v>
      </c>
      <c r="B167" s="8" t="s">
        <v>14</v>
      </c>
      <c r="C167" s="8" t="s">
        <v>32</v>
      </c>
      <c r="D167" s="8" t="s">
        <v>4</v>
      </c>
      <c r="E167" s="8" t="s">
        <v>5</v>
      </c>
      <c r="F167" s="13">
        <v>84.550102130015148</v>
      </c>
      <c r="G167" s="12">
        <v>159455.83013544456</v>
      </c>
      <c r="I167"/>
    </row>
    <row r="168" spans="1:9" x14ac:dyDescent="0.3">
      <c r="A168" s="7" t="s">
        <v>6</v>
      </c>
      <c r="B168" s="8" t="s">
        <v>14</v>
      </c>
      <c r="C168" s="8" t="s">
        <v>37</v>
      </c>
      <c r="D168" s="8" t="s">
        <v>7</v>
      </c>
      <c r="E168" s="8" t="s">
        <v>8</v>
      </c>
      <c r="F168" s="13">
        <v>77.33013306524299</v>
      </c>
      <c r="G168" s="12">
        <v>128534.62540110013</v>
      </c>
      <c r="I168"/>
    </row>
    <row r="169" spans="1:9" x14ac:dyDescent="0.3">
      <c r="A169" s="7" t="s">
        <v>6</v>
      </c>
      <c r="B169" s="8" t="s">
        <v>27</v>
      </c>
      <c r="C169" s="8" t="s">
        <v>38</v>
      </c>
      <c r="D169" s="8" t="s">
        <v>4</v>
      </c>
      <c r="E169" s="8" t="s">
        <v>10</v>
      </c>
      <c r="F169" s="13">
        <v>59.792013642618258</v>
      </c>
      <c r="G169" s="12">
        <v>181541.44271204132</v>
      </c>
      <c r="I169"/>
    </row>
    <row r="170" spans="1:9" x14ac:dyDescent="0.3">
      <c r="A170" s="7" t="s">
        <v>6</v>
      </c>
      <c r="B170" s="8" t="s">
        <v>33</v>
      </c>
      <c r="C170" s="8" t="s">
        <v>39</v>
      </c>
      <c r="D170" s="8" t="s">
        <v>12</v>
      </c>
      <c r="E170" s="8" t="s">
        <v>13</v>
      </c>
      <c r="F170" s="13">
        <v>56.768013462442468</v>
      </c>
      <c r="G170" s="12">
        <v>5482.1719617393683</v>
      </c>
      <c r="I170"/>
    </row>
    <row r="171" spans="1:9" x14ac:dyDescent="0.3">
      <c r="A171" s="7" t="s">
        <v>6</v>
      </c>
      <c r="B171" s="8" t="s">
        <v>27</v>
      </c>
      <c r="C171" s="8" t="s">
        <v>29</v>
      </c>
      <c r="D171" s="8" t="s">
        <v>12</v>
      </c>
      <c r="E171" s="8" t="s">
        <v>16</v>
      </c>
      <c r="F171" s="13">
        <v>68.888474121561671</v>
      </c>
      <c r="G171" s="12">
        <v>18677.269127563704</v>
      </c>
      <c r="I171"/>
    </row>
    <row r="172" spans="1:9" x14ac:dyDescent="0.3">
      <c r="A172" s="7" t="s">
        <v>6</v>
      </c>
      <c r="B172" s="8" t="s">
        <v>33</v>
      </c>
      <c r="C172" s="8" t="s">
        <v>40</v>
      </c>
      <c r="D172" s="8" t="s">
        <v>4</v>
      </c>
      <c r="E172" s="8" t="s">
        <v>5</v>
      </c>
      <c r="F172" s="13">
        <v>6.0766468466681545</v>
      </c>
      <c r="G172" s="12">
        <v>44488.435113325977</v>
      </c>
      <c r="I172"/>
    </row>
    <row r="173" spans="1:9" x14ac:dyDescent="0.3">
      <c r="A173" s="7" t="s">
        <v>6</v>
      </c>
      <c r="B173" s="8" t="s">
        <v>33</v>
      </c>
      <c r="C173" s="8" t="s">
        <v>41</v>
      </c>
      <c r="D173" s="8" t="s">
        <v>7</v>
      </c>
      <c r="E173" s="8" t="s">
        <v>8</v>
      </c>
      <c r="F173" s="13">
        <v>2.1897319294112094</v>
      </c>
      <c r="G173" s="12">
        <v>73833.416600309647</v>
      </c>
      <c r="I173"/>
    </row>
    <row r="174" spans="1:9" x14ac:dyDescent="0.3">
      <c r="A174" s="7" t="s">
        <v>6</v>
      </c>
      <c r="B174" s="8" t="s">
        <v>27</v>
      </c>
      <c r="C174" s="8" t="s">
        <v>42</v>
      </c>
      <c r="D174" s="8" t="s">
        <v>4</v>
      </c>
      <c r="E174" s="8" t="s">
        <v>10</v>
      </c>
      <c r="F174" s="13">
        <v>18.02016468536749</v>
      </c>
      <c r="G174" s="12">
        <v>91967.838307857164</v>
      </c>
      <c r="I174"/>
    </row>
    <row r="175" spans="1:9" x14ac:dyDescent="0.3">
      <c r="A175" s="7" t="s">
        <v>6</v>
      </c>
      <c r="B175" s="8" t="s">
        <v>14</v>
      </c>
      <c r="C175" s="8" t="s">
        <v>30</v>
      </c>
      <c r="D175" s="8" t="s">
        <v>12</v>
      </c>
      <c r="E175" s="8" t="s">
        <v>13</v>
      </c>
      <c r="F175" s="13">
        <v>44.229068572076358</v>
      </c>
      <c r="G175" s="12">
        <v>5784.4813127176167</v>
      </c>
      <c r="I175"/>
    </row>
    <row r="176" spans="1:9" x14ac:dyDescent="0.3">
      <c r="A176" s="7" t="s">
        <v>6</v>
      </c>
      <c r="B176" s="8" t="s">
        <v>14</v>
      </c>
      <c r="C176" s="8" t="s">
        <v>36</v>
      </c>
      <c r="D176" s="8" t="s">
        <v>12</v>
      </c>
      <c r="E176" s="8" t="s">
        <v>16</v>
      </c>
      <c r="F176" s="13">
        <v>15.011089479048678</v>
      </c>
      <c r="G176" s="12">
        <v>85238.181776378042</v>
      </c>
      <c r="I176"/>
    </row>
    <row r="177" spans="1:9" x14ac:dyDescent="0.3">
      <c r="A177" s="7" t="s">
        <v>6</v>
      </c>
      <c r="B177" s="8" t="s">
        <v>14</v>
      </c>
      <c r="C177" s="8" t="s">
        <v>22</v>
      </c>
      <c r="D177" s="8" t="s">
        <v>4</v>
      </c>
      <c r="E177" s="8" t="s">
        <v>5</v>
      </c>
      <c r="F177" s="13">
        <v>73.423612777060043</v>
      </c>
      <c r="G177" s="12">
        <v>3586.9227072671492</v>
      </c>
      <c r="I177"/>
    </row>
    <row r="178" spans="1:9" x14ac:dyDescent="0.3">
      <c r="A178" s="7" t="s">
        <v>6</v>
      </c>
      <c r="B178" s="8" t="s">
        <v>14</v>
      </c>
      <c r="C178" s="8" t="s">
        <v>25</v>
      </c>
      <c r="D178" s="8" t="s">
        <v>7</v>
      </c>
      <c r="E178" s="8" t="s">
        <v>8</v>
      </c>
      <c r="F178" s="13">
        <v>79.299450348480605</v>
      </c>
      <c r="G178" s="12">
        <v>9551.1286279433989</v>
      </c>
      <c r="I178"/>
    </row>
    <row r="179" spans="1:9" x14ac:dyDescent="0.3">
      <c r="A179" s="7" t="s">
        <v>6</v>
      </c>
      <c r="B179" s="8" t="s">
        <v>27</v>
      </c>
      <c r="C179" s="8" t="s">
        <v>28</v>
      </c>
      <c r="D179" s="8" t="s">
        <v>4</v>
      </c>
      <c r="E179" s="8" t="s">
        <v>10</v>
      </c>
      <c r="F179" s="13">
        <v>44.574775556247914</v>
      </c>
      <c r="G179" s="12">
        <v>133180.2251182762</v>
      </c>
      <c r="I179"/>
    </row>
    <row r="180" spans="1:9" x14ac:dyDescent="0.3">
      <c r="A180" s="7" t="s">
        <v>6</v>
      </c>
      <c r="B180" s="8" t="s">
        <v>27</v>
      </c>
      <c r="C180" s="8" t="s">
        <v>38</v>
      </c>
      <c r="D180" s="8" t="s">
        <v>12</v>
      </c>
      <c r="E180" s="8" t="s">
        <v>13</v>
      </c>
      <c r="F180" s="13">
        <v>68.321859308161947</v>
      </c>
      <c r="G180" s="12">
        <v>164707.13892151616</v>
      </c>
      <c r="I180"/>
    </row>
    <row r="181" spans="1:9" x14ac:dyDescent="0.3">
      <c r="A181" s="7" t="s">
        <v>6</v>
      </c>
      <c r="B181" s="8" t="s">
        <v>2</v>
      </c>
      <c r="C181" s="8" t="s">
        <v>20</v>
      </c>
      <c r="D181" s="8" t="s">
        <v>12</v>
      </c>
      <c r="E181" s="8" t="s">
        <v>16</v>
      </c>
      <c r="F181" s="13">
        <v>173.14299812678655</v>
      </c>
      <c r="G181" s="12">
        <v>166970.69145674142</v>
      </c>
      <c r="I181"/>
    </row>
    <row r="182" spans="1:9" x14ac:dyDescent="0.3">
      <c r="A182" s="7" t="s">
        <v>6</v>
      </c>
      <c r="B182" s="8" t="s">
        <v>2</v>
      </c>
      <c r="C182" s="8" t="s">
        <v>3</v>
      </c>
      <c r="D182" s="8" t="s">
        <v>7</v>
      </c>
      <c r="E182" s="8" t="s">
        <v>17</v>
      </c>
      <c r="F182" s="13">
        <v>28.455895638217044</v>
      </c>
      <c r="G182" s="12">
        <v>18957.304854237009</v>
      </c>
      <c r="I182"/>
    </row>
    <row r="183" spans="1:9" x14ac:dyDescent="0.3">
      <c r="A183" s="7" t="s">
        <v>6</v>
      </c>
      <c r="B183" s="8" t="s">
        <v>27</v>
      </c>
      <c r="C183" s="8" t="s">
        <v>42</v>
      </c>
      <c r="D183" s="8" t="s">
        <v>4</v>
      </c>
      <c r="E183" s="8" t="s">
        <v>5</v>
      </c>
      <c r="F183" s="13">
        <v>97.850706799363252</v>
      </c>
      <c r="G183" s="12">
        <v>147236.89467201073</v>
      </c>
      <c r="I183"/>
    </row>
    <row r="184" spans="1:9" x14ac:dyDescent="0.3">
      <c r="A184" s="7" t="s">
        <v>6</v>
      </c>
      <c r="B184" s="8" t="s">
        <v>14</v>
      </c>
      <c r="C184" s="8" t="s">
        <v>36</v>
      </c>
      <c r="D184" s="8" t="s">
        <v>7</v>
      </c>
      <c r="E184" s="8" t="s">
        <v>8</v>
      </c>
      <c r="F184" s="13">
        <v>27.45441044025938</v>
      </c>
      <c r="G184" s="12">
        <v>65135.191691144428</v>
      </c>
      <c r="I184"/>
    </row>
    <row r="185" spans="1:9" x14ac:dyDescent="0.3">
      <c r="A185" s="7" t="s">
        <v>6</v>
      </c>
      <c r="B185" s="8" t="s">
        <v>33</v>
      </c>
      <c r="C185" s="8" t="s">
        <v>35</v>
      </c>
      <c r="D185" s="8" t="s">
        <v>4</v>
      </c>
      <c r="E185" s="8" t="s">
        <v>10</v>
      </c>
      <c r="F185" s="13">
        <v>157.52374342100666</v>
      </c>
      <c r="G185" s="12">
        <v>30739.678320445819</v>
      </c>
      <c r="I185"/>
    </row>
    <row r="186" spans="1:9" x14ac:dyDescent="0.3">
      <c r="A186" s="7" t="s">
        <v>9</v>
      </c>
      <c r="B186" s="8" t="s">
        <v>14</v>
      </c>
      <c r="C186" s="8" t="s">
        <v>18</v>
      </c>
      <c r="D186" s="8" t="s">
        <v>4</v>
      </c>
      <c r="E186" s="8" t="s">
        <v>5</v>
      </c>
      <c r="F186" s="13">
        <v>2333.4316492795551</v>
      </c>
      <c r="G186" s="12">
        <v>137979.49478317588</v>
      </c>
      <c r="I186"/>
    </row>
    <row r="187" spans="1:9" x14ac:dyDescent="0.3">
      <c r="A187" s="7" t="s">
        <v>9</v>
      </c>
      <c r="B187" s="8" t="s">
        <v>14</v>
      </c>
      <c r="C187" s="8" t="s">
        <v>24</v>
      </c>
      <c r="D187" s="8" t="s">
        <v>7</v>
      </c>
      <c r="E187" s="8" t="s">
        <v>8</v>
      </c>
      <c r="F187" s="13">
        <v>98.790030461168499</v>
      </c>
      <c r="G187" s="12">
        <v>19569.901798271349</v>
      </c>
      <c r="I187"/>
    </row>
    <row r="188" spans="1:9" x14ac:dyDescent="0.3">
      <c r="A188" s="7" t="s">
        <v>9</v>
      </c>
      <c r="B188" s="8" t="s">
        <v>27</v>
      </c>
      <c r="C188" s="8" t="s">
        <v>28</v>
      </c>
      <c r="D188" s="8" t="s">
        <v>4</v>
      </c>
      <c r="E188" s="8" t="s">
        <v>10</v>
      </c>
      <c r="F188" s="13">
        <v>91.180738227558322</v>
      </c>
      <c r="G188" s="12">
        <v>41041.04246892262</v>
      </c>
      <c r="I188"/>
    </row>
    <row r="189" spans="1:9" x14ac:dyDescent="0.3">
      <c r="A189" s="7" t="s">
        <v>9</v>
      </c>
      <c r="B189" s="8" t="s">
        <v>14</v>
      </c>
      <c r="C189" s="8" t="s">
        <v>32</v>
      </c>
      <c r="D189" s="8" t="s">
        <v>12</v>
      </c>
      <c r="E189" s="8" t="s">
        <v>13</v>
      </c>
      <c r="F189" s="13">
        <v>11.635541552368522</v>
      </c>
      <c r="G189" s="12">
        <v>18487.274500251322</v>
      </c>
      <c r="I189"/>
    </row>
    <row r="190" spans="1:9" x14ac:dyDescent="0.3">
      <c r="A190" s="7" t="s">
        <v>9</v>
      </c>
      <c r="B190" s="8" t="s">
        <v>14</v>
      </c>
      <c r="C190" s="8" t="s">
        <v>37</v>
      </c>
      <c r="D190" s="8" t="s">
        <v>12</v>
      </c>
      <c r="E190" s="8" t="s">
        <v>16</v>
      </c>
      <c r="F190" s="13">
        <v>86.277966194938926</v>
      </c>
      <c r="G190" s="12">
        <v>149675.32490719517</v>
      </c>
      <c r="I190"/>
    </row>
    <row r="191" spans="1:9" x14ac:dyDescent="0.3">
      <c r="A191" s="7" t="s">
        <v>9</v>
      </c>
      <c r="B191" s="8" t="s">
        <v>27</v>
      </c>
      <c r="C191" s="8" t="s">
        <v>38</v>
      </c>
      <c r="D191" s="8" t="s">
        <v>7</v>
      </c>
      <c r="E191" s="8" t="s">
        <v>17</v>
      </c>
      <c r="F191" s="13">
        <v>56.82844511084113</v>
      </c>
      <c r="G191" s="12">
        <v>10301221.144948799</v>
      </c>
      <c r="I191"/>
    </row>
    <row r="192" spans="1:9" x14ac:dyDescent="0.3">
      <c r="A192" s="7" t="s">
        <v>9</v>
      </c>
      <c r="B192" s="8" t="s">
        <v>33</v>
      </c>
      <c r="C192" s="8" t="s">
        <v>39</v>
      </c>
      <c r="D192" s="8" t="s">
        <v>4</v>
      </c>
      <c r="E192" s="8" t="s">
        <v>5</v>
      </c>
      <c r="F192" s="13">
        <v>2.0585308085173892</v>
      </c>
      <c r="G192" s="12">
        <v>137518.36905989988</v>
      </c>
      <c r="I192"/>
    </row>
    <row r="193" spans="1:9" x14ac:dyDescent="0.3">
      <c r="A193" s="7" t="s">
        <v>9</v>
      </c>
      <c r="B193" s="8" t="s">
        <v>27</v>
      </c>
      <c r="C193" s="8" t="s">
        <v>29</v>
      </c>
      <c r="D193" s="8" t="s">
        <v>7</v>
      </c>
      <c r="E193" s="8" t="s">
        <v>8</v>
      </c>
      <c r="F193" s="13">
        <v>36.739425480482168</v>
      </c>
      <c r="G193" s="12">
        <v>10016589.047652399</v>
      </c>
      <c r="I193"/>
    </row>
    <row r="194" spans="1:9" x14ac:dyDescent="0.3">
      <c r="A194" s="7" t="s">
        <v>9</v>
      </c>
      <c r="B194" s="8" t="s">
        <v>33</v>
      </c>
      <c r="C194" s="8" t="s">
        <v>40</v>
      </c>
      <c r="D194" s="8" t="s">
        <v>4</v>
      </c>
      <c r="E194" s="8" t="s">
        <v>10</v>
      </c>
      <c r="F194" s="13">
        <v>29.231560751486541</v>
      </c>
      <c r="G194" s="12">
        <v>65566.221331515189</v>
      </c>
      <c r="I194"/>
    </row>
    <row r="195" spans="1:9" x14ac:dyDescent="0.3">
      <c r="A195" s="7" t="s">
        <v>9</v>
      </c>
      <c r="B195" s="8" t="s">
        <v>33</v>
      </c>
      <c r="C195" s="8" t="s">
        <v>41</v>
      </c>
      <c r="D195" s="8" t="s">
        <v>12</v>
      </c>
      <c r="E195" s="8" t="s">
        <v>13</v>
      </c>
      <c r="F195" s="13">
        <v>88.209054193612246</v>
      </c>
      <c r="G195" s="12">
        <v>23503.132661958207</v>
      </c>
      <c r="I195"/>
    </row>
    <row r="196" spans="1:9" x14ac:dyDescent="0.3">
      <c r="A196" s="7" t="s">
        <v>9</v>
      </c>
      <c r="B196" s="8" t="s">
        <v>27</v>
      </c>
      <c r="C196" s="8" t="s">
        <v>42</v>
      </c>
      <c r="D196" s="8" t="s">
        <v>12</v>
      </c>
      <c r="E196" s="8" t="s">
        <v>16</v>
      </c>
      <c r="F196" s="13">
        <v>7.9982091284364287</v>
      </c>
      <c r="G196" s="12">
        <v>85030.592841186706</v>
      </c>
      <c r="I196"/>
    </row>
    <row r="197" spans="1:9" x14ac:dyDescent="0.3">
      <c r="A197" s="7" t="s">
        <v>9</v>
      </c>
      <c r="B197" s="8" t="s">
        <v>14</v>
      </c>
      <c r="C197" s="8" t="s">
        <v>30</v>
      </c>
      <c r="D197" s="8" t="s">
        <v>7</v>
      </c>
      <c r="E197" s="8" t="s">
        <v>17</v>
      </c>
      <c r="F197" s="13">
        <v>77.542273715152987</v>
      </c>
      <c r="G197" s="12">
        <v>118167.6630519319</v>
      </c>
      <c r="I197"/>
    </row>
    <row r="198" spans="1:9" x14ac:dyDescent="0.3">
      <c r="A198" s="7" t="s">
        <v>9</v>
      </c>
      <c r="B198" s="8" t="s">
        <v>14</v>
      </c>
      <c r="C198" s="8" t="s">
        <v>36</v>
      </c>
      <c r="D198" s="8" t="s">
        <v>4</v>
      </c>
      <c r="E198" s="8" t="s">
        <v>5</v>
      </c>
      <c r="F198" s="13">
        <v>48.534101558379916</v>
      </c>
      <c r="G198" s="12">
        <v>149888.18583594591</v>
      </c>
      <c r="I198"/>
    </row>
    <row r="199" spans="1:9" x14ac:dyDescent="0.3">
      <c r="A199" s="7" t="s">
        <v>9</v>
      </c>
      <c r="B199" s="8" t="s">
        <v>14</v>
      </c>
      <c r="C199" s="8" t="s">
        <v>22</v>
      </c>
      <c r="D199" s="8" t="s">
        <v>7</v>
      </c>
      <c r="E199" s="8" t="s">
        <v>8</v>
      </c>
      <c r="F199" s="13">
        <v>23.227678154762543</v>
      </c>
      <c r="G199" s="12">
        <v>128073.30943964457</v>
      </c>
      <c r="I199"/>
    </row>
    <row r="200" spans="1:9" x14ac:dyDescent="0.3">
      <c r="A200" s="7" t="s">
        <v>9</v>
      </c>
      <c r="B200" s="8" t="s">
        <v>14</v>
      </c>
      <c r="C200" s="8" t="s">
        <v>25</v>
      </c>
      <c r="D200" s="8" t="s">
        <v>4</v>
      </c>
      <c r="E200" s="8" t="s">
        <v>10</v>
      </c>
      <c r="F200" s="13">
        <v>79.829595792580221</v>
      </c>
      <c r="G200" s="12">
        <v>34479.269556094405</v>
      </c>
      <c r="I200"/>
    </row>
    <row r="201" spans="1:9" x14ac:dyDescent="0.3">
      <c r="A201" s="7" t="s">
        <v>9</v>
      </c>
      <c r="B201" s="8" t="s">
        <v>27</v>
      </c>
      <c r="C201" s="8" t="s">
        <v>28</v>
      </c>
      <c r="D201" s="8" t="s">
        <v>4</v>
      </c>
      <c r="E201" s="8" t="s">
        <v>5</v>
      </c>
      <c r="F201" s="13">
        <v>129.31567669875221</v>
      </c>
      <c r="G201" s="12">
        <v>20138.304888058719</v>
      </c>
      <c r="I201"/>
    </row>
    <row r="202" spans="1:9" x14ac:dyDescent="0.3">
      <c r="A202" s="7" t="s">
        <v>9</v>
      </c>
      <c r="B202" s="8" t="s">
        <v>27</v>
      </c>
      <c r="C202" s="8" t="s">
        <v>38</v>
      </c>
      <c r="D202" s="8" t="s">
        <v>7</v>
      </c>
      <c r="E202" s="8" t="s">
        <v>8</v>
      </c>
      <c r="F202" s="13">
        <v>90.917668842848798</v>
      </c>
      <c r="G202" s="12">
        <v>117978.44446345836</v>
      </c>
      <c r="I202"/>
    </row>
    <row r="203" spans="1:9" x14ac:dyDescent="0.3">
      <c r="A203" s="7" t="s">
        <v>9</v>
      </c>
      <c r="B203" s="8" t="s">
        <v>2</v>
      </c>
      <c r="C203" s="8" t="s">
        <v>20</v>
      </c>
      <c r="D203" s="8" t="s">
        <v>4</v>
      </c>
      <c r="E203" s="8" t="s">
        <v>10</v>
      </c>
      <c r="F203" s="13">
        <v>159.87182260760164</v>
      </c>
      <c r="G203" s="12">
        <v>142652.80755261309</v>
      </c>
      <c r="I203"/>
    </row>
    <row r="204" spans="1:9" x14ac:dyDescent="0.3">
      <c r="A204" s="7" t="s">
        <v>9</v>
      </c>
      <c r="B204" s="8" t="s">
        <v>2</v>
      </c>
      <c r="C204" s="8" t="s">
        <v>3</v>
      </c>
      <c r="D204" s="8" t="s">
        <v>12</v>
      </c>
      <c r="E204" s="8" t="s">
        <v>13</v>
      </c>
      <c r="F204" s="13">
        <v>114.34540719437791</v>
      </c>
      <c r="G204" s="12">
        <v>53269.776771653182</v>
      </c>
      <c r="I204"/>
    </row>
    <row r="205" spans="1:9" x14ac:dyDescent="0.3">
      <c r="A205" s="7" t="s">
        <v>9</v>
      </c>
      <c r="B205" s="8" t="s">
        <v>27</v>
      </c>
      <c r="C205" s="8" t="s">
        <v>42</v>
      </c>
      <c r="D205" s="8" t="s">
        <v>4</v>
      </c>
      <c r="E205" s="8" t="s">
        <v>5</v>
      </c>
      <c r="F205" s="13">
        <v>170.75892102075159</v>
      </c>
      <c r="G205" s="12">
        <v>102403.6382146845</v>
      </c>
      <c r="I205"/>
    </row>
    <row r="206" spans="1:9" x14ac:dyDescent="0.3">
      <c r="A206" s="7" t="s">
        <v>9</v>
      </c>
      <c r="B206" s="8" t="s">
        <v>14</v>
      </c>
      <c r="C206" s="8" t="s">
        <v>36</v>
      </c>
      <c r="D206" s="8" t="s">
        <v>7</v>
      </c>
      <c r="E206" s="8" t="s">
        <v>8</v>
      </c>
      <c r="F206" s="13">
        <v>57.671999465492263</v>
      </c>
      <c r="G206" s="12">
        <v>76597.144664831809</v>
      </c>
      <c r="I206"/>
    </row>
    <row r="207" spans="1:9" x14ac:dyDescent="0.3">
      <c r="A207" s="7" t="s">
        <v>9</v>
      </c>
      <c r="B207" s="8" t="s">
        <v>33</v>
      </c>
      <c r="C207" s="8" t="s">
        <v>35</v>
      </c>
      <c r="D207" s="8" t="s">
        <v>4</v>
      </c>
      <c r="E207" s="8" t="s">
        <v>10</v>
      </c>
      <c r="F207" s="13">
        <v>76.211410080941278</v>
      </c>
      <c r="G207" s="12">
        <v>20727.083025568354</v>
      </c>
      <c r="I207"/>
    </row>
    <row r="208" spans="1:9" x14ac:dyDescent="0.3">
      <c r="A208" s="7" t="s">
        <v>11</v>
      </c>
      <c r="B208" s="8" t="s">
        <v>14</v>
      </c>
      <c r="C208" s="8" t="s">
        <v>18</v>
      </c>
      <c r="D208" s="8" t="s">
        <v>12</v>
      </c>
      <c r="E208" s="8" t="s">
        <v>13</v>
      </c>
      <c r="F208" s="13">
        <v>2544.1716859825647</v>
      </c>
      <c r="G208" s="12">
        <v>83168.705459137345</v>
      </c>
      <c r="I208"/>
    </row>
    <row r="209" spans="1:9" x14ac:dyDescent="0.3">
      <c r="A209" s="7" t="s">
        <v>1</v>
      </c>
      <c r="B209" s="8" t="s">
        <v>19</v>
      </c>
      <c r="C209" s="8" t="s">
        <v>19</v>
      </c>
      <c r="D209" s="8" t="s">
        <v>12</v>
      </c>
      <c r="E209" s="8" t="s">
        <v>16</v>
      </c>
      <c r="F209" s="13">
        <v>1430.6906962548965</v>
      </c>
      <c r="G209" s="12">
        <v>96274.683758339961</v>
      </c>
      <c r="I209"/>
    </row>
    <row r="210" spans="1:9" x14ac:dyDescent="0.3">
      <c r="A210" s="7" t="s">
        <v>11</v>
      </c>
      <c r="B210" s="8" t="s">
        <v>14</v>
      </c>
      <c r="C210" s="8" t="s">
        <v>24</v>
      </c>
      <c r="D210" s="8" t="s">
        <v>4</v>
      </c>
      <c r="E210" s="8" t="s">
        <v>5</v>
      </c>
      <c r="F210" s="13">
        <v>104.81890139162715</v>
      </c>
      <c r="G210" s="12">
        <v>30441.826777604532</v>
      </c>
      <c r="I210"/>
    </row>
    <row r="211" spans="1:9" x14ac:dyDescent="0.3">
      <c r="A211" s="7" t="s">
        <v>11</v>
      </c>
      <c r="B211" s="8" t="s">
        <v>27</v>
      </c>
      <c r="C211" s="8" t="s">
        <v>28</v>
      </c>
      <c r="D211" s="8" t="s">
        <v>7</v>
      </c>
      <c r="E211" s="8" t="s">
        <v>8</v>
      </c>
      <c r="F211" s="13">
        <v>3.7588093380691134</v>
      </c>
      <c r="G211" s="12">
        <v>66919.163440208373</v>
      </c>
      <c r="I211"/>
    </row>
    <row r="212" spans="1:9" x14ac:dyDescent="0.3">
      <c r="A212" s="7" t="s">
        <v>11</v>
      </c>
      <c r="B212" s="8" t="s">
        <v>14</v>
      </c>
      <c r="C212" s="8" t="s">
        <v>32</v>
      </c>
      <c r="D212" s="8" t="s">
        <v>4</v>
      </c>
      <c r="E212" s="8" t="s">
        <v>10</v>
      </c>
      <c r="F212" s="13">
        <v>70.493378936043882</v>
      </c>
      <c r="G212" s="12">
        <v>131895.81182504748</v>
      </c>
      <c r="I212"/>
    </row>
    <row r="213" spans="1:9" x14ac:dyDescent="0.3">
      <c r="A213" s="7" t="s">
        <v>11</v>
      </c>
      <c r="B213" s="8" t="s">
        <v>14</v>
      </c>
      <c r="C213" s="8" t="s">
        <v>37</v>
      </c>
      <c r="D213" s="8" t="s">
        <v>12</v>
      </c>
      <c r="E213" s="8" t="s">
        <v>13</v>
      </c>
      <c r="F213" s="13">
        <v>69.806847105974157</v>
      </c>
      <c r="G213" s="12">
        <v>11893.755327105935</v>
      </c>
      <c r="I213"/>
    </row>
    <row r="214" spans="1:9" x14ac:dyDescent="0.3">
      <c r="A214" s="7" t="s">
        <v>11</v>
      </c>
      <c r="B214" s="8" t="s">
        <v>27</v>
      </c>
      <c r="C214" s="8" t="s">
        <v>38</v>
      </c>
      <c r="D214" s="8" t="s">
        <v>12</v>
      </c>
      <c r="E214" s="8" t="s">
        <v>16</v>
      </c>
      <c r="F214" s="13">
        <v>46.097588068823825</v>
      </c>
      <c r="G214" s="12">
        <v>27878.252076083005</v>
      </c>
      <c r="I214"/>
    </row>
    <row r="215" spans="1:9" x14ac:dyDescent="0.3">
      <c r="A215" s="7" t="s">
        <v>11</v>
      </c>
      <c r="B215" s="8" t="s">
        <v>33</v>
      </c>
      <c r="C215" s="8" t="s">
        <v>39</v>
      </c>
      <c r="D215" s="8" t="s">
        <v>4</v>
      </c>
      <c r="E215" s="8" t="s">
        <v>5</v>
      </c>
      <c r="F215" s="13">
        <v>7.3352087576495251</v>
      </c>
      <c r="G215" s="12">
        <v>9312.7887013592645</v>
      </c>
      <c r="I215"/>
    </row>
    <row r="216" spans="1:9" x14ac:dyDescent="0.3">
      <c r="A216" s="7" t="s">
        <v>11</v>
      </c>
      <c r="B216" s="8" t="s">
        <v>27</v>
      </c>
      <c r="C216" s="8" t="s">
        <v>29</v>
      </c>
      <c r="D216" s="8" t="s">
        <v>7</v>
      </c>
      <c r="E216" s="8" t="s">
        <v>8</v>
      </c>
      <c r="F216" s="13">
        <v>91.308931367530022</v>
      </c>
      <c r="G216" s="12">
        <v>63502.987228581769</v>
      </c>
      <c r="I216"/>
    </row>
    <row r="217" spans="1:9" x14ac:dyDescent="0.3">
      <c r="A217" s="7" t="s">
        <v>11</v>
      </c>
      <c r="B217" s="8" t="s">
        <v>33</v>
      </c>
      <c r="C217" s="8" t="s">
        <v>40</v>
      </c>
      <c r="D217" s="8" t="s">
        <v>4</v>
      </c>
      <c r="E217" s="8" t="s">
        <v>10</v>
      </c>
      <c r="F217" s="13">
        <v>70.923858184232813</v>
      </c>
      <c r="G217" s="12">
        <v>78048.996624635198</v>
      </c>
      <c r="I217"/>
    </row>
    <row r="218" spans="1:9" x14ac:dyDescent="0.3">
      <c r="A218" s="7" t="s">
        <v>11</v>
      </c>
      <c r="B218" s="8" t="s">
        <v>33</v>
      </c>
      <c r="C218" s="8" t="s">
        <v>41</v>
      </c>
      <c r="D218" s="8" t="s">
        <v>12</v>
      </c>
      <c r="E218" s="8" t="s">
        <v>13</v>
      </c>
      <c r="F218" s="13">
        <v>52.448562827521528</v>
      </c>
      <c r="G218" s="12">
        <v>38424.910646561824</v>
      </c>
      <c r="I218"/>
    </row>
    <row r="219" spans="1:9" x14ac:dyDescent="0.3">
      <c r="A219" s="7" t="s">
        <v>11</v>
      </c>
      <c r="B219" s="8" t="s">
        <v>27</v>
      </c>
      <c r="C219" s="8" t="s">
        <v>42</v>
      </c>
      <c r="D219" s="8" t="s">
        <v>12</v>
      </c>
      <c r="E219" s="8" t="s">
        <v>16</v>
      </c>
      <c r="F219" s="13">
        <v>95.882749173779303</v>
      </c>
      <c r="G219" s="12">
        <v>17807.700731712343</v>
      </c>
      <c r="I219"/>
    </row>
    <row r="220" spans="1:9" x14ac:dyDescent="0.3">
      <c r="A220" s="7" t="s">
        <v>11</v>
      </c>
      <c r="B220" s="8" t="s">
        <v>14</v>
      </c>
      <c r="C220" s="8" t="s">
        <v>30</v>
      </c>
      <c r="D220" s="8" t="s">
        <v>7</v>
      </c>
      <c r="E220" s="8" t="s">
        <v>17</v>
      </c>
      <c r="F220" s="13">
        <v>39.082021919966792</v>
      </c>
      <c r="G220" s="12">
        <v>63140.549607370063</v>
      </c>
      <c r="I220"/>
    </row>
    <row r="221" spans="1:9" x14ac:dyDescent="0.3">
      <c r="A221" s="7" t="s">
        <v>11</v>
      </c>
      <c r="B221" s="8" t="s">
        <v>14</v>
      </c>
      <c r="C221" s="8" t="s">
        <v>36</v>
      </c>
      <c r="D221" s="8" t="s">
        <v>4</v>
      </c>
      <c r="E221" s="8" t="s">
        <v>5</v>
      </c>
      <c r="F221" s="13">
        <v>51.97028741304166</v>
      </c>
      <c r="G221" s="12">
        <v>74952.290975842974</v>
      </c>
      <c r="I221"/>
    </row>
    <row r="222" spans="1:9" x14ac:dyDescent="0.3">
      <c r="A222" s="7" t="s">
        <v>11</v>
      </c>
      <c r="B222" s="8" t="s">
        <v>14</v>
      </c>
      <c r="C222" s="8" t="s">
        <v>22</v>
      </c>
      <c r="D222" s="8" t="s">
        <v>7</v>
      </c>
      <c r="E222" s="8" t="s">
        <v>8</v>
      </c>
      <c r="F222" s="13">
        <v>77.816050646470103</v>
      </c>
      <c r="G222" s="12">
        <v>47904.650654221521</v>
      </c>
      <c r="I222"/>
    </row>
    <row r="223" spans="1:9" x14ac:dyDescent="0.3">
      <c r="A223" s="7" t="s">
        <v>11</v>
      </c>
      <c r="B223" s="8" t="s">
        <v>14</v>
      </c>
      <c r="C223" s="8" t="s">
        <v>25</v>
      </c>
      <c r="D223" s="8" t="s">
        <v>4</v>
      </c>
      <c r="E223" s="8" t="s">
        <v>10</v>
      </c>
      <c r="F223" s="13">
        <v>142.85691082932317</v>
      </c>
      <c r="G223" s="12">
        <v>4352.0178622453986</v>
      </c>
      <c r="I223"/>
    </row>
    <row r="224" spans="1:9" x14ac:dyDescent="0.3">
      <c r="A224" s="7" t="s">
        <v>11</v>
      </c>
      <c r="B224" s="8" t="s">
        <v>27</v>
      </c>
      <c r="C224" s="8" t="s">
        <v>28</v>
      </c>
      <c r="D224" s="8" t="s">
        <v>4</v>
      </c>
      <c r="E224" s="8" t="s">
        <v>5</v>
      </c>
      <c r="F224" s="13">
        <v>177.24591162259458</v>
      </c>
      <c r="G224" s="12">
        <v>39960.46312485425</v>
      </c>
      <c r="I224"/>
    </row>
    <row r="225" spans="1:9" x14ac:dyDescent="0.3">
      <c r="A225" s="7" t="s">
        <v>11</v>
      </c>
      <c r="B225" s="8" t="s">
        <v>27</v>
      </c>
      <c r="C225" s="8" t="s">
        <v>38</v>
      </c>
      <c r="D225" s="8" t="s">
        <v>7</v>
      </c>
      <c r="E225" s="8" t="s">
        <v>8</v>
      </c>
      <c r="F225" s="13">
        <v>68.847142915728909</v>
      </c>
      <c r="G225" s="12">
        <v>62047.58615154861</v>
      </c>
      <c r="I225"/>
    </row>
    <row r="226" spans="1:9" x14ac:dyDescent="0.3">
      <c r="A226" s="7" t="s">
        <v>11</v>
      </c>
      <c r="B226" s="8" t="s">
        <v>2</v>
      </c>
      <c r="C226" s="8" t="s">
        <v>20</v>
      </c>
      <c r="D226" s="8" t="s">
        <v>4</v>
      </c>
      <c r="E226" s="8" t="s">
        <v>10</v>
      </c>
      <c r="F226" s="13">
        <v>25.82977717720496</v>
      </c>
      <c r="G226" s="12">
        <v>125785.57041968373</v>
      </c>
      <c r="I226"/>
    </row>
    <row r="227" spans="1:9" x14ac:dyDescent="0.3">
      <c r="A227" s="7" t="s">
        <v>11</v>
      </c>
      <c r="B227" s="8" t="s">
        <v>2</v>
      </c>
      <c r="C227" s="8" t="s">
        <v>3</v>
      </c>
      <c r="D227" s="8" t="s">
        <v>12</v>
      </c>
      <c r="E227" s="8" t="s">
        <v>13</v>
      </c>
      <c r="F227" s="13">
        <v>32.727483889357245</v>
      </c>
      <c r="G227" s="12">
        <v>20091.09208874459</v>
      </c>
      <c r="I227"/>
    </row>
    <row r="228" spans="1:9" x14ac:dyDescent="0.3">
      <c r="A228" s="7" t="s">
        <v>11</v>
      </c>
      <c r="B228" s="8" t="s">
        <v>27</v>
      </c>
      <c r="C228" s="8" t="s">
        <v>42</v>
      </c>
      <c r="D228" s="8" t="s">
        <v>12</v>
      </c>
      <c r="E228" s="8" t="s">
        <v>16</v>
      </c>
      <c r="F228" s="13">
        <v>77.112421479978366</v>
      </c>
      <c r="G228" s="12">
        <v>89004.702443052636</v>
      </c>
      <c r="I228"/>
    </row>
    <row r="229" spans="1:9" x14ac:dyDescent="0.3">
      <c r="A229" s="7" t="s">
        <v>11</v>
      </c>
      <c r="B229" s="8" t="s">
        <v>14</v>
      </c>
      <c r="C229" s="8" t="s">
        <v>36</v>
      </c>
      <c r="D229" s="8" t="s">
        <v>7</v>
      </c>
      <c r="E229" s="8" t="s">
        <v>17</v>
      </c>
      <c r="F229" s="13">
        <v>41.599974720156752</v>
      </c>
      <c r="G229" s="12">
        <v>21953.440107556191</v>
      </c>
      <c r="I229"/>
    </row>
    <row r="230" spans="1:9" x14ac:dyDescent="0.3">
      <c r="A230" s="7" t="s">
        <v>11</v>
      </c>
      <c r="B230" s="8" t="s">
        <v>33</v>
      </c>
      <c r="C230" s="8" t="s">
        <v>35</v>
      </c>
      <c r="D230" s="8" t="s">
        <v>4</v>
      </c>
      <c r="E230" s="8" t="s">
        <v>5</v>
      </c>
      <c r="F230" s="13">
        <v>57.621394828856864</v>
      </c>
      <c r="G230" s="12">
        <v>64665.179948679805</v>
      </c>
      <c r="I230"/>
    </row>
    <row r="231" spans="1:9" x14ac:dyDescent="0.3">
      <c r="A231" s="7" t="s">
        <v>1</v>
      </c>
      <c r="B231" s="8" t="s">
        <v>14</v>
      </c>
      <c r="C231" s="8" t="s">
        <v>37</v>
      </c>
      <c r="D231" s="8" t="s">
        <v>7</v>
      </c>
      <c r="E231" s="8" t="s">
        <v>8</v>
      </c>
      <c r="F231" s="13">
        <v>139.07118519691721</v>
      </c>
      <c r="G231" s="12">
        <v>91884.662075472079</v>
      </c>
      <c r="I231"/>
    </row>
    <row r="232" spans="1:9" x14ac:dyDescent="0.3">
      <c r="A232" s="7" t="s">
        <v>1</v>
      </c>
      <c r="B232" s="8" t="s">
        <v>27</v>
      </c>
      <c r="C232" s="8" t="s">
        <v>42</v>
      </c>
      <c r="D232" s="8" t="s">
        <v>4</v>
      </c>
      <c r="E232" s="8" t="s">
        <v>10</v>
      </c>
      <c r="F232" s="13">
        <v>35.724372473396215</v>
      </c>
      <c r="G232" s="12">
        <v>101561.83467561277</v>
      </c>
      <c r="I232"/>
    </row>
    <row r="233" spans="1:9" x14ac:dyDescent="0.3">
      <c r="A233" s="7" t="s">
        <v>1</v>
      </c>
      <c r="B233" s="8" t="s">
        <v>14</v>
      </c>
      <c r="C233" s="8" t="s">
        <v>15</v>
      </c>
      <c r="D233" s="8" t="s">
        <v>12</v>
      </c>
      <c r="E233" s="8" t="s">
        <v>13</v>
      </c>
      <c r="F233" s="13">
        <v>1523.6360473943932</v>
      </c>
      <c r="G233" s="12">
        <v>121096.66224758257</v>
      </c>
      <c r="I233"/>
    </row>
    <row r="234" spans="1:9" x14ac:dyDescent="0.3">
      <c r="A234" s="7" t="s">
        <v>6</v>
      </c>
      <c r="B234" s="8" t="s">
        <v>19</v>
      </c>
      <c r="C234" s="8" t="s">
        <v>19</v>
      </c>
      <c r="D234" s="8" t="s">
        <v>12</v>
      </c>
      <c r="E234" s="8" t="s">
        <v>16</v>
      </c>
      <c r="F234" s="13">
        <v>1487.0756693509065</v>
      </c>
      <c r="G234" s="12">
        <v>98158.070149783525</v>
      </c>
      <c r="I234"/>
    </row>
    <row r="235" spans="1:9" x14ac:dyDescent="0.3">
      <c r="A235" s="7" t="s">
        <v>6</v>
      </c>
      <c r="B235" s="8" t="s">
        <v>14</v>
      </c>
      <c r="C235" s="8" t="s">
        <v>37</v>
      </c>
      <c r="D235" s="8" t="s">
        <v>7</v>
      </c>
      <c r="E235" s="8" t="s">
        <v>17</v>
      </c>
      <c r="F235" s="13">
        <v>97.265879490623774</v>
      </c>
      <c r="G235" s="12">
        <v>119218.70976539321</v>
      </c>
      <c r="I235"/>
    </row>
    <row r="236" spans="1:9" x14ac:dyDescent="0.3">
      <c r="A236" s="7" t="s">
        <v>6</v>
      </c>
      <c r="B236" s="8" t="s">
        <v>27</v>
      </c>
      <c r="C236" s="8" t="s">
        <v>42</v>
      </c>
      <c r="D236" s="8" t="s">
        <v>4</v>
      </c>
      <c r="E236" s="8" t="s">
        <v>5</v>
      </c>
      <c r="F236" s="13">
        <v>295.88341969456451</v>
      </c>
      <c r="G236" s="12">
        <v>39121.672173190294</v>
      </c>
      <c r="I236"/>
    </row>
    <row r="237" spans="1:9" x14ac:dyDescent="0.3">
      <c r="A237" s="7" t="s">
        <v>6</v>
      </c>
      <c r="B237" s="8" t="s">
        <v>14</v>
      </c>
      <c r="C237" s="8" t="s">
        <v>15</v>
      </c>
      <c r="D237" s="8" t="s">
        <v>7</v>
      </c>
      <c r="E237" s="8" t="s">
        <v>8</v>
      </c>
      <c r="F237" s="13">
        <v>1190.1104121803655</v>
      </c>
      <c r="G237" s="12">
        <v>25271.656386233226</v>
      </c>
      <c r="I237"/>
    </row>
    <row r="238" spans="1:9" x14ac:dyDescent="0.3">
      <c r="A238" s="7" t="s">
        <v>9</v>
      </c>
      <c r="B238" s="8" t="s">
        <v>19</v>
      </c>
      <c r="C238" s="8" t="s">
        <v>19</v>
      </c>
      <c r="D238" s="8" t="s">
        <v>4</v>
      </c>
      <c r="E238" s="8" t="s">
        <v>10</v>
      </c>
      <c r="F238" s="13">
        <v>289.90618482357604</v>
      </c>
      <c r="G238" s="12">
        <v>117823.61095852473</v>
      </c>
      <c r="I238"/>
    </row>
    <row r="239" spans="1:9" x14ac:dyDescent="0.3">
      <c r="A239" s="7" t="s">
        <v>9</v>
      </c>
      <c r="B239" s="8" t="s">
        <v>14</v>
      </c>
      <c r="C239" s="8" t="s">
        <v>37</v>
      </c>
      <c r="D239" s="8" t="s">
        <v>4</v>
      </c>
      <c r="E239" s="8" t="s">
        <v>5</v>
      </c>
      <c r="F239" s="13">
        <v>216.84468483927049</v>
      </c>
      <c r="G239" s="12">
        <v>71186.548634381761</v>
      </c>
      <c r="I239"/>
    </row>
    <row r="240" spans="1:9" x14ac:dyDescent="0.3">
      <c r="A240" s="7" t="s">
        <v>9</v>
      </c>
      <c r="B240" s="8" t="s">
        <v>27</v>
      </c>
      <c r="C240" s="8" t="s">
        <v>42</v>
      </c>
      <c r="D240" s="8" t="s">
        <v>7</v>
      </c>
      <c r="E240" s="8" t="s">
        <v>8</v>
      </c>
      <c r="F240" s="13">
        <v>233.83280678308438</v>
      </c>
      <c r="G240" s="12">
        <v>10884.545605998141</v>
      </c>
      <c r="I240"/>
    </row>
    <row r="241" spans="1:9" x14ac:dyDescent="0.3">
      <c r="A241" s="7" t="s">
        <v>9</v>
      </c>
      <c r="B241" s="8" t="s">
        <v>14</v>
      </c>
      <c r="C241" s="8" t="s">
        <v>15</v>
      </c>
      <c r="D241" s="8" t="s">
        <v>4</v>
      </c>
      <c r="E241" s="8" t="s">
        <v>10</v>
      </c>
      <c r="F241" s="13">
        <v>1219.1759434463165</v>
      </c>
      <c r="G241" s="12">
        <v>100367.54962929995</v>
      </c>
      <c r="I241"/>
    </row>
    <row r="242" spans="1:9" x14ac:dyDescent="0.3">
      <c r="A242" s="7" t="s">
        <v>11</v>
      </c>
      <c r="B242" s="8" t="s">
        <v>19</v>
      </c>
      <c r="C242" s="8" t="s">
        <v>19</v>
      </c>
      <c r="D242" s="8" t="s">
        <v>12</v>
      </c>
      <c r="E242" s="8" t="s">
        <v>13</v>
      </c>
      <c r="F242" s="13">
        <v>590.89274732077683</v>
      </c>
      <c r="G242" s="12">
        <v>16325.029754747196</v>
      </c>
      <c r="I242"/>
    </row>
    <row r="243" spans="1:9" x14ac:dyDescent="0.3">
      <c r="A243" s="7" t="s">
        <v>11</v>
      </c>
      <c r="B243" s="8" t="s">
        <v>14</v>
      </c>
      <c r="C243" s="8" t="s">
        <v>37</v>
      </c>
      <c r="D243" s="8" t="s">
        <v>4</v>
      </c>
      <c r="E243" s="8" t="s">
        <v>5</v>
      </c>
      <c r="F243" s="13">
        <v>249.20043496840663</v>
      </c>
      <c r="G243" s="12">
        <v>42353.147475490041</v>
      </c>
      <c r="I243"/>
    </row>
    <row r="244" spans="1:9" x14ac:dyDescent="0.3">
      <c r="A244" s="7" t="s">
        <v>11</v>
      </c>
      <c r="B244" s="8" t="s">
        <v>27</v>
      </c>
      <c r="C244" s="8" t="s">
        <v>42</v>
      </c>
      <c r="D244" s="8" t="s">
        <v>7</v>
      </c>
      <c r="E244" s="8" t="s">
        <v>8</v>
      </c>
      <c r="F244" s="13">
        <v>157.32537067697194</v>
      </c>
      <c r="G244" s="12">
        <v>106140.36080459868</v>
      </c>
      <c r="I244"/>
    </row>
    <row r="245" spans="1:9" x14ac:dyDescent="0.3">
      <c r="A245" s="7" t="s">
        <v>11</v>
      </c>
      <c r="B245" s="8" t="s">
        <v>14</v>
      </c>
      <c r="C245" s="8" t="s">
        <v>15</v>
      </c>
      <c r="D245" s="8" t="s">
        <v>4</v>
      </c>
      <c r="E245" s="8" t="s">
        <v>10</v>
      </c>
      <c r="F245" s="13">
        <v>1596.0895742406137</v>
      </c>
      <c r="G245" s="12">
        <v>10361.648145177049</v>
      </c>
      <c r="I245"/>
    </row>
    <row r="246" spans="1:9" x14ac:dyDescent="0.3">
      <c r="A246" s="7" t="s">
        <v>1</v>
      </c>
      <c r="B246" s="8" t="s">
        <v>27</v>
      </c>
      <c r="C246" s="8" t="s">
        <v>38</v>
      </c>
      <c r="D246" s="8" t="s">
        <v>12</v>
      </c>
      <c r="E246" s="8" t="s">
        <v>13</v>
      </c>
      <c r="F246" s="13">
        <v>177.11702985743614</v>
      </c>
      <c r="G246" s="12">
        <v>24483.560599855991</v>
      </c>
      <c r="I246"/>
    </row>
    <row r="247" spans="1:9" x14ac:dyDescent="0.3">
      <c r="A247" s="7" t="s">
        <v>1</v>
      </c>
      <c r="B247" s="8" t="s">
        <v>33</v>
      </c>
      <c r="C247" s="8" t="s">
        <v>40</v>
      </c>
      <c r="D247" s="8" t="s">
        <v>12</v>
      </c>
      <c r="E247" s="8" t="s">
        <v>16</v>
      </c>
      <c r="F247" s="13">
        <v>100.84326285177667</v>
      </c>
      <c r="G247" s="12">
        <v>94866.370366798947</v>
      </c>
      <c r="I247"/>
    </row>
    <row r="248" spans="1:9" x14ac:dyDescent="0.3">
      <c r="A248" s="7" t="s">
        <v>1</v>
      </c>
      <c r="B248" s="8" t="s">
        <v>14</v>
      </c>
      <c r="C248" s="8" t="s">
        <v>30</v>
      </c>
      <c r="D248" s="8" t="s">
        <v>4</v>
      </c>
      <c r="E248" s="8" t="s">
        <v>5</v>
      </c>
      <c r="F248" s="13">
        <v>68.730995708938281</v>
      </c>
      <c r="G248" s="12">
        <v>53743.10278084522</v>
      </c>
      <c r="I248"/>
    </row>
    <row r="249" spans="1:9" x14ac:dyDescent="0.3">
      <c r="A249" s="7" t="s">
        <v>1</v>
      </c>
      <c r="B249" s="8" t="s">
        <v>14</v>
      </c>
      <c r="C249" s="8" t="s">
        <v>24</v>
      </c>
      <c r="D249" s="8" t="s">
        <v>7</v>
      </c>
      <c r="E249" s="8" t="s">
        <v>8</v>
      </c>
      <c r="F249" s="13">
        <v>44.43848845003231</v>
      </c>
      <c r="G249" s="12">
        <v>25473.372056330845</v>
      </c>
      <c r="I249"/>
    </row>
    <row r="250" spans="1:9" x14ac:dyDescent="0.3">
      <c r="A250" s="7" t="s">
        <v>1</v>
      </c>
      <c r="B250" s="8" t="s">
        <v>14</v>
      </c>
      <c r="C250" s="8" t="s">
        <v>37</v>
      </c>
      <c r="D250" s="8" t="s">
        <v>4</v>
      </c>
      <c r="E250" s="8" t="s">
        <v>10</v>
      </c>
      <c r="F250" s="13">
        <v>78.523784269691532</v>
      </c>
      <c r="G250" s="12">
        <v>80473.743041238777</v>
      </c>
      <c r="I250"/>
    </row>
    <row r="251" spans="1:9" x14ac:dyDescent="0.3">
      <c r="A251" s="7" t="s">
        <v>1</v>
      </c>
      <c r="B251" s="8" t="s">
        <v>33</v>
      </c>
      <c r="C251" s="8" t="s">
        <v>39</v>
      </c>
      <c r="D251" s="8" t="s">
        <v>12</v>
      </c>
      <c r="E251" s="8" t="s">
        <v>13</v>
      </c>
      <c r="F251" s="13">
        <v>79.765051195863634</v>
      </c>
      <c r="G251" s="12">
        <v>12288.849106334965</v>
      </c>
      <c r="I251"/>
    </row>
    <row r="252" spans="1:9" x14ac:dyDescent="0.3">
      <c r="A252" s="7" t="s">
        <v>1</v>
      </c>
      <c r="B252" s="8" t="s">
        <v>27</v>
      </c>
      <c r="C252" s="8" t="s">
        <v>29</v>
      </c>
      <c r="D252" s="8" t="s">
        <v>12</v>
      </c>
      <c r="E252" s="8" t="s">
        <v>16</v>
      </c>
      <c r="F252" s="13">
        <v>52.928616834378772</v>
      </c>
      <c r="G252" s="12">
        <v>42677.091335553996</v>
      </c>
      <c r="I252"/>
    </row>
    <row r="253" spans="1:9" x14ac:dyDescent="0.3">
      <c r="A253" s="7" t="s">
        <v>1</v>
      </c>
      <c r="B253" s="8" t="s">
        <v>2</v>
      </c>
      <c r="C253" s="8" t="s">
        <v>26</v>
      </c>
      <c r="D253" s="8" t="s">
        <v>4</v>
      </c>
      <c r="E253" s="8" t="s">
        <v>5</v>
      </c>
      <c r="F253" s="13">
        <v>47.370416719968489</v>
      </c>
      <c r="G253" s="12">
        <v>33772.254575706029</v>
      </c>
      <c r="I253"/>
    </row>
    <row r="254" spans="1:9" x14ac:dyDescent="0.3">
      <c r="A254" s="7" t="s">
        <v>1</v>
      </c>
      <c r="B254" s="8" t="s">
        <v>33</v>
      </c>
      <c r="C254" s="8" t="s">
        <v>34</v>
      </c>
      <c r="D254" s="8" t="s">
        <v>7</v>
      </c>
      <c r="E254" s="8" t="s">
        <v>8</v>
      </c>
      <c r="F254" s="13">
        <v>86.636169096618687</v>
      </c>
      <c r="G254" s="12">
        <v>86589.845120124664</v>
      </c>
      <c r="I254"/>
    </row>
    <row r="255" spans="1:9" x14ac:dyDescent="0.3">
      <c r="A255" s="7" t="s">
        <v>1</v>
      </c>
      <c r="B255" s="8" t="s">
        <v>33</v>
      </c>
      <c r="C255" s="8" t="s">
        <v>40</v>
      </c>
      <c r="D255" s="8" t="s">
        <v>4</v>
      </c>
      <c r="E255" s="8" t="s">
        <v>10</v>
      </c>
      <c r="F255" s="13">
        <v>52.337769419318647</v>
      </c>
      <c r="G255" s="12">
        <v>18103.476507531013</v>
      </c>
      <c r="I255"/>
    </row>
    <row r="256" spans="1:9" x14ac:dyDescent="0.3">
      <c r="A256" s="7" t="s">
        <v>1</v>
      </c>
      <c r="B256" s="8" t="s">
        <v>33</v>
      </c>
      <c r="C256" s="8" t="s">
        <v>41</v>
      </c>
      <c r="D256" s="8" t="s">
        <v>12</v>
      </c>
      <c r="E256" s="8" t="s">
        <v>13</v>
      </c>
      <c r="F256" s="13">
        <v>75.952052772390743</v>
      </c>
      <c r="G256" s="12">
        <v>16792.309690481488</v>
      </c>
      <c r="I256"/>
    </row>
    <row r="257" spans="1:9" x14ac:dyDescent="0.3">
      <c r="A257" s="7" t="s">
        <v>1</v>
      </c>
      <c r="B257" s="8" t="s">
        <v>2</v>
      </c>
      <c r="C257" s="8" t="s">
        <v>31</v>
      </c>
      <c r="D257" s="8" t="s">
        <v>12</v>
      </c>
      <c r="E257" s="8" t="s">
        <v>16</v>
      </c>
      <c r="F257" s="13">
        <v>66.876001650052785</v>
      </c>
      <c r="G257" s="12">
        <v>91721.955745924788</v>
      </c>
      <c r="I257"/>
    </row>
    <row r="258" spans="1:9" x14ac:dyDescent="0.3">
      <c r="A258" s="7" t="s">
        <v>1</v>
      </c>
      <c r="B258" s="8" t="s">
        <v>14</v>
      </c>
      <c r="C258" s="8" t="s">
        <v>22</v>
      </c>
      <c r="D258" s="8" t="s">
        <v>7</v>
      </c>
      <c r="E258" s="8" t="s">
        <v>17</v>
      </c>
      <c r="F258" s="13">
        <v>65.139539092433552</v>
      </c>
      <c r="G258" s="12">
        <v>50709.931596520619</v>
      </c>
      <c r="I258"/>
    </row>
    <row r="259" spans="1:9" x14ac:dyDescent="0.3">
      <c r="A259" s="7" t="s">
        <v>6</v>
      </c>
      <c r="B259" s="8" t="s">
        <v>27</v>
      </c>
      <c r="C259" s="8" t="s">
        <v>38</v>
      </c>
      <c r="D259" s="8" t="s">
        <v>4</v>
      </c>
      <c r="E259" s="8" t="s">
        <v>5</v>
      </c>
      <c r="F259" s="13">
        <v>90.236329509934876</v>
      </c>
      <c r="G259" s="12">
        <v>60559.109595542395</v>
      </c>
      <c r="I259"/>
    </row>
    <row r="260" spans="1:9" x14ac:dyDescent="0.3">
      <c r="A260" s="7" t="s">
        <v>6</v>
      </c>
      <c r="B260" s="8" t="s">
        <v>33</v>
      </c>
      <c r="C260" s="8" t="s">
        <v>40</v>
      </c>
      <c r="D260" s="8" t="s">
        <v>7</v>
      </c>
      <c r="E260" s="8" t="s">
        <v>8</v>
      </c>
      <c r="F260" s="13">
        <v>167.42006514305103</v>
      </c>
      <c r="G260" s="12">
        <v>3437.0049675026166</v>
      </c>
      <c r="I260"/>
    </row>
    <row r="261" spans="1:9" x14ac:dyDescent="0.3">
      <c r="A261" s="7" t="s">
        <v>6</v>
      </c>
      <c r="B261" s="8" t="s">
        <v>14</v>
      </c>
      <c r="C261" s="8" t="s">
        <v>30</v>
      </c>
      <c r="D261" s="8" t="s">
        <v>4</v>
      </c>
      <c r="E261" s="8" t="s">
        <v>5</v>
      </c>
      <c r="F261" s="13">
        <v>108.52241612192302</v>
      </c>
      <c r="G261" s="12">
        <v>89682.104408357191</v>
      </c>
      <c r="I261"/>
    </row>
    <row r="262" spans="1:9" x14ac:dyDescent="0.3">
      <c r="A262" s="7" t="s">
        <v>6</v>
      </c>
      <c r="B262" s="8" t="s">
        <v>14</v>
      </c>
      <c r="C262" s="8" t="s">
        <v>24</v>
      </c>
      <c r="D262" s="8" t="s">
        <v>7</v>
      </c>
      <c r="E262" s="8" t="s">
        <v>8</v>
      </c>
      <c r="F262" s="13">
        <v>63.180439281586587</v>
      </c>
      <c r="G262" s="12">
        <v>61824.471550763519</v>
      </c>
      <c r="I262"/>
    </row>
    <row r="263" spans="1:9" x14ac:dyDescent="0.3">
      <c r="A263" s="7" t="s">
        <v>6</v>
      </c>
      <c r="B263" s="8" t="s">
        <v>14</v>
      </c>
      <c r="C263" s="8" t="s">
        <v>37</v>
      </c>
      <c r="D263" s="8" t="s">
        <v>4</v>
      </c>
      <c r="E263" s="8" t="s">
        <v>10</v>
      </c>
      <c r="F263" s="13">
        <v>70.993900038229185</v>
      </c>
      <c r="G263" s="12">
        <v>90068.468763121928</v>
      </c>
      <c r="I263"/>
    </row>
    <row r="264" spans="1:9" x14ac:dyDescent="0.3">
      <c r="A264" s="7" t="s">
        <v>6</v>
      </c>
      <c r="B264" s="8" t="s">
        <v>33</v>
      </c>
      <c r="C264" s="8" t="s">
        <v>39</v>
      </c>
      <c r="D264" s="8" t="s">
        <v>12</v>
      </c>
      <c r="E264" s="8" t="s">
        <v>13</v>
      </c>
      <c r="F264" s="13">
        <v>22.332521897533297</v>
      </c>
      <c r="G264" s="12">
        <v>10142.62534307727</v>
      </c>
      <c r="I264"/>
    </row>
    <row r="265" spans="1:9" x14ac:dyDescent="0.3">
      <c r="A265" s="7" t="s">
        <v>6</v>
      </c>
      <c r="B265" s="8" t="s">
        <v>27</v>
      </c>
      <c r="C265" s="8" t="s">
        <v>29</v>
      </c>
      <c r="D265" s="8" t="s">
        <v>12</v>
      </c>
      <c r="E265" s="8" t="s">
        <v>16</v>
      </c>
      <c r="F265" s="13">
        <v>95.750880049854459</v>
      </c>
      <c r="G265" s="12">
        <v>12127.441508555421</v>
      </c>
      <c r="I265"/>
    </row>
    <row r="266" spans="1:9" x14ac:dyDescent="0.3">
      <c r="A266" s="7" t="s">
        <v>6</v>
      </c>
      <c r="B266" s="8" t="s">
        <v>2</v>
      </c>
      <c r="C266" s="8" t="s">
        <v>26</v>
      </c>
      <c r="D266" s="8" t="s">
        <v>7</v>
      </c>
      <c r="E266" s="8" t="s">
        <v>17</v>
      </c>
      <c r="F266" s="13">
        <v>7.902047799234424</v>
      </c>
      <c r="G266" s="12">
        <v>65530.657488090583</v>
      </c>
      <c r="I266"/>
    </row>
    <row r="267" spans="1:9" x14ac:dyDescent="0.3">
      <c r="A267" s="7" t="s">
        <v>6</v>
      </c>
      <c r="B267" s="8" t="s">
        <v>33</v>
      </c>
      <c r="C267" s="8" t="s">
        <v>34</v>
      </c>
      <c r="D267" s="8" t="s">
        <v>4</v>
      </c>
      <c r="E267" s="8" t="s">
        <v>5</v>
      </c>
      <c r="F267" s="13">
        <v>71.213930101657752</v>
      </c>
      <c r="G267" s="12">
        <v>18199.840963791758</v>
      </c>
      <c r="I267"/>
    </row>
    <row r="268" spans="1:9" x14ac:dyDescent="0.3">
      <c r="A268" s="7" t="s">
        <v>6</v>
      </c>
      <c r="B268" s="8" t="s">
        <v>33</v>
      </c>
      <c r="C268" s="8" t="s">
        <v>40</v>
      </c>
      <c r="D268" s="8" t="s">
        <v>7</v>
      </c>
      <c r="E268" s="8" t="s">
        <v>8</v>
      </c>
      <c r="F268" s="13">
        <v>74.220430841069174</v>
      </c>
      <c r="G268" s="12">
        <v>24179.711141572625</v>
      </c>
      <c r="I268"/>
    </row>
    <row r="269" spans="1:9" x14ac:dyDescent="0.3">
      <c r="A269" s="7" t="s">
        <v>6</v>
      </c>
      <c r="B269" s="8" t="s">
        <v>33</v>
      </c>
      <c r="C269" s="8" t="s">
        <v>41</v>
      </c>
      <c r="D269" s="8" t="s">
        <v>4</v>
      </c>
      <c r="E269" s="8" t="s">
        <v>10</v>
      </c>
      <c r="F269" s="13">
        <v>78.189038582240755</v>
      </c>
      <c r="G269" s="12">
        <v>75056.743545451347</v>
      </c>
      <c r="I269"/>
    </row>
    <row r="270" spans="1:9" x14ac:dyDescent="0.3">
      <c r="A270" s="7" t="s">
        <v>6</v>
      </c>
      <c r="B270" s="8" t="s">
        <v>2</v>
      </c>
      <c r="C270" s="8" t="s">
        <v>31</v>
      </c>
      <c r="D270" s="8" t="s">
        <v>4</v>
      </c>
      <c r="E270" s="8" t="s">
        <v>5</v>
      </c>
      <c r="F270" s="13">
        <v>40.235253261016624</v>
      </c>
      <c r="G270" s="12">
        <v>38248.089273572987</v>
      </c>
      <c r="I270"/>
    </row>
    <row r="271" spans="1:9" x14ac:dyDescent="0.3">
      <c r="A271" s="7" t="s">
        <v>6</v>
      </c>
      <c r="B271" s="8" t="s">
        <v>14</v>
      </c>
      <c r="C271" s="8" t="s">
        <v>22</v>
      </c>
      <c r="D271" s="8" t="s">
        <v>7</v>
      </c>
      <c r="E271" s="8" t="s">
        <v>8</v>
      </c>
      <c r="F271" s="13">
        <v>17.764374356374901</v>
      </c>
      <c r="G271" s="12">
        <v>620.47062100918993</v>
      </c>
      <c r="I271"/>
    </row>
    <row r="272" spans="1:9" x14ac:dyDescent="0.3">
      <c r="A272" s="7" t="s">
        <v>9</v>
      </c>
      <c r="B272" s="8" t="s">
        <v>27</v>
      </c>
      <c r="C272" s="8" t="s">
        <v>38</v>
      </c>
      <c r="D272" s="8" t="s">
        <v>4</v>
      </c>
      <c r="E272" s="8" t="s">
        <v>10</v>
      </c>
      <c r="F272" s="13">
        <v>177.21095838005567</v>
      </c>
      <c r="G272" s="12">
        <v>27154.256182984082</v>
      </c>
      <c r="I272"/>
    </row>
    <row r="273" spans="1:9" x14ac:dyDescent="0.3">
      <c r="A273" s="7" t="s">
        <v>9</v>
      </c>
      <c r="B273" s="8" t="s">
        <v>33</v>
      </c>
      <c r="C273" s="8" t="s">
        <v>40</v>
      </c>
      <c r="D273" s="8" t="s">
        <v>12</v>
      </c>
      <c r="E273" s="8" t="s">
        <v>13</v>
      </c>
      <c r="F273" s="13">
        <v>60.641928185214056</v>
      </c>
      <c r="G273" s="12">
        <v>37395.719325168327</v>
      </c>
      <c r="I273"/>
    </row>
    <row r="274" spans="1:9" x14ac:dyDescent="0.3">
      <c r="A274" s="7" t="s">
        <v>9</v>
      </c>
      <c r="B274" s="8" t="s">
        <v>14</v>
      </c>
      <c r="C274" s="8" t="s">
        <v>30</v>
      </c>
      <c r="D274" s="8" t="s">
        <v>4</v>
      </c>
      <c r="E274" s="8" t="s">
        <v>5</v>
      </c>
      <c r="F274" s="13">
        <v>130.01888773560495</v>
      </c>
      <c r="G274" s="12">
        <v>29653.413290444805</v>
      </c>
      <c r="I274"/>
    </row>
    <row r="275" spans="1:9" x14ac:dyDescent="0.3">
      <c r="A275" s="7" t="s">
        <v>9</v>
      </c>
      <c r="B275" s="8" t="s">
        <v>14</v>
      </c>
      <c r="C275" s="8" t="s">
        <v>24</v>
      </c>
      <c r="D275" s="8" t="s">
        <v>7</v>
      </c>
      <c r="E275" s="8" t="s">
        <v>8</v>
      </c>
      <c r="F275" s="13">
        <v>63.592021378826757</v>
      </c>
      <c r="G275" s="12">
        <v>70180.570763741009</v>
      </c>
      <c r="I275"/>
    </row>
    <row r="276" spans="1:9" x14ac:dyDescent="0.3">
      <c r="A276" s="7" t="s">
        <v>9</v>
      </c>
      <c r="B276" s="8" t="s">
        <v>14</v>
      </c>
      <c r="C276" s="8" t="s">
        <v>37</v>
      </c>
      <c r="D276" s="8" t="s">
        <v>4</v>
      </c>
      <c r="E276" s="8" t="s">
        <v>10</v>
      </c>
      <c r="F276" s="13">
        <v>28.529063117550191</v>
      </c>
      <c r="G276" s="12">
        <v>15108.237345059188</v>
      </c>
      <c r="I276"/>
    </row>
    <row r="277" spans="1:9" x14ac:dyDescent="0.3">
      <c r="A277" s="7" t="s">
        <v>9</v>
      </c>
      <c r="B277" s="8" t="s">
        <v>33</v>
      </c>
      <c r="C277" s="8" t="s">
        <v>39</v>
      </c>
      <c r="D277" s="8" t="s">
        <v>12</v>
      </c>
      <c r="E277" s="8" t="s">
        <v>13</v>
      </c>
      <c r="F277" s="13">
        <v>18.901004097097029</v>
      </c>
      <c r="G277" s="12">
        <v>38357.83036820362</v>
      </c>
      <c r="I277"/>
    </row>
    <row r="278" spans="1:9" x14ac:dyDescent="0.3">
      <c r="A278" s="7" t="s">
        <v>9</v>
      </c>
      <c r="B278" s="8" t="s">
        <v>27</v>
      </c>
      <c r="C278" s="8" t="s">
        <v>29</v>
      </c>
      <c r="D278" s="8" t="s">
        <v>12</v>
      </c>
      <c r="E278" s="8" t="s">
        <v>16</v>
      </c>
      <c r="F278" s="13">
        <v>10.654585721295007</v>
      </c>
      <c r="G278" s="12">
        <v>77980.10922802522</v>
      </c>
      <c r="I278"/>
    </row>
    <row r="279" spans="1:9" x14ac:dyDescent="0.3">
      <c r="A279" s="7" t="s">
        <v>9</v>
      </c>
      <c r="B279" s="8" t="s">
        <v>2</v>
      </c>
      <c r="C279" s="8" t="s">
        <v>26</v>
      </c>
      <c r="D279" s="8" t="s">
        <v>4</v>
      </c>
      <c r="E279" s="8" t="s">
        <v>5</v>
      </c>
      <c r="F279" s="13">
        <v>3.7152283679477982</v>
      </c>
      <c r="G279" s="12">
        <v>65643.584440239851</v>
      </c>
      <c r="I279"/>
    </row>
    <row r="280" spans="1:9" x14ac:dyDescent="0.3">
      <c r="A280" s="7" t="s">
        <v>9</v>
      </c>
      <c r="B280" s="8" t="s">
        <v>33</v>
      </c>
      <c r="C280" s="8" t="s">
        <v>34</v>
      </c>
      <c r="D280" s="8" t="s">
        <v>7</v>
      </c>
      <c r="E280" s="8" t="s">
        <v>8</v>
      </c>
      <c r="F280" s="13">
        <v>14.069706675400084</v>
      </c>
      <c r="G280" s="12">
        <v>66318.88660660485</v>
      </c>
      <c r="I280"/>
    </row>
    <row r="281" spans="1:9" x14ac:dyDescent="0.3">
      <c r="A281" s="7" t="s">
        <v>9</v>
      </c>
      <c r="B281" s="8" t="s">
        <v>33</v>
      </c>
      <c r="C281" s="8" t="s">
        <v>40</v>
      </c>
      <c r="D281" s="8" t="s">
        <v>4</v>
      </c>
      <c r="E281" s="8" t="s">
        <v>10</v>
      </c>
      <c r="F281" s="13">
        <v>20.182515551823599</v>
      </c>
      <c r="G281" s="12">
        <v>43230.904369086427</v>
      </c>
      <c r="I281"/>
    </row>
    <row r="282" spans="1:9" x14ac:dyDescent="0.3">
      <c r="A282" s="7" t="s">
        <v>9</v>
      </c>
      <c r="B282" s="8" t="s">
        <v>33</v>
      </c>
      <c r="C282" s="8" t="s">
        <v>41</v>
      </c>
      <c r="D282" s="8" t="s">
        <v>12</v>
      </c>
      <c r="E282" s="8" t="s">
        <v>13</v>
      </c>
      <c r="F282" s="13">
        <v>87.689541155214101</v>
      </c>
      <c r="G282" s="12">
        <v>58328.553334850003</v>
      </c>
      <c r="I282"/>
    </row>
    <row r="283" spans="1:9" x14ac:dyDescent="0.3">
      <c r="A283" s="7" t="s">
        <v>9</v>
      </c>
      <c r="B283" s="8" t="s">
        <v>2</v>
      </c>
      <c r="C283" s="8" t="s">
        <v>31</v>
      </c>
      <c r="D283" s="8" t="s">
        <v>12</v>
      </c>
      <c r="E283" s="8" t="s">
        <v>16</v>
      </c>
      <c r="F283" s="13">
        <v>1.9482250383589417</v>
      </c>
      <c r="G283" s="12">
        <v>58620.849540628005</v>
      </c>
      <c r="I283"/>
    </row>
    <row r="284" spans="1:9" x14ac:dyDescent="0.3">
      <c r="A284" s="7" t="s">
        <v>9</v>
      </c>
      <c r="B284" s="8" t="s">
        <v>14</v>
      </c>
      <c r="C284" s="8" t="s">
        <v>22</v>
      </c>
      <c r="D284" s="8" t="s">
        <v>4</v>
      </c>
      <c r="E284" s="8" t="s">
        <v>5</v>
      </c>
      <c r="F284" s="13">
        <v>85.508677666439326</v>
      </c>
      <c r="G284" s="12">
        <v>73878.415099880935</v>
      </c>
      <c r="I284"/>
    </row>
    <row r="285" spans="1:9" x14ac:dyDescent="0.3">
      <c r="A285" s="7" t="s">
        <v>11</v>
      </c>
      <c r="B285" s="8" t="s">
        <v>27</v>
      </c>
      <c r="C285" s="8" t="s">
        <v>38</v>
      </c>
      <c r="D285" s="8" t="s">
        <v>7</v>
      </c>
      <c r="E285" s="8" t="s">
        <v>8</v>
      </c>
      <c r="F285" s="13">
        <v>143.82138313794712</v>
      </c>
      <c r="G285" s="12">
        <v>43942.100098472962</v>
      </c>
      <c r="I285"/>
    </row>
    <row r="286" spans="1:9" x14ac:dyDescent="0.3">
      <c r="A286" s="7" t="s">
        <v>11</v>
      </c>
      <c r="B286" s="8" t="s">
        <v>33</v>
      </c>
      <c r="C286" s="8" t="s">
        <v>40</v>
      </c>
      <c r="D286" s="8" t="s">
        <v>4</v>
      </c>
      <c r="E286" s="8" t="s">
        <v>10</v>
      </c>
      <c r="F286" s="13">
        <v>85.436618502353667</v>
      </c>
      <c r="G286" s="12">
        <v>51756.404736562305</v>
      </c>
      <c r="I286"/>
    </row>
    <row r="287" spans="1:9" x14ac:dyDescent="0.3">
      <c r="A287" s="7" t="s">
        <v>11</v>
      </c>
      <c r="B287" s="8" t="s">
        <v>14</v>
      </c>
      <c r="C287" s="8" t="s">
        <v>30</v>
      </c>
      <c r="D287" s="8" t="s">
        <v>12</v>
      </c>
      <c r="E287" s="8" t="s">
        <v>13</v>
      </c>
      <c r="F287" s="13">
        <v>161.71719179419597</v>
      </c>
      <c r="G287" s="12">
        <v>11411.904013939364</v>
      </c>
      <c r="I287"/>
    </row>
    <row r="288" spans="1:9" x14ac:dyDescent="0.3">
      <c r="A288" s="7" t="s">
        <v>11</v>
      </c>
      <c r="B288" s="8" t="s">
        <v>14</v>
      </c>
      <c r="C288" s="8" t="s">
        <v>24</v>
      </c>
      <c r="D288" s="8" t="s">
        <v>12</v>
      </c>
      <c r="E288" s="8" t="s">
        <v>16</v>
      </c>
      <c r="F288" s="13">
        <v>9.9283061405003536</v>
      </c>
      <c r="G288" s="12">
        <v>34303.200940980227</v>
      </c>
      <c r="I288"/>
    </row>
    <row r="289" spans="1:9" x14ac:dyDescent="0.3">
      <c r="A289" s="7" t="s">
        <v>11</v>
      </c>
      <c r="B289" s="8" t="s">
        <v>14</v>
      </c>
      <c r="C289" s="8" t="s">
        <v>37</v>
      </c>
      <c r="D289" s="8" t="s">
        <v>7</v>
      </c>
      <c r="E289" s="8" t="s">
        <v>17</v>
      </c>
      <c r="F289" s="13">
        <v>76.798394215711596</v>
      </c>
      <c r="G289" s="12">
        <v>35464.992214699436</v>
      </c>
      <c r="I289"/>
    </row>
    <row r="290" spans="1:9" x14ac:dyDescent="0.3">
      <c r="A290" s="7" t="s">
        <v>11</v>
      </c>
      <c r="B290" s="8" t="s">
        <v>33</v>
      </c>
      <c r="C290" s="8" t="s">
        <v>39</v>
      </c>
      <c r="D290" s="8" t="s">
        <v>4</v>
      </c>
      <c r="E290" s="8" t="s">
        <v>5</v>
      </c>
      <c r="F290" s="13">
        <v>97.385058962572657</v>
      </c>
      <c r="G290" s="12">
        <v>6959.927095020942</v>
      </c>
      <c r="I290"/>
    </row>
    <row r="291" spans="1:9" x14ac:dyDescent="0.3">
      <c r="A291" s="7" t="s">
        <v>11</v>
      </c>
      <c r="B291" s="8" t="s">
        <v>27</v>
      </c>
      <c r="C291" s="8" t="s">
        <v>29</v>
      </c>
      <c r="D291" s="8" t="s">
        <v>4</v>
      </c>
      <c r="E291" s="8" t="s">
        <v>5</v>
      </c>
      <c r="F291" s="13">
        <v>2.6591125320010178</v>
      </c>
      <c r="G291" s="12">
        <v>11591.486860909563</v>
      </c>
      <c r="I291"/>
    </row>
    <row r="292" spans="1:9" x14ac:dyDescent="0.3">
      <c r="A292" s="7" t="s">
        <v>11</v>
      </c>
      <c r="B292" s="8" t="s">
        <v>2</v>
      </c>
      <c r="C292" s="8" t="s">
        <v>26</v>
      </c>
      <c r="D292" s="8" t="s">
        <v>7</v>
      </c>
      <c r="E292" s="8" t="s">
        <v>8</v>
      </c>
      <c r="F292" s="13">
        <v>51.15981683593418</v>
      </c>
      <c r="G292" s="12">
        <v>30163.845372557469</v>
      </c>
      <c r="I292"/>
    </row>
    <row r="293" spans="1:9" x14ac:dyDescent="0.3">
      <c r="A293" s="7" t="s">
        <v>11</v>
      </c>
      <c r="B293" s="8" t="s">
        <v>33</v>
      </c>
      <c r="C293" s="8" t="s">
        <v>34</v>
      </c>
      <c r="D293" s="8" t="s">
        <v>4</v>
      </c>
      <c r="E293" s="8" t="s">
        <v>10</v>
      </c>
      <c r="F293" s="13">
        <v>37.248194237963617</v>
      </c>
      <c r="G293" s="12">
        <v>60943.495028967016</v>
      </c>
      <c r="I293"/>
    </row>
    <row r="294" spans="1:9" x14ac:dyDescent="0.3">
      <c r="A294" s="7" t="s">
        <v>11</v>
      </c>
      <c r="B294" s="8" t="s">
        <v>33</v>
      </c>
      <c r="C294" s="8" t="s">
        <v>40</v>
      </c>
      <c r="D294" s="8" t="s">
        <v>12</v>
      </c>
      <c r="E294" s="8" t="s">
        <v>13</v>
      </c>
      <c r="F294" s="13">
        <v>51.712065301217081</v>
      </c>
      <c r="G294" s="12">
        <v>68604.47688201748</v>
      </c>
      <c r="I294"/>
    </row>
    <row r="295" spans="1:9" x14ac:dyDescent="0.3">
      <c r="A295" s="7" t="s">
        <v>11</v>
      </c>
      <c r="B295" s="8" t="s">
        <v>33</v>
      </c>
      <c r="C295" s="8" t="s">
        <v>41</v>
      </c>
      <c r="D295" s="8" t="s">
        <v>12</v>
      </c>
      <c r="E295" s="8" t="s">
        <v>16</v>
      </c>
      <c r="F295" s="13">
        <v>85.4875101403195</v>
      </c>
      <c r="G295" s="12">
        <v>916.84033214210103</v>
      </c>
      <c r="I295"/>
    </row>
    <row r="296" spans="1:9" x14ac:dyDescent="0.3">
      <c r="A296" s="7" t="s">
        <v>11</v>
      </c>
      <c r="B296" s="8" t="s">
        <v>2</v>
      </c>
      <c r="C296" s="8" t="s">
        <v>31</v>
      </c>
      <c r="D296" s="8" t="s">
        <v>7</v>
      </c>
      <c r="E296" s="8" t="s">
        <v>17</v>
      </c>
      <c r="F296" s="13">
        <v>60.427970557066146</v>
      </c>
      <c r="G296" s="12">
        <v>56553.691261678767</v>
      </c>
      <c r="I296"/>
    </row>
    <row r="297" spans="1:9" x14ac:dyDescent="0.3">
      <c r="A297" s="7" t="s">
        <v>11</v>
      </c>
      <c r="B297" s="8" t="s">
        <v>14</v>
      </c>
      <c r="C297" s="8" t="s">
        <v>22</v>
      </c>
      <c r="D297" s="8" t="s">
        <v>4</v>
      </c>
      <c r="E297" s="8" t="s">
        <v>5</v>
      </c>
      <c r="F297" s="13">
        <v>43.711287169207935</v>
      </c>
      <c r="G297" s="12">
        <v>65480.063221693359</v>
      </c>
      <c r="I297"/>
    </row>
    <row r="298" spans="1:9" x14ac:dyDescent="0.3">
      <c r="A298" s="7" t="s">
        <v>1</v>
      </c>
      <c r="B298" s="8" t="s">
        <v>14</v>
      </c>
      <c r="C298" s="8" t="s">
        <v>15</v>
      </c>
      <c r="D298" s="8" t="s">
        <v>7</v>
      </c>
      <c r="E298" s="8" t="s">
        <v>8</v>
      </c>
      <c r="F298" s="13">
        <v>1010.4547427408761</v>
      </c>
      <c r="G298" s="12">
        <v>13776.29415144329</v>
      </c>
      <c r="I298"/>
    </row>
    <row r="299" spans="1:9" x14ac:dyDescent="0.3">
      <c r="A299" s="7" t="s">
        <v>6</v>
      </c>
      <c r="B299" s="8" t="s">
        <v>14</v>
      </c>
      <c r="C299" s="8" t="s">
        <v>15</v>
      </c>
      <c r="D299" s="8" t="s">
        <v>4</v>
      </c>
      <c r="E299" s="8" t="s">
        <v>10</v>
      </c>
      <c r="F299" s="13">
        <v>1911.5653735090746</v>
      </c>
      <c r="G299" s="12">
        <v>42875.635799501557</v>
      </c>
      <c r="I299"/>
    </row>
    <row r="300" spans="1:9" x14ac:dyDescent="0.3">
      <c r="A300" s="7" t="s">
        <v>9</v>
      </c>
      <c r="B300" s="8" t="s">
        <v>14</v>
      </c>
      <c r="C300" s="8" t="s">
        <v>15</v>
      </c>
      <c r="D300" s="8" t="s">
        <v>4</v>
      </c>
      <c r="E300" s="8" t="s">
        <v>5</v>
      </c>
      <c r="F300" s="13">
        <v>116.36232526816457</v>
      </c>
      <c r="G300" s="12">
        <v>19221.35044877819</v>
      </c>
      <c r="I300"/>
    </row>
    <row r="301" spans="1:9" x14ac:dyDescent="0.3">
      <c r="A301" s="7" t="s">
        <v>11</v>
      </c>
      <c r="B301" s="8" t="s">
        <v>14</v>
      </c>
      <c r="C301" s="8" t="s">
        <v>15</v>
      </c>
      <c r="D301" s="8" t="s">
        <v>7</v>
      </c>
      <c r="E301" s="8" t="s">
        <v>8</v>
      </c>
      <c r="F301" s="13">
        <v>804.43315641277877</v>
      </c>
      <c r="G301" s="12">
        <v>9449.929069359574</v>
      </c>
      <c r="I301"/>
    </row>
    <row r="302" spans="1:9" x14ac:dyDescent="0.3">
      <c r="A302" s="7" t="s">
        <v>1</v>
      </c>
      <c r="B302" s="8" t="s">
        <v>19</v>
      </c>
      <c r="C302" s="8" t="s">
        <v>19</v>
      </c>
      <c r="D302" s="8" t="s">
        <v>4</v>
      </c>
      <c r="E302" s="8" t="s">
        <v>10</v>
      </c>
      <c r="F302" s="13">
        <v>1330.5281368517171</v>
      </c>
      <c r="G302" s="12">
        <v>41554.648790690408</v>
      </c>
      <c r="I302"/>
    </row>
    <row r="303" spans="1:9" x14ac:dyDescent="0.3">
      <c r="A303" s="7" t="s">
        <v>1</v>
      </c>
      <c r="B303" s="8" t="s">
        <v>14</v>
      </c>
      <c r="C303" s="8" t="s">
        <v>25</v>
      </c>
      <c r="D303" s="8" t="s">
        <v>12</v>
      </c>
      <c r="E303" s="8" t="s">
        <v>13</v>
      </c>
      <c r="F303" s="13">
        <v>18.172000426056911</v>
      </c>
      <c r="G303" s="12">
        <v>43514.037482054846</v>
      </c>
      <c r="I303"/>
    </row>
    <row r="304" spans="1:9" x14ac:dyDescent="0.3">
      <c r="A304" s="7" t="s">
        <v>1</v>
      </c>
      <c r="B304" s="8" t="s">
        <v>33</v>
      </c>
      <c r="C304" s="8" t="s">
        <v>39</v>
      </c>
      <c r="D304" s="8" t="s">
        <v>4</v>
      </c>
      <c r="E304" s="8" t="s">
        <v>5</v>
      </c>
      <c r="F304" s="13">
        <v>98.899655097102368</v>
      </c>
      <c r="G304" s="12">
        <v>1226.2833784461691</v>
      </c>
      <c r="I304"/>
    </row>
    <row r="305" spans="1:9" x14ac:dyDescent="0.3">
      <c r="A305" s="7" t="s">
        <v>1</v>
      </c>
      <c r="B305" s="8" t="s">
        <v>33</v>
      </c>
      <c r="C305" s="8" t="s">
        <v>34</v>
      </c>
      <c r="D305" s="8" t="s">
        <v>7</v>
      </c>
      <c r="E305" s="8" t="s">
        <v>8</v>
      </c>
      <c r="F305" s="13">
        <v>83.901809704366315</v>
      </c>
      <c r="G305" s="12">
        <v>31605.66793549151</v>
      </c>
      <c r="I305"/>
    </row>
    <row r="306" spans="1:9" x14ac:dyDescent="0.3">
      <c r="A306" s="7" t="s">
        <v>1</v>
      </c>
      <c r="B306" s="8" t="s">
        <v>33</v>
      </c>
      <c r="C306" s="8" t="s">
        <v>41</v>
      </c>
      <c r="D306" s="8" t="s">
        <v>4</v>
      </c>
      <c r="E306" s="8" t="s">
        <v>10</v>
      </c>
      <c r="F306" s="13">
        <v>83.409800295430614</v>
      </c>
      <c r="G306" s="12">
        <v>7380.8966081287508</v>
      </c>
      <c r="I306"/>
    </row>
    <row r="307" spans="1:9" x14ac:dyDescent="0.3">
      <c r="A307" s="7" t="s">
        <v>1</v>
      </c>
      <c r="B307" s="8" t="s">
        <v>33</v>
      </c>
      <c r="C307" s="8" t="s">
        <v>35</v>
      </c>
      <c r="D307" s="8" t="s">
        <v>12</v>
      </c>
      <c r="E307" s="8" t="s">
        <v>13</v>
      </c>
      <c r="F307" s="13">
        <v>55.929060189373558</v>
      </c>
      <c r="G307" s="12">
        <v>4269.4860756455455</v>
      </c>
      <c r="I307"/>
    </row>
    <row r="308" spans="1:9" x14ac:dyDescent="0.3">
      <c r="A308" s="7" t="s">
        <v>6</v>
      </c>
      <c r="B308" s="8" t="s">
        <v>19</v>
      </c>
      <c r="C308" s="8" t="s">
        <v>19</v>
      </c>
      <c r="D308" s="8" t="s">
        <v>12</v>
      </c>
      <c r="E308" s="8" t="s">
        <v>16</v>
      </c>
      <c r="F308" s="13">
        <v>656.18777417839738</v>
      </c>
      <c r="G308" s="12">
        <v>33499.611718655113</v>
      </c>
      <c r="I308"/>
    </row>
    <row r="309" spans="1:9" x14ac:dyDescent="0.3">
      <c r="A309" s="7" t="s">
        <v>1</v>
      </c>
      <c r="B309" s="8" t="s">
        <v>14</v>
      </c>
      <c r="C309" s="8" t="s">
        <v>25</v>
      </c>
      <c r="D309" s="8" t="s">
        <v>4</v>
      </c>
      <c r="E309" s="8" t="s">
        <v>5</v>
      </c>
      <c r="F309" s="13">
        <v>122.30559147083113</v>
      </c>
      <c r="G309" s="12">
        <v>43768.777140474413</v>
      </c>
      <c r="I309"/>
    </row>
    <row r="310" spans="1:9" x14ac:dyDescent="0.3">
      <c r="A310" s="7" t="s">
        <v>1</v>
      </c>
      <c r="B310" s="8" t="s">
        <v>2</v>
      </c>
      <c r="C310" s="8" t="s">
        <v>3</v>
      </c>
      <c r="D310" s="8" t="s">
        <v>7</v>
      </c>
      <c r="E310" s="8" t="s">
        <v>8</v>
      </c>
      <c r="F310" s="13">
        <v>249.64012582240684</v>
      </c>
      <c r="G310" s="12">
        <v>8769.3022191087948</v>
      </c>
      <c r="I310"/>
    </row>
    <row r="311" spans="1:9" x14ac:dyDescent="0.3">
      <c r="A311" s="7" t="s">
        <v>1</v>
      </c>
      <c r="B311" s="8" t="s">
        <v>2</v>
      </c>
      <c r="C311" s="8" t="s">
        <v>26</v>
      </c>
      <c r="D311" s="8" t="s">
        <v>4</v>
      </c>
      <c r="E311" s="8" t="s">
        <v>10</v>
      </c>
      <c r="F311" s="13">
        <v>536.00102790569508</v>
      </c>
      <c r="G311" s="12">
        <v>36000.438400340499</v>
      </c>
      <c r="I311"/>
    </row>
    <row r="312" spans="1:9" x14ac:dyDescent="0.3">
      <c r="A312" s="7" t="s">
        <v>1</v>
      </c>
      <c r="B312" s="8" t="s">
        <v>14</v>
      </c>
      <c r="C312" s="8" t="s">
        <v>23</v>
      </c>
      <c r="D312" s="8" t="s">
        <v>12</v>
      </c>
      <c r="E312" s="8" t="s">
        <v>13</v>
      </c>
      <c r="F312" s="13">
        <v>429.30719341384247</v>
      </c>
      <c r="G312" s="12">
        <v>30698.481412415276</v>
      </c>
      <c r="I312"/>
    </row>
    <row r="313" spans="1:9" x14ac:dyDescent="0.3">
      <c r="A313" s="7" t="s">
        <v>1</v>
      </c>
      <c r="B313" s="8" t="s">
        <v>2</v>
      </c>
      <c r="C313" s="8" t="s">
        <v>21</v>
      </c>
      <c r="D313" s="8" t="s">
        <v>12</v>
      </c>
      <c r="E313" s="8" t="s">
        <v>16</v>
      </c>
      <c r="F313" s="13">
        <v>354.0052480313534</v>
      </c>
      <c r="G313" s="12">
        <v>15963.081263238564</v>
      </c>
      <c r="I313"/>
    </row>
    <row r="314" spans="1:9" x14ac:dyDescent="0.3">
      <c r="A314" s="7" t="s">
        <v>6</v>
      </c>
      <c r="B314" s="8" t="s">
        <v>14</v>
      </c>
      <c r="C314" s="8" t="s">
        <v>25</v>
      </c>
      <c r="D314" s="8" t="s">
        <v>4</v>
      </c>
      <c r="E314" s="8" t="s">
        <v>5</v>
      </c>
      <c r="F314" s="13">
        <v>80.39567299074406</v>
      </c>
      <c r="G314" s="12">
        <v>35335.27592693326</v>
      </c>
      <c r="I314"/>
    </row>
    <row r="315" spans="1:9" x14ac:dyDescent="0.3">
      <c r="A315" s="7" t="s">
        <v>6</v>
      </c>
      <c r="B315" s="8" t="s">
        <v>33</v>
      </c>
      <c r="C315" s="8" t="s">
        <v>39</v>
      </c>
      <c r="D315" s="8" t="s">
        <v>7</v>
      </c>
      <c r="E315" s="8" t="s">
        <v>8</v>
      </c>
      <c r="F315" s="13">
        <v>36.694105445803871</v>
      </c>
      <c r="G315" s="12">
        <v>39940.518405964212</v>
      </c>
      <c r="I315"/>
    </row>
    <row r="316" spans="1:9" x14ac:dyDescent="0.3">
      <c r="A316" s="7" t="s">
        <v>6</v>
      </c>
      <c r="B316" s="8" t="s">
        <v>33</v>
      </c>
      <c r="C316" s="8" t="s">
        <v>34</v>
      </c>
      <c r="D316" s="8" t="s">
        <v>4</v>
      </c>
      <c r="E316" s="8" t="s">
        <v>10</v>
      </c>
      <c r="F316" s="13">
        <v>60.649137344807968</v>
      </c>
      <c r="G316" s="12">
        <v>16895.911060873459</v>
      </c>
      <c r="I316"/>
    </row>
    <row r="317" spans="1:9" x14ac:dyDescent="0.3">
      <c r="A317" s="7" t="s">
        <v>6</v>
      </c>
      <c r="B317" s="8" t="s">
        <v>33</v>
      </c>
      <c r="C317" s="8" t="s">
        <v>41</v>
      </c>
      <c r="D317" s="8" t="s">
        <v>12</v>
      </c>
      <c r="E317" s="8" t="s">
        <v>13</v>
      </c>
      <c r="F317" s="13">
        <v>2.9912104938375705</v>
      </c>
      <c r="G317" s="12">
        <v>29856.580073186706</v>
      </c>
      <c r="I317"/>
    </row>
    <row r="318" spans="1:9" x14ac:dyDescent="0.3">
      <c r="A318" s="7" t="s">
        <v>6</v>
      </c>
      <c r="B318" s="8" t="s">
        <v>33</v>
      </c>
      <c r="C318" s="8" t="s">
        <v>35</v>
      </c>
      <c r="D318" s="8" t="s">
        <v>12</v>
      </c>
      <c r="E318" s="8" t="s">
        <v>16</v>
      </c>
      <c r="F318" s="13">
        <v>3.6371590334965731</v>
      </c>
      <c r="G318" s="12">
        <v>32396.824948340509</v>
      </c>
      <c r="I318"/>
    </row>
    <row r="319" spans="1:9" x14ac:dyDescent="0.3">
      <c r="A319" s="7" t="s">
        <v>9</v>
      </c>
      <c r="B319" s="8" t="s">
        <v>19</v>
      </c>
      <c r="C319" s="8" t="s">
        <v>19</v>
      </c>
      <c r="D319" s="8" t="s">
        <v>7</v>
      </c>
      <c r="E319" s="8" t="s">
        <v>17</v>
      </c>
      <c r="F319" s="13">
        <v>2013.5771431389003</v>
      </c>
      <c r="G319" s="12">
        <v>1539.7945998878604</v>
      </c>
      <c r="I319"/>
    </row>
    <row r="320" spans="1:9" x14ac:dyDescent="0.3">
      <c r="A320" s="7" t="s">
        <v>6</v>
      </c>
      <c r="B320" s="8" t="s">
        <v>14</v>
      </c>
      <c r="C320" s="8" t="s">
        <v>25</v>
      </c>
      <c r="D320" s="8" t="s">
        <v>4</v>
      </c>
      <c r="E320" s="8" t="s">
        <v>5</v>
      </c>
      <c r="F320" s="13">
        <v>22.622758201032411</v>
      </c>
      <c r="G320" s="12">
        <v>26978.39157099399</v>
      </c>
      <c r="I320"/>
    </row>
    <row r="321" spans="1:9" x14ac:dyDescent="0.3">
      <c r="A321" s="7" t="s">
        <v>6</v>
      </c>
      <c r="B321" s="8" t="s">
        <v>2</v>
      </c>
      <c r="C321" s="8" t="s">
        <v>3</v>
      </c>
      <c r="D321" s="8" t="s">
        <v>7</v>
      </c>
      <c r="E321" s="8" t="s">
        <v>8</v>
      </c>
      <c r="F321" s="13">
        <v>495.65754695868236</v>
      </c>
      <c r="G321" s="12">
        <v>42551.314941900491</v>
      </c>
      <c r="I321"/>
    </row>
    <row r="322" spans="1:9" x14ac:dyDescent="0.3">
      <c r="A322" s="7" t="s">
        <v>6</v>
      </c>
      <c r="B322" s="8" t="s">
        <v>2</v>
      </c>
      <c r="C322" s="8" t="s">
        <v>26</v>
      </c>
      <c r="D322" s="8" t="s">
        <v>4</v>
      </c>
      <c r="E322" s="8" t="s">
        <v>10</v>
      </c>
      <c r="F322" s="13">
        <v>289.89272107082797</v>
      </c>
      <c r="G322" s="12">
        <v>35001.795021727594</v>
      </c>
      <c r="I322"/>
    </row>
    <row r="323" spans="1:9" x14ac:dyDescent="0.3">
      <c r="A323" s="7" t="s">
        <v>6</v>
      </c>
      <c r="B323" s="8" t="s">
        <v>14</v>
      </c>
      <c r="C323" s="8" t="s">
        <v>23</v>
      </c>
      <c r="D323" s="8" t="s">
        <v>4</v>
      </c>
      <c r="E323" s="8" t="s">
        <v>5</v>
      </c>
      <c r="F323" s="13">
        <v>549.55951464107784</v>
      </c>
      <c r="G323" s="12">
        <v>9996.5934672032017</v>
      </c>
      <c r="I323"/>
    </row>
    <row r="324" spans="1:9" x14ac:dyDescent="0.3">
      <c r="A324" s="7" t="s">
        <v>6</v>
      </c>
      <c r="B324" s="8" t="s">
        <v>2</v>
      </c>
      <c r="C324" s="8" t="s">
        <v>21</v>
      </c>
      <c r="D324" s="8" t="s">
        <v>7</v>
      </c>
      <c r="E324" s="8" t="s">
        <v>8</v>
      </c>
      <c r="F324" s="13">
        <v>165.77514676373539</v>
      </c>
      <c r="G324" s="12">
        <v>1804.5772830901842</v>
      </c>
      <c r="I324"/>
    </row>
    <row r="325" spans="1:9" x14ac:dyDescent="0.3">
      <c r="A325" s="7" t="s">
        <v>1</v>
      </c>
      <c r="B325" s="8" t="s">
        <v>14</v>
      </c>
      <c r="C325" s="8" t="s">
        <v>15</v>
      </c>
      <c r="D325" s="8" t="s">
        <v>4</v>
      </c>
      <c r="E325" s="8" t="s">
        <v>10</v>
      </c>
      <c r="F325" s="13">
        <v>1674.079551945033</v>
      </c>
      <c r="G325" s="12">
        <v>6810.9302469794784</v>
      </c>
      <c r="I325"/>
    </row>
    <row r="326" spans="1:9" x14ac:dyDescent="0.3">
      <c r="A326" s="7" t="s">
        <v>9</v>
      </c>
      <c r="B326" s="8" t="s">
        <v>14</v>
      </c>
      <c r="C326" s="8" t="s">
        <v>25</v>
      </c>
      <c r="D326" s="8" t="s">
        <v>12</v>
      </c>
      <c r="E326" s="8" t="s">
        <v>13</v>
      </c>
      <c r="F326" s="13">
        <v>99.239204380410229</v>
      </c>
      <c r="G326" s="12">
        <v>28239.746595029523</v>
      </c>
      <c r="I326"/>
    </row>
    <row r="327" spans="1:9" x14ac:dyDescent="0.3">
      <c r="A327" s="7" t="s">
        <v>9</v>
      </c>
      <c r="B327" s="8" t="s">
        <v>33</v>
      </c>
      <c r="C327" s="8" t="s">
        <v>39</v>
      </c>
      <c r="D327" s="8" t="s">
        <v>12</v>
      </c>
      <c r="E327" s="8" t="s">
        <v>16</v>
      </c>
      <c r="F327" s="13">
        <v>78.917590529636072</v>
      </c>
      <c r="G327" s="12">
        <v>20140.767565287151</v>
      </c>
      <c r="I327"/>
    </row>
    <row r="328" spans="1:9" x14ac:dyDescent="0.3">
      <c r="A328" s="7" t="s">
        <v>9</v>
      </c>
      <c r="B328" s="8" t="s">
        <v>33</v>
      </c>
      <c r="C328" s="8" t="s">
        <v>34</v>
      </c>
      <c r="D328" s="8" t="s">
        <v>7</v>
      </c>
      <c r="E328" s="8" t="s">
        <v>17</v>
      </c>
      <c r="F328" s="13">
        <v>19.713546950242744</v>
      </c>
      <c r="G328" s="12">
        <v>26068.568233030124</v>
      </c>
      <c r="I328"/>
    </row>
    <row r="329" spans="1:9" x14ac:dyDescent="0.3">
      <c r="A329" s="7" t="s">
        <v>9</v>
      </c>
      <c r="B329" s="8" t="s">
        <v>33</v>
      </c>
      <c r="C329" s="8" t="s">
        <v>41</v>
      </c>
      <c r="D329" s="8" t="s">
        <v>4</v>
      </c>
      <c r="E329" s="8" t="s">
        <v>5</v>
      </c>
      <c r="F329" s="13">
        <v>73.679944347895798</v>
      </c>
      <c r="G329" s="12">
        <v>25704.360369216985</v>
      </c>
      <c r="I329"/>
    </row>
    <row r="330" spans="1:9" x14ac:dyDescent="0.3">
      <c r="A330" s="7" t="s">
        <v>9</v>
      </c>
      <c r="B330" s="8" t="s">
        <v>33</v>
      </c>
      <c r="C330" s="8" t="s">
        <v>35</v>
      </c>
      <c r="D330" s="8" t="s">
        <v>7</v>
      </c>
      <c r="E330" s="8" t="s">
        <v>8</v>
      </c>
      <c r="F330" s="13">
        <v>46.695336906759621</v>
      </c>
      <c r="G330" s="12">
        <v>38253.744836762533</v>
      </c>
      <c r="I330"/>
    </row>
    <row r="331" spans="1:9" x14ac:dyDescent="0.3">
      <c r="A331" s="7" t="s">
        <v>1</v>
      </c>
      <c r="B331" s="8" t="s">
        <v>14</v>
      </c>
      <c r="C331" s="8" t="s">
        <v>32</v>
      </c>
      <c r="D331" s="8" t="s">
        <v>4</v>
      </c>
      <c r="E331" s="8" t="s">
        <v>10</v>
      </c>
      <c r="F331" s="13">
        <v>354.16483875451377</v>
      </c>
      <c r="G331" s="12">
        <v>15581.96593367029</v>
      </c>
      <c r="I331"/>
    </row>
    <row r="332" spans="1:9" x14ac:dyDescent="0.3">
      <c r="A332" s="7" t="s">
        <v>11</v>
      </c>
      <c r="B332" s="8" t="s">
        <v>19</v>
      </c>
      <c r="C332" s="8" t="s">
        <v>19</v>
      </c>
      <c r="D332" s="8" t="s">
        <v>12</v>
      </c>
      <c r="E332" s="8" t="s">
        <v>13</v>
      </c>
      <c r="F332" s="13">
        <v>2686.0974874060048</v>
      </c>
      <c r="G332" s="12">
        <v>36895.12296486093</v>
      </c>
      <c r="I332"/>
    </row>
    <row r="333" spans="1:9" x14ac:dyDescent="0.3">
      <c r="A333" s="7" t="s">
        <v>9</v>
      </c>
      <c r="B333" s="8" t="s">
        <v>14</v>
      </c>
      <c r="C333" s="8" t="s">
        <v>25</v>
      </c>
      <c r="D333" s="8" t="s">
        <v>12</v>
      </c>
      <c r="E333" s="8" t="s">
        <v>16</v>
      </c>
      <c r="F333" s="13">
        <v>77.130553748793318</v>
      </c>
      <c r="G333" s="12">
        <v>25031.603817545492</v>
      </c>
      <c r="I333"/>
    </row>
    <row r="334" spans="1:9" x14ac:dyDescent="0.3">
      <c r="A334" s="7" t="s">
        <v>9</v>
      </c>
      <c r="B334" s="8" t="s">
        <v>2</v>
      </c>
      <c r="C334" s="8" t="s">
        <v>3</v>
      </c>
      <c r="D334" s="8" t="s">
        <v>7</v>
      </c>
      <c r="E334" s="8" t="s">
        <v>17</v>
      </c>
      <c r="F334" s="13">
        <v>440.25125808238954</v>
      </c>
      <c r="G334" s="12">
        <v>15340.245051727112</v>
      </c>
      <c r="I334"/>
    </row>
    <row r="335" spans="1:9" x14ac:dyDescent="0.3">
      <c r="A335" s="7" t="s">
        <v>9</v>
      </c>
      <c r="B335" s="8" t="s">
        <v>2</v>
      </c>
      <c r="C335" s="8" t="s">
        <v>26</v>
      </c>
      <c r="D335" s="8" t="s">
        <v>4</v>
      </c>
      <c r="E335" s="8" t="s">
        <v>5</v>
      </c>
      <c r="F335" s="13">
        <v>308.96483662581886</v>
      </c>
      <c r="G335" s="12">
        <v>10006.398116881839</v>
      </c>
      <c r="I335"/>
    </row>
    <row r="336" spans="1:9" x14ac:dyDescent="0.3">
      <c r="A336" s="7" t="s">
        <v>9</v>
      </c>
      <c r="B336" s="8" t="s">
        <v>14</v>
      </c>
      <c r="C336" s="8" t="s">
        <v>23</v>
      </c>
      <c r="D336" s="8" t="s">
        <v>7</v>
      </c>
      <c r="E336" s="8" t="s">
        <v>8</v>
      </c>
      <c r="F336" s="13">
        <v>116.3207001032788</v>
      </c>
      <c r="G336" s="12">
        <v>37905.19945789803</v>
      </c>
      <c r="I336"/>
    </row>
    <row r="337" spans="1:9" x14ac:dyDescent="0.3">
      <c r="A337" s="7" t="s">
        <v>9</v>
      </c>
      <c r="B337" s="8" t="s">
        <v>2</v>
      </c>
      <c r="C337" s="8" t="s">
        <v>21</v>
      </c>
      <c r="D337" s="8" t="s">
        <v>4</v>
      </c>
      <c r="E337" s="8" t="s">
        <v>10</v>
      </c>
      <c r="F337" s="13">
        <v>382.35063689244271</v>
      </c>
      <c r="G337" s="12">
        <v>64.398321693915022</v>
      </c>
      <c r="I337"/>
    </row>
    <row r="338" spans="1:9" x14ac:dyDescent="0.3">
      <c r="A338" s="7" t="s">
        <v>6</v>
      </c>
      <c r="B338" s="8" t="s">
        <v>14</v>
      </c>
      <c r="C338" s="8" t="s">
        <v>15</v>
      </c>
      <c r="D338" s="8" t="s">
        <v>4</v>
      </c>
      <c r="E338" s="8" t="s">
        <v>5</v>
      </c>
      <c r="F338" s="13">
        <v>689.44827088625971</v>
      </c>
      <c r="G338" s="12">
        <v>6113.6130254422715</v>
      </c>
      <c r="I338"/>
    </row>
    <row r="339" spans="1:9" x14ac:dyDescent="0.3">
      <c r="A339" s="7" t="s">
        <v>1</v>
      </c>
      <c r="B339" s="8" t="s">
        <v>2</v>
      </c>
      <c r="C339" s="8" t="s">
        <v>3</v>
      </c>
      <c r="D339" s="8" t="s">
        <v>7</v>
      </c>
      <c r="E339" s="8" t="s">
        <v>8</v>
      </c>
      <c r="F339" s="13">
        <v>1820.774084306322</v>
      </c>
      <c r="G339" s="12">
        <v>482.8005523304455</v>
      </c>
      <c r="I339"/>
    </row>
    <row r="340" spans="1:9" x14ac:dyDescent="0.3">
      <c r="A340" s="7" t="s">
        <v>1</v>
      </c>
      <c r="B340" s="8" t="s">
        <v>14</v>
      </c>
      <c r="C340" s="8" t="s">
        <v>18</v>
      </c>
      <c r="D340" s="8" t="s">
        <v>4</v>
      </c>
      <c r="E340" s="8" t="s">
        <v>10</v>
      </c>
      <c r="F340" s="13">
        <v>1890.27279530128</v>
      </c>
      <c r="G340" s="12">
        <v>802.76857861317694</v>
      </c>
      <c r="I340"/>
    </row>
    <row r="341" spans="1:9" x14ac:dyDescent="0.3">
      <c r="A341" s="7" t="s">
        <v>1</v>
      </c>
      <c r="B341" s="8" t="s">
        <v>27</v>
      </c>
      <c r="C341" s="8" t="s">
        <v>28</v>
      </c>
      <c r="D341" s="8" t="s">
        <v>12</v>
      </c>
      <c r="E341" s="8" t="s">
        <v>13</v>
      </c>
      <c r="F341" s="13">
        <v>70.354450117883971</v>
      </c>
      <c r="G341" s="12">
        <v>18041.342134180013</v>
      </c>
      <c r="I341"/>
    </row>
    <row r="342" spans="1:9" x14ac:dyDescent="0.3">
      <c r="A342" s="7" t="s">
        <v>11</v>
      </c>
      <c r="B342" s="8" t="s">
        <v>14</v>
      </c>
      <c r="C342" s="8" t="s">
        <v>25</v>
      </c>
      <c r="D342" s="8" t="s">
        <v>4</v>
      </c>
      <c r="E342" s="8" t="s">
        <v>5</v>
      </c>
      <c r="F342" s="13">
        <v>96.355044109623122</v>
      </c>
      <c r="G342" s="12">
        <v>13742.349578615054</v>
      </c>
      <c r="I342"/>
    </row>
    <row r="343" spans="1:9" x14ac:dyDescent="0.3">
      <c r="A343" s="7" t="s">
        <v>11</v>
      </c>
      <c r="B343" s="8" t="s">
        <v>33</v>
      </c>
      <c r="C343" s="8" t="s">
        <v>39</v>
      </c>
      <c r="D343" s="8" t="s">
        <v>7</v>
      </c>
      <c r="E343" s="8" t="s">
        <v>8</v>
      </c>
      <c r="F343" s="13">
        <v>20.104309202815784</v>
      </c>
      <c r="G343" s="12">
        <v>30110.167608378833</v>
      </c>
      <c r="I343"/>
    </row>
    <row r="344" spans="1:9" x14ac:dyDescent="0.3">
      <c r="A344" s="7" t="s">
        <v>11</v>
      </c>
      <c r="B344" s="8" t="s">
        <v>33</v>
      </c>
      <c r="C344" s="8" t="s">
        <v>34</v>
      </c>
      <c r="D344" s="8" t="s">
        <v>4</v>
      </c>
      <c r="E344" s="8" t="s">
        <v>10</v>
      </c>
      <c r="F344" s="13">
        <v>88.995255834743148</v>
      </c>
      <c r="G344" s="12">
        <v>27152.482894135221</v>
      </c>
      <c r="I344"/>
    </row>
    <row r="345" spans="1:9" x14ac:dyDescent="0.3">
      <c r="A345" s="7" t="s">
        <v>11</v>
      </c>
      <c r="B345" s="8" t="s">
        <v>33</v>
      </c>
      <c r="C345" s="8" t="s">
        <v>41</v>
      </c>
      <c r="D345" s="8" t="s">
        <v>12</v>
      </c>
      <c r="E345" s="8" t="s">
        <v>13</v>
      </c>
      <c r="F345" s="13">
        <v>52.453495829377061</v>
      </c>
      <c r="G345" s="12">
        <v>10061.317928274704</v>
      </c>
      <c r="I345"/>
    </row>
    <row r="346" spans="1:9" x14ac:dyDescent="0.3">
      <c r="A346" s="7" t="s">
        <v>11</v>
      </c>
      <c r="B346" s="8" t="s">
        <v>33</v>
      </c>
      <c r="C346" s="8" t="s">
        <v>35</v>
      </c>
      <c r="D346" s="8" t="s">
        <v>12</v>
      </c>
      <c r="E346" s="8" t="s">
        <v>16</v>
      </c>
      <c r="F346" s="13">
        <v>19.326456809540105</v>
      </c>
      <c r="G346" s="12">
        <v>27139.073526853768</v>
      </c>
      <c r="I346"/>
    </row>
    <row r="347" spans="1:9" x14ac:dyDescent="0.3">
      <c r="A347" s="7" t="s">
        <v>6</v>
      </c>
      <c r="B347" s="8" t="s">
        <v>14</v>
      </c>
      <c r="C347" s="8" t="s">
        <v>32</v>
      </c>
      <c r="D347" s="8" t="s">
        <v>4</v>
      </c>
      <c r="E347" s="8" t="s">
        <v>5</v>
      </c>
      <c r="F347" s="13">
        <v>80.201811410461232</v>
      </c>
      <c r="G347" s="12">
        <v>7156.7075805243803</v>
      </c>
      <c r="I347"/>
    </row>
    <row r="348" spans="1:9" x14ac:dyDescent="0.3">
      <c r="A348" s="7" t="s">
        <v>11</v>
      </c>
      <c r="B348" s="8" t="s">
        <v>14</v>
      </c>
      <c r="C348" s="8" t="s">
        <v>25</v>
      </c>
      <c r="D348" s="8" t="s">
        <v>7</v>
      </c>
      <c r="E348" s="8" t="s">
        <v>8</v>
      </c>
      <c r="F348" s="13">
        <v>358.19980643354938</v>
      </c>
      <c r="G348" s="12">
        <v>20143.34649067518</v>
      </c>
      <c r="I348"/>
    </row>
    <row r="349" spans="1:9" x14ac:dyDescent="0.3">
      <c r="A349" s="7" t="s">
        <v>11</v>
      </c>
      <c r="B349" s="8" t="s">
        <v>2</v>
      </c>
      <c r="C349" s="8" t="s">
        <v>3</v>
      </c>
      <c r="D349" s="8" t="s">
        <v>4</v>
      </c>
      <c r="E349" s="8" t="s">
        <v>10</v>
      </c>
      <c r="F349" s="13">
        <v>413.26282219033601</v>
      </c>
      <c r="G349" s="12">
        <v>16960.944933319042</v>
      </c>
      <c r="I349"/>
    </row>
    <row r="350" spans="1:9" x14ac:dyDescent="0.3">
      <c r="A350" s="7" t="s">
        <v>11</v>
      </c>
      <c r="B350" s="8" t="s">
        <v>2</v>
      </c>
      <c r="C350" s="8" t="s">
        <v>26</v>
      </c>
      <c r="D350" s="8" t="s">
        <v>12</v>
      </c>
      <c r="E350" s="8" t="s">
        <v>13</v>
      </c>
      <c r="F350" s="13">
        <v>15.048346424373449</v>
      </c>
      <c r="G350" s="12">
        <v>4403.5623380154429</v>
      </c>
      <c r="I350"/>
    </row>
    <row r="351" spans="1:9" x14ac:dyDescent="0.3">
      <c r="A351" s="7" t="s">
        <v>11</v>
      </c>
      <c r="B351" s="8" t="s">
        <v>14</v>
      </c>
      <c r="C351" s="8" t="s">
        <v>23</v>
      </c>
      <c r="D351" s="8" t="s">
        <v>12</v>
      </c>
      <c r="E351" s="8" t="s">
        <v>16</v>
      </c>
      <c r="F351" s="13">
        <v>558.84102144154895</v>
      </c>
      <c r="G351" s="12">
        <v>23843.53158766963</v>
      </c>
      <c r="I351"/>
    </row>
    <row r="352" spans="1:9" x14ac:dyDescent="0.3">
      <c r="A352" s="7" t="s">
        <v>11</v>
      </c>
      <c r="B352" s="8" t="s">
        <v>2</v>
      </c>
      <c r="C352" s="8" t="s">
        <v>21</v>
      </c>
      <c r="D352" s="8" t="s">
        <v>4</v>
      </c>
      <c r="E352" s="8" t="s">
        <v>5</v>
      </c>
      <c r="F352" s="13">
        <v>79.757885179242294</v>
      </c>
      <c r="G352" s="12">
        <v>11568.738643080542</v>
      </c>
      <c r="I352"/>
    </row>
    <row r="353" spans="1:9" x14ac:dyDescent="0.3">
      <c r="A353" s="7" t="s">
        <v>9</v>
      </c>
      <c r="B353" s="8" t="s">
        <v>14</v>
      </c>
      <c r="C353" s="8" t="s">
        <v>15</v>
      </c>
      <c r="D353" s="8" t="s">
        <v>7</v>
      </c>
      <c r="E353" s="8" t="s">
        <v>8</v>
      </c>
      <c r="F353" s="13">
        <v>344.58932776651636</v>
      </c>
      <c r="G353" s="12">
        <v>29647.379634067202</v>
      </c>
      <c r="I353"/>
    </row>
    <row r="354" spans="1:9" x14ac:dyDescent="0.3">
      <c r="A354" s="7" t="s">
        <v>6</v>
      </c>
      <c r="B354" s="8" t="s">
        <v>2</v>
      </c>
      <c r="C354" s="8" t="s">
        <v>3</v>
      </c>
      <c r="D354" s="8" t="s">
        <v>4</v>
      </c>
      <c r="E354" s="8" t="s">
        <v>10</v>
      </c>
      <c r="F354" s="13">
        <v>1613.1950862676604</v>
      </c>
      <c r="G354" s="12">
        <v>11650.82490139408</v>
      </c>
      <c r="I354"/>
    </row>
    <row r="355" spans="1:9" x14ac:dyDescent="0.3">
      <c r="A355" s="7" t="s">
        <v>6</v>
      </c>
      <c r="B355" s="8" t="s">
        <v>14</v>
      </c>
      <c r="C355" s="8" t="s">
        <v>18</v>
      </c>
      <c r="D355" s="8" t="s">
        <v>12</v>
      </c>
      <c r="E355" s="8" t="s">
        <v>13</v>
      </c>
      <c r="F355" s="13">
        <v>2078.752363024978</v>
      </c>
      <c r="G355" s="12">
        <v>24153.97039587039</v>
      </c>
      <c r="I355"/>
    </row>
    <row r="356" spans="1:9" x14ac:dyDescent="0.3">
      <c r="A356" s="7" t="s">
        <v>6</v>
      </c>
      <c r="B356" s="8" t="s">
        <v>27</v>
      </c>
      <c r="C356" s="8" t="s">
        <v>28</v>
      </c>
      <c r="D356" s="8" t="s">
        <v>12</v>
      </c>
      <c r="E356" s="8" t="s">
        <v>16</v>
      </c>
      <c r="F356" s="13">
        <v>877.81287063371565</v>
      </c>
      <c r="G356" s="12">
        <v>6367.3914231648669</v>
      </c>
      <c r="I356"/>
    </row>
    <row r="357" spans="1:9" x14ac:dyDescent="0.3">
      <c r="A357" s="7" t="s">
        <v>9</v>
      </c>
      <c r="B357" s="8" t="s">
        <v>14</v>
      </c>
      <c r="C357" s="8" t="s">
        <v>32</v>
      </c>
      <c r="D357" s="8" t="s">
        <v>7</v>
      </c>
      <c r="E357" s="8" t="s">
        <v>17</v>
      </c>
      <c r="F357" s="13">
        <v>229.42457973113051</v>
      </c>
      <c r="G357" s="12">
        <v>8348.1864055419683</v>
      </c>
      <c r="I357"/>
    </row>
    <row r="358" spans="1:9" x14ac:dyDescent="0.3">
      <c r="A358" s="7" t="s">
        <v>11</v>
      </c>
      <c r="B358" s="8" t="s">
        <v>14</v>
      </c>
      <c r="C358" s="8" t="s">
        <v>15</v>
      </c>
      <c r="D358" s="8" t="s">
        <v>4</v>
      </c>
      <c r="E358" s="8" t="s">
        <v>5</v>
      </c>
      <c r="F358" s="13">
        <v>1935.1185544318469</v>
      </c>
      <c r="G358" s="12">
        <v>26684.787808885638</v>
      </c>
      <c r="I358"/>
    </row>
    <row r="359" spans="1:9" x14ac:dyDescent="0.3">
      <c r="A359" s="7" t="s">
        <v>1</v>
      </c>
      <c r="B359" s="8" t="s">
        <v>14</v>
      </c>
      <c r="C359" s="8" t="s">
        <v>18</v>
      </c>
      <c r="D359" s="8" t="s">
        <v>7</v>
      </c>
      <c r="E359" s="8" t="s">
        <v>8</v>
      </c>
      <c r="F359" s="13">
        <v>842.55829413996253</v>
      </c>
      <c r="G359" s="12">
        <v>5935.4077023070204</v>
      </c>
      <c r="I359"/>
    </row>
    <row r="360" spans="1:9" x14ac:dyDescent="0.3">
      <c r="A360" s="7" t="s">
        <v>1</v>
      </c>
      <c r="B360" s="8" t="s">
        <v>27</v>
      </c>
      <c r="C360" s="8" t="s">
        <v>38</v>
      </c>
      <c r="D360" s="8" t="s">
        <v>4</v>
      </c>
      <c r="E360" s="8" t="s">
        <v>10</v>
      </c>
      <c r="F360" s="13">
        <v>38.411349630769109</v>
      </c>
      <c r="G360" s="12">
        <v>9319.0483561484143</v>
      </c>
      <c r="I360"/>
    </row>
    <row r="361" spans="1:9" x14ac:dyDescent="0.3">
      <c r="A361" s="7" t="s">
        <v>1</v>
      </c>
      <c r="B361" s="8" t="s">
        <v>2</v>
      </c>
      <c r="C361" s="8" t="s">
        <v>20</v>
      </c>
      <c r="D361" s="8" t="s">
        <v>4</v>
      </c>
      <c r="E361" s="8" t="s">
        <v>5</v>
      </c>
      <c r="F361" s="13">
        <v>182.11977934151946</v>
      </c>
      <c r="G361" s="12">
        <v>30877.127675776137</v>
      </c>
      <c r="I361"/>
    </row>
    <row r="362" spans="1:9" x14ac:dyDescent="0.3">
      <c r="A362" s="7" t="s">
        <v>1</v>
      </c>
      <c r="B362" s="8" t="s">
        <v>2</v>
      </c>
      <c r="C362" s="8" t="s">
        <v>31</v>
      </c>
      <c r="D362" s="8" t="s">
        <v>7</v>
      </c>
      <c r="E362" s="8" t="s">
        <v>8</v>
      </c>
      <c r="F362" s="13">
        <v>302.68649500212632</v>
      </c>
      <c r="G362" s="12">
        <v>17293.083354597911</v>
      </c>
      <c r="I362"/>
    </row>
    <row r="363" spans="1:9" x14ac:dyDescent="0.3">
      <c r="A363" s="7" t="s">
        <v>1</v>
      </c>
      <c r="B363" s="8" t="s">
        <v>14</v>
      </c>
      <c r="C363" s="8" t="s">
        <v>22</v>
      </c>
      <c r="D363" s="8" t="s">
        <v>4</v>
      </c>
      <c r="E363" s="8" t="s">
        <v>5</v>
      </c>
      <c r="F363" s="13">
        <v>78.413678933793562</v>
      </c>
      <c r="G363" s="12">
        <v>31735.808885510778</v>
      </c>
      <c r="I363"/>
    </row>
    <row r="364" spans="1:9" x14ac:dyDescent="0.3">
      <c r="A364" s="7" t="s">
        <v>9</v>
      </c>
      <c r="B364" s="8" t="s">
        <v>2</v>
      </c>
      <c r="C364" s="8" t="s">
        <v>3</v>
      </c>
      <c r="D364" s="8" t="s">
        <v>7</v>
      </c>
      <c r="E364" s="8" t="s">
        <v>8</v>
      </c>
      <c r="F364" s="13">
        <v>2729.50992549886</v>
      </c>
      <c r="G364" s="12">
        <v>14363.300833661719</v>
      </c>
      <c r="I364"/>
    </row>
    <row r="365" spans="1:9" x14ac:dyDescent="0.3">
      <c r="A365" s="7" t="s">
        <v>9</v>
      </c>
      <c r="B365" s="8" t="s">
        <v>14</v>
      </c>
      <c r="C365" s="8" t="s">
        <v>18</v>
      </c>
      <c r="D365" s="8" t="s">
        <v>4</v>
      </c>
      <c r="E365" s="8" t="s">
        <v>10</v>
      </c>
      <c r="F365" s="13">
        <v>803.50771762023214</v>
      </c>
      <c r="G365" s="12">
        <v>15497.078099806862</v>
      </c>
      <c r="I365"/>
    </row>
    <row r="366" spans="1:9" x14ac:dyDescent="0.3">
      <c r="A366" s="7" t="s">
        <v>9</v>
      </c>
      <c r="B366" s="8" t="s">
        <v>27</v>
      </c>
      <c r="C366" s="8" t="s">
        <v>28</v>
      </c>
      <c r="D366" s="8" t="s">
        <v>12</v>
      </c>
      <c r="E366" s="8" t="s">
        <v>13</v>
      </c>
      <c r="F366" s="13">
        <v>680.85420195566257</v>
      </c>
      <c r="G366" s="12">
        <v>15304.110691643818</v>
      </c>
      <c r="I366"/>
    </row>
    <row r="367" spans="1:9" x14ac:dyDescent="0.3">
      <c r="A367" s="7" t="s">
        <v>11</v>
      </c>
      <c r="B367" s="8" t="s">
        <v>14</v>
      </c>
      <c r="C367" s="8" t="s">
        <v>32</v>
      </c>
      <c r="D367" s="8" t="s">
        <v>12</v>
      </c>
      <c r="E367" s="8" t="s">
        <v>16</v>
      </c>
      <c r="F367" s="13">
        <v>55.737593025241949</v>
      </c>
      <c r="G367" s="12">
        <v>26959.388553101788</v>
      </c>
      <c r="I367"/>
    </row>
    <row r="368" spans="1:9" x14ac:dyDescent="0.3">
      <c r="A368" s="7" t="s">
        <v>6</v>
      </c>
      <c r="B368" s="8" t="s">
        <v>14</v>
      </c>
      <c r="C368" s="8" t="s">
        <v>18</v>
      </c>
      <c r="D368" s="8" t="s">
        <v>7</v>
      </c>
      <c r="E368" s="8" t="s">
        <v>17</v>
      </c>
      <c r="F368" s="13">
        <v>925.66797296785808</v>
      </c>
      <c r="G368" s="12">
        <v>28964.804953722374</v>
      </c>
      <c r="I368"/>
    </row>
    <row r="369" spans="1:9" x14ac:dyDescent="0.3">
      <c r="A369" s="7" t="s">
        <v>6</v>
      </c>
      <c r="B369" s="8" t="s">
        <v>27</v>
      </c>
      <c r="C369" s="8" t="s">
        <v>38</v>
      </c>
      <c r="D369" s="8" t="s">
        <v>4</v>
      </c>
      <c r="E369" s="8" t="s">
        <v>5</v>
      </c>
      <c r="F369" s="13">
        <v>356.27163587814721</v>
      </c>
      <c r="G369" s="12">
        <v>20045.668032186513</v>
      </c>
      <c r="I369"/>
    </row>
    <row r="370" spans="1:9" x14ac:dyDescent="0.3">
      <c r="A370" s="7" t="s">
        <v>6</v>
      </c>
      <c r="B370" s="8" t="s">
        <v>2</v>
      </c>
      <c r="C370" s="8" t="s">
        <v>20</v>
      </c>
      <c r="D370" s="8" t="s">
        <v>7</v>
      </c>
      <c r="E370" s="8" t="s">
        <v>8</v>
      </c>
      <c r="F370" s="13">
        <v>249.85705183062237</v>
      </c>
      <c r="G370" s="12">
        <v>5491.4576788805425</v>
      </c>
      <c r="I370"/>
    </row>
    <row r="371" spans="1:9" x14ac:dyDescent="0.3">
      <c r="A371" s="7" t="s">
        <v>6</v>
      </c>
      <c r="B371" s="8" t="s">
        <v>2</v>
      </c>
      <c r="C371" s="8" t="s">
        <v>31</v>
      </c>
      <c r="D371" s="8" t="s">
        <v>4</v>
      </c>
      <c r="E371" s="8" t="s">
        <v>10</v>
      </c>
      <c r="F371" s="13">
        <v>341.9585723993805</v>
      </c>
      <c r="G371" s="12">
        <v>5700.297249337018</v>
      </c>
      <c r="I371"/>
    </row>
    <row r="372" spans="1:9" x14ac:dyDescent="0.3">
      <c r="A372" s="7" t="s">
        <v>6</v>
      </c>
      <c r="B372" s="8" t="s">
        <v>14</v>
      </c>
      <c r="C372" s="8" t="s">
        <v>22</v>
      </c>
      <c r="D372" s="8" t="s">
        <v>4</v>
      </c>
      <c r="E372" s="8" t="s">
        <v>5</v>
      </c>
      <c r="F372" s="13">
        <v>384.99951288758893</v>
      </c>
      <c r="G372" s="12">
        <v>12247.707029394223</v>
      </c>
      <c r="I372"/>
    </row>
    <row r="373" spans="1:9" x14ac:dyDescent="0.3">
      <c r="A373" s="7" t="s">
        <v>11</v>
      </c>
      <c r="B373" s="8" t="s">
        <v>2</v>
      </c>
      <c r="C373" s="8" t="s">
        <v>3</v>
      </c>
      <c r="D373" s="8" t="s">
        <v>7</v>
      </c>
      <c r="E373" s="8" t="s">
        <v>8</v>
      </c>
      <c r="F373" s="13">
        <v>1554.6132119750837</v>
      </c>
      <c r="G373" s="12">
        <v>25943.081428732166</v>
      </c>
      <c r="I373"/>
    </row>
    <row r="374" spans="1:9" x14ac:dyDescent="0.3">
      <c r="A374" s="7" t="s">
        <v>11</v>
      </c>
      <c r="B374" s="8" t="s">
        <v>14</v>
      </c>
      <c r="C374" s="8" t="s">
        <v>18</v>
      </c>
      <c r="D374" s="8" t="s">
        <v>4</v>
      </c>
      <c r="E374" s="8" t="s">
        <v>10</v>
      </c>
      <c r="F374" s="13">
        <v>1775.9305415558629</v>
      </c>
      <c r="G374" s="12">
        <v>18343.020225866439</v>
      </c>
      <c r="I374"/>
    </row>
    <row r="375" spans="1:9" x14ac:dyDescent="0.3">
      <c r="A375" s="7" t="s">
        <v>11</v>
      </c>
      <c r="B375" s="8" t="s">
        <v>27</v>
      </c>
      <c r="C375" s="8" t="s">
        <v>28</v>
      </c>
      <c r="D375" s="8" t="s">
        <v>12</v>
      </c>
      <c r="E375" s="8" t="s">
        <v>13</v>
      </c>
      <c r="F375" s="13">
        <v>98.204619733223808</v>
      </c>
      <c r="G375" s="12">
        <v>132.10265519276345</v>
      </c>
      <c r="I375"/>
    </row>
    <row r="376" spans="1:9" x14ac:dyDescent="0.3">
      <c r="A376" s="7" t="s">
        <v>1</v>
      </c>
      <c r="B376" s="8" t="s">
        <v>14</v>
      </c>
      <c r="C376" s="8" t="s">
        <v>24</v>
      </c>
      <c r="D376" s="8" t="s">
        <v>4</v>
      </c>
      <c r="E376" s="8" t="s">
        <v>5</v>
      </c>
      <c r="F376" s="13">
        <v>378.3273145532803</v>
      </c>
      <c r="G376" s="12">
        <v>17385.95978798694</v>
      </c>
      <c r="I376"/>
    </row>
    <row r="377" spans="1:9" x14ac:dyDescent="0.3">
      <c r="A377" s="7" t="s">
        <v>1</v>
      </c>
      <c r="B377" s="8" t="s">
        <v>14</v>
      </c>
      <c r="C377" s="8" t="s">
        <v>32</v>
      </c>
      <c r="D377" s="8" t="s">
        <v>7</v>
      </c>
      <c r="E377" s="8" t="s">
        <v>8</v>
      </c>
      <c r="F377" s="13">
        <v>259.93694743165179</v>
      </c>
      <c r="G377" s="12">
        <v>1798.7550428893883</v>
      </c>
      <c r="I377"/>
    </row>
    <row r="378" spans="1:9" x14ac:dyDescent="0.3">
      <c r="A378" s="7" t="s">
        <v>1</v>
      </c>
      <c r="B378" s="8" t="s">
        <v>14</v>
      </c>
      <c r="C378" s="8" t="s">
        <v>37</v>
      </c>
      <c r="D378" s="8" t="s">
        <v>4</v>
      </c>
      <c r="E378" s="8" t="s">
        <v>10</v>
      </c>
      <c r="F378" s="13">
        <v>245.0935638975352</v>
      </c>
      <c r="G378" s="12">
        <v>20507.570090182708</v>
      </c>
      <c r="I378"/>
    </row>
    <row r="379" spans="1:9" x14ac:dyDescent="0.3">
      <c r="A379" s="7" t="s">
        <v>1</v>
      </c>
      <c r="B379" s="8" t="s">
        <v>14</v>
      </c>
      <c r="C379" s="8" t="s">
        <v>15</v>
      </c>
      <c r="D379" s="8" t="s">
        <v>12</v>
      </c>
      <c r="E379" s="8" t="s">
        <v>13</v>
      </c>
      <c r="F379" s="13">
        <v>717.68885397214035</v>
      </c>
      <c r="G379" s="12">
        <v>15589.061906073766</v>
      </c>
      <c r="I379"/>
    </row>
    <row r="380" spans="1:9" x14ac:dyDescent="0.3">
      <c r="A380" s="7" t="s">
        <v>1</v>
      </c>
      <c r="B380" s="8" t="s">
        <v>2</v>
      </c>
      <c r="C380" s="8" t="s">
        <v>21</v>
      </c>
      <c r="D380" s="8" t="s">
        <v>12</v>
      </c>
      <c r="E380" s="8" t="s">
        <v>16</v>
      </c>
      <c r="F380" s="13">
        <v>219.99365843876149</v>
      </c>
      <c r="G380" s="12">
        <v>20194.245956722807</v>
      </c>
      <c r="I380"/>
    </row>
    <row r="381" spans="1:9" x14ac:dyDescent="0.3">
      <c r="A381" s="7" t="s">
        <v>9</v>
      </c>
      <c r="B381" s="8" t="s">
        <v>14</v>
      </c>
      <c r="C381" s="8" t="s">
        <v>18</v>
      </c>
      <c r="D381" s="8" t="s">
        <v>4</v>
      </c>
      <c r="E381" s="8" t="s">
        <v>5</v>
      </c>
      <c r="F381" s="13">
        <v>632.03464853340847</v>
      </c>
      <c r="G381" s="12">
        <v>8744.5891199586185</v>
      </c>
      <c r="I381"/>
    </row>
    <row r="382" spans="1:9" x14ac:dyDescent="0.3">
      <c r="A382" s="7" t="s">
        <v>9</v>
      </c>
      <c r="B382" s="8" t="s">
        <v>27</v>
      </c>
      <c r="C382" s="8" t="s">
        <v>38</v>
      </c>
      <c r="D382" s="8" t="s">
        <v>7</v>
      </c>
      <c r="E382" s="8" t="s">
        <v>8</v>
      </c>
      <c r="F382" s="13">
        <v>139.12235493917251</v>
      </c>
      <c r="G382" s="12">
        <v>1777.3054932421301</v>
      </c>
      <c r="I382"/>
    </row>
    <row r="383" spans="1:9" x14ac:dyDescent="0.3">
      <c r="A383" s="7" t="s">
        <v>9</v>
      </c>
      <c r="B383" s="8" t="s">
        <v>2</v>
      </c>
      <c r="C383" s="8" t="s">
        <v>20</v>
      </c>
      <c r="D383" s="8" t="s">
        <v>4</v>
      </c>
      <c r="E383" s="8" t="s">
        <v>10</v>
      </c>
      <c r="F383" s="13">
        <v>208.6967383245792</v>
      </c>
      <c r="G383" s="12">
        <v>18821.059809561557</v>
      </c>
      <c r="I383"/>
    </row>
    <row r="384" spans="1:9" x14ac:dyDescent="0.3">
      <c r="A384" s="7" t="s">
        <v>9</v>
      </c>
      <c r="B384" s="8" t="s">
        <v>2</v>
      </c>
      <c r="C384" s="8" t="s">
        <v>31</v>
      </c>
      <c r="D384" s="8" t="s">
        <v>12</v>
      </c>
      <c r="E384" s="8" t="s">
        <v>13</v>
      </c>
      <c r="F384" s="13">
        <v>153.40949839374645</v>
      </c>
      <c r="G384" s="12">
        <v>20665.207686230176</v>
      </c>
      <c r="I384"/>
    </row>
    <row r="385" spans="1:9" x14ac:dyDescent="0.3">
      <c r="A385" s="7" t="s">
        <v>9</v>
      </c>
      <c r="B385" s="8" t="s">
        <v>14</v>
      </c>
      <c r="C385" s="8" t="s">
        <v>22</v>
      </c>
      <c r="D385" s="8" t="s">
        <v>12</v>
      </c>
      <c r="E385" s="8" t="s">
        <v>16</v>
      </c>
      <c r="F385" s="13">
        <v>347.71255478590319</v>
      </c>
      <c r="G385" s="12">
        <v>14462.920134286422</v>
      </c>
      <c r="I385"/>
    </row>
    <row r="386" spans="1:9" x14ac:dyDescent="0.3">
      <c r="A386" s="7" t="s">
        <v>1</v>
      </c>
      <c r="B386" s="8" t="s">
        <v>2</v>
      </c>
      <c r="C386" s="8" t="s">
        <v>21</v>
      </c>
      <c r="D386" s="8" t="s">
        <v>4</v>
      </c>
      <c r="E386" s="8" t="s">
        <v>5</v>
      </c>
      <c r="F386" s="13">
        <v>1958.6898599911365</v>
      </c>
      <c r="G386" s="12">
        <v>2790.8231655426789</v>
      </c>
      <c r="I386"/>
    </row>
    <row r="387" spans="1:9" x14ac:dyDescent="0.3">
      <c r="A387" s="7" t="s">
        <v>6</v>
      </c>
      <c r="B387" s="8" t="s">
        <v>14</v>
      </c>
      <c r="C387" s="8" t="s">
        <v>24</v>
      </c>
      <c r="D387" s="8" t="s">
        <v>7</v>
      </c>
      <c r="E387" s="8" t="s">
        <v>8</v>
      </c>
      <c r="F387" s="13">
        <v>266.53354133040921</v>
      </c>
      <c r="G387" s="12">
        <v>13550.934018374537</v>
      </c>
      <c r="I387"/>
    </row>
    <row r="388" spans="1:9" x14ac:dyDescent="0.3">
      <c r="A388" s="7" t="s">
        <v>6</v>
      </c>
      <c r="B388" s="8" t="s">
        <v>14</v>
      </c>
      <c r="C388" s="8" t="s">
        <v>32</v>
      </c>
      <c r="D388" s="8" t="s">
        <v>4</v>
      </c>
      <c r="E388" s="8" t="s">
        <v>10</v>
      </c>
      <c r="F388" s="13">
        <v>112.64997988346295</v>
      </c>
      <c r="G388" s="12">
        <v>1412.1508639076783</v>
      </c>
      <c r="I388"/>
    </row>
    <row r="389" spans="1:9" x14ac:dyDescent="0.3">
      <c r="A389" s="7" t="s">
        <v>6</v>
      </c>
      <c r="B389" s="8" t="s">
        <v>14</v>
      </c>
      <c r="C389" s="8" t="s">
        <v>37</v>
      </c>
      <c r="D389" s="8" t="s">
        <v>12</v>
      </c>
      <c r="E389" s="8" t="s">
        <v>13</v>
      </c>
      <c r="F389" s="13">
        <v>10.380430281384179</v>
      </c>
      <c r="G389" s="12">
        <v>16975.928365024505</v>
      </c>
      <c r="I389"/>
    </row>
    <row r="390" spans="1:9" x14ac:dyDescent="0.3">
      <c r="A390" s="7" t="s">
        <v>6</v>
      </c>
      <c r="B390" s="8" t="s">
        <v>14</v>
      </c>
      <c r="C390" s="8" t="s">
        <v>15</v>
      </c>
      <c r="D390" s="8" t="s">
        <v>12</v>
      </c>
      <c r="E390" s="8" t="s">
        <v>16</v>
      </c>
      <c r="F390" s="13">
        <v>800.04468207625905</v>
      </c>
      <c r="G390" s="12">
        <v>16234.770159608615</v>
      </c>
      <c r="I390"/>
    </row>
    <row r="391" spans="1:9" x14ac:dyDescent="0.3">
      <c r="A391" s="7" t="s">
        <v>6</v>
      </c>
      <c r="B391" s="8" t="s">
        <v>2</v>
      </c>
      <c r="C391" s="8" t="s">
        <v>21</v>
      </c>
      <c r="D391" s="8" t="s">
        <v>7</v>
      </c>
      <c r="E391" s="8" t="s">
        <v>17</v>
      </c>
      <c r="F391" s="13">
        <v>1170.5174211751</v>
      </c>
      <c r="G391" s="12">
        <v>19706.364593312079</v>
      </c>
      <c r="I391"/>
    </row>
    <row r="392" spans="1:9" x14ac:dyDescent="0.3">
      <c r="A392" s="7" t="s">
        <v>11</v>
      </c>
      <c r="B392" s="8" t="s">
        <v>14</v>
      </c>
      <c r="C392" s="8" t="s">
        <v>18</v>
      </c>
      <c r="D392" s="8" t="s">
        <v>4</v>
      </c>
      <c r="E392" s="8" t="s">
        <v>5</v>
      </c>
      <c r="F392" s="13">
        <v>235.72092043068551</v>
      </c>
      <c r="G392" s="12">
        <v>15406.344605136841</v>
      </c>
      <c r="I392"/>
    </row>
    <row r="393" spans="1:9" x14ac:dyDescent="0.3">
      <c r="A393" s="7" t="s">
        <v>11</v>
      </c>
      <c r="B393" s="8" t="s">
        <v>27</v>
      </c>
      <c r="C393" s="8" t="s">
        <v>38</v>
      </c>
      <c r="D393" s="8" t="s">
        <v>7</v>
      </c>
      <c r="E393" s="8" t="s">
        <v>8</v>
      </c>
      <c r="F393" s="13">
        <v>52.706794342157082</v>
      </c>
      <c r="G393" s="12">
        <v>10548.76139238543</v>
      </c>
      <c r="I393"/>
    </row>
    <row r="394" spans="1:9" x14ac:dyDescent="0.3">
      <c r="A394" s="7" t="s">
        <v>11</v>
      </c>
      <c r="B394" s="8" t="s">
        <v>2</v>
      </c>
      <c r="C394" s="8" t="s">
        <v>20</v>
      </c>
      <c r="D394" s="8" t="s">
        <v>4</v>
      </c>
      <c r="E394" s="8" t="s">
        <v>10</v>
      </c>
      <c r="F394" s="13">
        <v>391.46982555394061</v>
      </c>
      <c r="G394" s="12">
        <v>12637.726019589825</v>
      </c>
      <c r="I394"/>
    </row>
    <row r="395" spans="1:9" x14ac:dyDescent="0.3">
      <c r="A395" s="7" t="s">
        <v>11</v>
      </c>
      <c r="B395" s="8" t="s">
        <v>2</v>
      </c>
      <c r="C395" s="8" t="s">
        <v>31</v>
      </c>
      <c r="D395" s="8" t="s">
        <v>4</v>
      </c>
      <c r="E395" s="8" t="s">
        <v>5</v>
      </c>
      <c r="F395" s="13">
        <v>262.73426858933817</v>
      </c>
      <c r="G395" s="12">
        <v>12447.327712846934</v>
      </c>
      <c r="I395"/>
    </row>
    <row r="396" spans="1:9" x14ac:dyDescent="0.3">
      <c r="A396" s="7" t="s">
        <v>11</v>
      </c>
      <c r="B396" s="8" t="s">
        <v>14</v>
      </c>
      <c r="C396" s="8" t="s">
        <v>22</v>
      </c>
      <c r="D396" s="8" t="s">
        <v>7</v>
      </c>
      <c r="E396" s="8" t="s">
        <v>8</v>
      </c>
      <c r="F396" s="13">
        <v>67.461429109971505</v>
      </c>
      <c r="G396" s="12">
        <v>13970.300181724107</v>
      </c>
      <c r="I396"/>
    </row>
    <row r="397" spans="1:9" x14ac:dyDescent="0.3">
      <c r="A397" s="7" t="s">
        <v>6</v>
      </c>
      <c r="B397" s="8" t="s">
        <v>2</v>
      </c>
      <c r="C397" s="8" t="s">
        <v>21</v>
      </c>
      <c r="D397" s="8" t="s">
        <v>4</v>
      </c>
      <c r="E397" s="8" t="s">
        <v>10</v>
      </c>
      <c r="F397" s="13">
        <v>2016.4927702377099</v>
      </c>
      <c r="G397" s="12">
        <v>17904.858444045924</v>
      </c>
      <c r="I397"/>
    </row>
    <row r="398" spans="1:9" x14ac:dyDescent="0.3">
      <c r="A398" s="7" t="s">
        <v>1</v>
      </c>
      <c r="B398" s="8" t="s">
        <v>27</v>
      </c>
      <c r="C398" s="8" t="s">
        <v>28</v>
      </c>
      <c r="D398" s="8" t="s">
        <v>12</v>
      </c>
      <c r="E398" s="8" t="s">
        <v>13</v>
      </c>
      <c r="F398" s="13">
        <v>19.897292232963082</v>
      </c>
      <c r="G398" s="12">
        <v>10674.569177142985</v>
      </c>
      <c r="I398"/>
    </row>
    <row r="399" spans="1:9" x14ac:dyDescent="0.3">
      <c r="A399" s="7" t="s">
        <v>1</v>
      </c>
      <c r="B399" s="8" t="s">
        <v>14</v>
      </c>
      <c r="C399" s="8" t="s">
        <v>36</v>
      </c>
      <c r="D399" s="8" t="s">
        <v>12</v>
      </c>
      <c r="E399" s="8" t="s">
        <v>16</v>
      </c>
      <c r="F399" s="13">
        <v>42.945316933310096</v>
      </c>
      <c r="G399" s="12">
        <v>18372.990272735478</v>
      </c>
      <c r="I399"/>
    </row>
    <row r="400" spans="1:9" x14ac:dyDescent="0.3">
      <c r="A400" s="7" t="s">
        <v>1</v>
      </c>
      <c r="B400" s="8" t="s">
        <v>14</v>
      </c>
      <c r="C400" s="8" t="s">
        <v>15</v>
      </c>
      <c r="D400" s="8" t="s">
        <v>7</v>
      </c>
      <c r="E400" s="8" t="s">
        <v>17</v>
      </c>
      <c r="F400" s="13">
        <v>892.25741718546487</v>
      </c>
      <c r="G400" s="12">
        <v>2228.9960814887309</v>
      </c>
      <c r="I400"/>
    </row>
    <row r="401" spans="1:9" x14ac:dyDescent="0.3">
      <c r="A401" s="7" t="s">
        <v>9</v>
      </c>
      <c r="B401" s="8" t="s">
        <v>14</v>
      </c>
      <c r="C401" s="8" t="s">
        <v>24</v>
      </c>
      <c r="D401" s="8" t="s">
        <v>4</v>
      </c>
      <c r="E401" s="8" t="s">
        <v>5</v>
      </c>
      <c r="F401" s="13">
        <v>178.02199794195985</v>
      </c>
      <c r="G401" s="12">
        <v>16965.882447576434</v>
      </c>
      <c r="I401"/>
    </row>
    <row r="402" spans="1:9" x14ac:dyDescent="0.3">
      <c r="A402" s="7" t="s">
        <v>9</v>
      </c>
      <c r="B402" s="8" t="s">
        <v>14</v>
      </c>
      <c r="C402" s="8" t="s">
        <v>32</v>
      </c>
      <c r="D402" s="8" t="s">
        <v>7</v>
      </c>
      <c r="E402" s="8" t="s">
        <v>8</v>
      </c>
      <c r="F402" s="13">
        <v>0.14828462390141794</v>
      </c>
      <c r="G402" s="12">
        <v>11742.192386941017</v>
      </c>
      <c r="I402"/>
    </row>
    <row r="403" spans="1:9" x14ac:dyDescent="0.3">
      <c r="A403" s="7" t="s">
        <v>9</v>
      </c>
      <c r="B403" s="8" t="s">
        <v>14</v>
      </c>
      <c r="C403" s="8" t="s">
        <v>37</v>
      </c>
      <c r="D403" s="8" t="s">
        <v>4</v>
      </c>
      <c r="E403" s="8" t="s">
        <v>10</v>
      </c>
      <c r="F403" s="13">
        <v>786.58814032796727</v>
      </c>
      <c r="G403" s="12">
        <v>17706.970307853786</v>
      </c>
      <c r="I403"/>
    </row>
    <row r="404" spans="1:9" x14ac:dyDescent="0.3">
      <c r="A404" s="7" t="s">
        <v>1</v>
      </c>
      <c r="B404" s="8" t="s">
        <v>14</v>
      </c>
      <c r="C404" s="8" t="s">
        <v>18</v>
      </c>
      <c r="D404" s="8" t="s">
        <v>12</v>
      </c>
      <c r="E404" s="8" t="s">
        <v>13</v>
      </c>
      <c r="F404" s="13">
        <v>1488.7458934554161</v>
      </c>
      <c r="G404" s="12">
        <v>23673.062096829381</v>
      </c>
      <c r="I404"/>
    </row>
    <row r="405" spans="1:9" x14ac:dyDescent="0.3">
      <c r="A405" s="7" t="s">
        <v>1</v>
      </c>
      <c r="B405" s="8" t="s">
        <v>19</v>
      </c>
      <c r="C405" s="8" t="s">
        <v>19</v>
      </c>
      <c r="D405" s="8" t="s">
        <v>12</v>
      </c>
      <c r="E405" s="8" t="s">
        <v>16</v>
      </c>
      <c r="F405" s="13">
        <v>38.420314353970753</v>
      </c>
      <c r="G405" s="12">
        <v>12586.056826084132</v>
      </c>
      <c r="I405"/>
    </row>
    <row r="406" spans="1:9" x14ac:dyDescent="0.3">
      <c r="A406" s="7" t="s">
        <v>9</v>
      </c>
      <c r="B406" s="8" t="s">
        <v>14</v>
      </c>
      <c r="C406" s="8" t="s">
        <v>15</v>
      </c>
      <c r="D406" s="8" t="s">
        <v>7</v>
      </c>
      <c r="E406" s="8" t="s">
        <v>17</v>
      </c>
      <c r="F406" s="13">
        <v>3.7168547802139074</v>
      </c>
      <c r="G406" s="12">
        <v>15224.708735692897</v>
      </c>
      <c r="I406"/>
    </row>
    <row r="407" spans="1:9" x14ac:dyDescent="0.3">
      <c r="A407" s="7" t="s">
        <v>9</v>
      </c>
      <c r="B407" s="8" t="s">
        <v>2</v>
      </c>
      <c r="C407" s="8" t="s">
        <v>21</v>
      </c>
      <c r="D407" s="8" t="s">
        <v>4</v>
      </c>
      <c r="E407" s="8" t="s">
        <v>5</v>
      </c>
      <c r="F407" s="13">
        <v>943.89146839712339</v>
      </c>
      <c r="G407" s="12">
        <v>11214.215256813528</v>
      </c>
      <c r="I407"/>
    </row>
    <row r="408" spans="1:9" x14ac:dyDescent="0.3">
      <c r="A408" s="7" t="s">
        <v>1</v>
      </c>
      <c r="B408" s="8" t="s">
        <v>27</v>
      </c>
      <c r="C408" s="8" t="s">
        <v>42</v>
      </c>
      <c r="D408" s="8" t="s">
        <v>7</v>
      </c>
      <c r="E408" s="8" t="s">
        <v>8</v>
      </c>
      <c r="F408" s="13">
        <v>123.22222422280902</v>
      </c>
      <c r="G408" s="12">
        <v>15983.366590662627</v>
      </c>
      <c r="I408"/>
    </row>
    <row r="409" spans="1:9" x14ac:dyDescent="0.3">
      <c r="A409" s="7" t="s">
        <v>1</v>
      </c>
      <c r="B409" s="8" t="s">
        <v>14</v>
      </c>
      <c r="C409" s="8" t="s">
        <v>18</v>
      </c>
      <c r="D409" s="8" t="s">
        <v>4</v>
      </c>
      <c r="E409" s="8" t="s">
        <v>10</v>
      </c>
      <c r="F409" s="13">
        <v>754.92672498430693</v>
      </c>
      <c r="G409" s="12">
        <v>18367.304818688353</v>
      </c>
      <c r="I409"/>
    </row>
    <row r="410" spans="1:9" x14ac:dyDescent="0.3">
      <c r="A410" s="7" t="s">
        <v>9</v>
      </c>
      <c r="B410" s="8" t="s">
        <v>2</v>
      </c>
      <c r="C410" s="8" t="s">
        <v>21</v>
      </c>
      <c r="D410" s="8" t="s">
        <v>4</v>
      </c>
      <c r="E410" s="8" t="s">
        <v>5</v>
      </c>
      <c r="F410" s="13">
        <v>1829.316968726198</v>
      </c>
      <c r="G410" s="12">
        <v>16607.755004481056</v>
      </c>
      <c r="I410"/>
    </row>
    <row r="411" spans="1:9" x14ac:dyDescent="0.3">
      <c r="A411" s="7" t="s">
        <v>6</v>
      </c>
      <c r="B411" s="8" t="s">
        <v>27</v>
      </c>
      <c r="C411" s="8" t="s">
        <v>28</v>
      </c>
      <c r="D411" s="8" t="s">
        <v>7</v>
      </c>
      <c r="E411" s="8" t="s">
        <v>8</v>
      </c>
      <c r="F411" s="13">
        <v>84.970712433732842</v>
      </c>
      <c r="G411" s="12">
        <v>12727.551646478751</v>
      </c>
      <c r="I411"/>
    </row>
    <row r="412" spans="1:9" x14ac:dyDescent="0.3">
      <c r="A412" s="7" t="s">
        <v>6</v>
      </c>
      <c r="B412" s="8" t="s">
        <v>14</v>
      </c>
      <c r="C412" s="8" t="s">
        <v>36</v>
      </c>
      <c r="D412" s="8" t="s">
        <v>4</v>
      </c>
      <c r="E412" s="8" t="s">
        <v>10</v>
      </c>
      <c r="F412" s="13">
        <v>70.171496564034896</v>
      </c>
      <c r="G412" s="12">
        <v>5103.0714610205905</v>
      </c>
      <c r="I412"/>
    </row>
    <row r="413" spans="1:9" x14ac:dyDescent="0.3">
      <c r="A413" s="7" t="s">
        <v>6</v>
      </c>
      <c r="B413" s="8" t="s">
        <v>14</v>
      </c>
      <c r="C413" s="8" t="s">
        <v>15</v>
      </c>
      <c r="D413" s="8" t="s">
        <v>12</v>
      </c>
      <c r="E413" s="8" t="s">
        <v>13</v>
      </c>
      <c r="F413" s="13">
        <v>78.328631019030581</v>
      </c>
      <c r="G413" s="12">
        <v>18541.033960402201</v>
      </c>
      <c r="I413"/>
    </row>
    <row r="414" spans="1:9" x14ac:dyDescent="0.3">
      <c r="A414" s="7" t="s">
        <v>11</v>
      </c>
      <c r="B414" s="8" t="s">
        <v>14</v>
      </c>
      <c r="C414" s="8" t="s">
        <v>24</v>
      </c>
      <c r="D414" s="8" t="s">
        <v>4</v>
      </c>
      <c r="E414" s="8" t="s">
        <v>5</v>
      </c>
      <c r="F414" s="13">
        <v>387.84384065002087</v>
      </c>
      <c r="G414" s="12">
        <v>11239.518767140144</v>
      </c>
      <c r="I414"/>
    </row>
    <row r="415" spans="1:9" x14ac:dyDescent="0.3">
      <c r="A415" s="7" t="s">
        <v>11</v>
      </c>
      <c r="B415" s="8" t="s">
        <v>14</v>
      </c>
      <c r="C415" s="8" t="s">
        <v>32</v>
      </c>
      <c r="D415" s="8" t="s">
        <v>7</v>
      </c>
      <c r="E415" s="8" t="s">
        <v>8</v>
      </c>
      <c r="F415" s="13">
        <v>460.83821939419067</v>
      </c>
      <c r="G415" s="12">
        <v>2398.7833460667434</v>
      </c>
      <c r="I415"/>
    </row>
    <row r="416" spans="1:9" x14ac:dyDescent="0.3">
      <c r="A416" s="7" t="s">
        <v>11</v>
      </c>
      <c r="B416" s="8" t="s">
        <v>14</v>
      </c>
      <c r="C416" s="8" t="s">
        <v>37</v>
      </c>
      <c r="D416" s="8" t="s">
        <v>4</v>
      </c>
      <c r="E416" s="8" t="s">
        <v>10</v>
      </c>
      <c r="F416" s="13">
        <v>145.61000218691333</v>
      </c>
      <c r="G416" s="12">
        <v>21407.76483408517</v>
      </c>
      <c r="I416"/>
    </row>
    <row r="417" spans="1:9" x14ac:dyDescent="0.3">
      <c r="A417" s="7" t="s">
        <v>6</v>
      </c>
      <c r="B417" s="8" t="s">
        <v>14</v>
      </c>
      <c r="C417" s="8" t="s">
        <v>18</v>
      </c>
      <c r="D417" s="8" t="s">
        <v>12</v>
      </c>
      <c r="E417" s="8" t="s">
        <v>13</v>
      </c>
      <c r="F417" s="13">
        <v>1078.3300793290437</v>
      </c>
      <c r="G417" s="12">
        <v>15507.809793314887</v>
      </c>
      <c r="I417"/>
    </row>
    <row r="418" spans="1:9" x14ac:dyDescent="0.3">
      <c r="A418" s="7" t="s">
        <v>6</v>
      </c>
      <c r="B418" s="8" t="s">
        <v>19</v>
      </c>
      <c r="C418" s="8" t="s">
        <v>19</v>
      </c>
      <c r="D418" s="8" t="s">
        <v>12</v>
      </c>
      <c r="E418" s="8" t="s">
        <v>16</v>
      </c>
      <c r="F418" s="13">
        <v>93.484868466475746</v>
      </c>
      <c r="G418" s="12">
        <v>13657.855697279883</v>
      </c>
      <c r="I418"/>
    </row>
    <row r="419" spans="1:9" x14ac:dyDescent="0.3">
      <c r="A419" s="7" t="s">
        <v>11</v>
      </c>
      <c r="B419" s="8" t="s">
        <v>14</v>
      </c>
      <c r="C419" s="8" t="s">
        <v>15</v>
      </c>
      <c r="D419" s="8" t="s">
        <v>4</v>
      </c>
      <c r="E419" s="8" t="s">
        <v>5</v>
      </c>
      <c r="F419" s="13">
        <v>780.82669360337604</v>
      </c>
      <c r="G419" s="12">
        <v>8330.6252624193548</v>
      </c>
      <c r="I419"/>
    </row>
    <row r="420" spans="1:9" x14ac:dyDescent="0.3">
      <c r="A420" s="7" t="s">
        <v>11</v>
      </c>
      <c r="B420" s="8" t="s">
        <v>2</v>
      </c>
      <c r="C420" s="8" t="s">
        <v>21</v>
      </c>
      <c r="D420" s="8" t="s">
        <v>7</v>
      </c>
      <c r="E420" s="8" t="s">
        <v>8</v>
      </c>
      <c r="F420" s="13">
        <v>580.51550254531321</v>
      </c>
      <c r="G420" s="12">
        <v>18924.534168082573</v>
      </c>
      <c r="I420"/>
    </row>
    <row r="421" spans="1:9" x14ac:dyDescent="0.3">
      <c r="A421" s="7" t="s">
        <v>1</v>
      </c>
      <c r="B421" s="8" t="s">
        <v>14</v>
      </c>
      <c r="C421" s="8" t="s">
        <v>15</v>
      </c>
      <c r="D421" s="8" t="s">
        <v>4</v>
      </c>
      <c r="E421" s="8" t="s">
        <v>10</v>
      </c>
      <c r="F421" s="13">
        <v>230.40874317384805</v>
      </c>
      <c r="G421" s="12">
        <v>4427.1024847468652</v>
      </c>
      <c r="I421"/>
    </row>
    <row r="422" spans="1:9" x14ac:dyDescent="0.3">
      <c r="A422" s="7" t="s">
        <v>1</v>
      </c>
      <c r="B422" s="8" t="s">
        <v>2</v>
      </c>
      <c r="C422" s="8" t="s">
        <v>20</v>
      </c>
      <c r="D422" s="8" t="s">
        <v>12</v>
      </c>
      <c r="E422" s="8" t="s">
        <v>13</v>
      </c>
      <c r="F422" s="13">
        <v>1475.0016358448192</v>
      </c>
      <c r="G422" s="12">
        <v>4318.4346115576773</v>
      </c>
      <c r="I422"/>
    </row>
    <row r="423" spans="1:9" x14ac:dyDescent="0.3">
      <c r="A423" s="7" t="s">
        <v>6</v>
      </c>
      <c r="B423" s="8" t="s">
        <v>27</v>
      </c>
      <c r="C423" s="8" t="s">
        <v>42</v>
      </c>
      <c r="D423" s="8" t="s">
        <v>12</v>
      </c>
      <c r="E423" s="8" t="s">
        <v>16</v>
      </c>
      <c r="F423" s="13">
        <v>522.63944720225481</v>
      </c>
      <c r="G423" s="12">
        <v>1270.3881077482365</v>
      </c>
      <c r="I423"/>
    </row>
    <row r="424" spans="1:9" x14ac:dyDescent="0.3">
      <c r="A424" s="7" t="s">
        <v>6</v>
      </c>
      <c r="B424" s="8" t="s">
        <v>14</v>
      </c>
      <c r="C424" s="8" t="s">
        <v>18</v>
      </c>
      <c r="D424" s="8" t="s">
        <v>4</v>
      </c>
      <c r="E424" s="8" t="s">
        <v>5</v>
      </c>
      <c r="F424" s="13">
        <v>420.57537652126484</v>
      </c>
      <c r="G424" s="12">
        <v>9474.78788668368</v>
      </c>
      <c r="I424"/>
    </row>
    <row r="425" spans="1:9" x14ac:dyDescent="0.3">
      <c r="A425" s="7" t="s">
        <v>11</v>
      </c>
      <c r="B425" s="8" t="s">
        <v>2</v>
      </c>
      <c r="C425" s="8" t="s">
        <v>21</v>
      </c>
      <c r="D425" s="8" t="s">
        <v>7</v>
      </c>
      <c r="E425" s="8" t="s">
        <v>8</v>
      </c>
      <c r="F425" s="13">
        <v>238.34435440494417</v>
      </c>
      <c r="G425" s="12">
        <v>5767.4285068915015</v>
      </c>
      <c r="I425"/>
    </row>
    <row r="426" spans="1:9" x14ac:dyDescent="0.3">
      <c r="A426" s="7" t="s">
        <v>9</v>
      </c>
      <c r="B426" s="8" t="s">
        <v>27</v>
      </c>
      <c r="C426" s="8" t="s">
        <v>28</v>
      </c>
      <c r="D426" s="8" t="s">
        <v>4</v>
      </c>
      <c r="E426" s="8" t="s">
        <v>10</v>
      </c>
      <c r="F426" s="13">
        <v>193.87249307583261</v>
      </c>
      <c r="G426" s="12">
        <v>6038.067092921332</v>
      </c>
      <c r="I426"/>
    </row>
    <row r="427" spans="1:9" x14ac:dyDescent="0.3">
      <c r="A427" s="7" t="s">
        <v>9</v>
      </c>
      <c r="B427" s="8" t="s">
        <v>14</v>
      </c>
      <c r="C427" s="8" t="s">
        <v>36</v>
      </c>
      <c r="D427" s="8" t="s">
        <v>12</v>
      </c>
      <c r="E427" s="8" t="s">
        <v>13</v>
      </c>
      <c r="F427" s="13">
        <v>212.81593295616403</v>
      </c>
      <c r="G427" s="12">
        <v>3771.526366962913</v>
      </c>
      <c r="I427"/>
    </row>
    <row r="428" spans="1:9" x14ac:dyDescent="0.3">
      <c r="A428" s="7" t="s">
        <v>9</v>
      </c>
      <c r="B428" s="8" t="s">
        <v>14</v>
      </c>
      <c r="C428" s="8" t="s">
        <v>15</v>
      </c>
      <c r="D428" s="8" t="s">
        <v>12</v>
      </c>
      <c r="E428" s="8" t="s">
        <v>16</v>
      </c>
      <c r="F428" s="13">
        <v>50.345404979452724</v>
      </c>
      <c r="G428" s="12">
        <v>2605.5195398644573</v>
      </c>
      <c r="I428"/>
    </row>
    <row r="429" spans="1:9" x14ac:dyDescent="0.3">
      <c r="A429" s="7" t="s">
        <v>9</v>
      </c>
      <c r="B429" s="8" t="s">
        <v>14</v>
      </c>
      <c r="C429" s="8" t="s">
        <v>18</v>
      </c>
      <c r="D429" s="8" t="s">
        <v>7</v>
      </c>
      <c r="E429" s="8" t="s">
        <v>17</v>
      </c>
      <c r="F429" s="13">
        <v>544.80967977815453</v>
      </c>
      <c r="G429" s="12">
        <v>2317.8999957609594</v>
      </c>
      <c r="I429"/>
    </row>
    <row r="430" spans="1:9" x14ac:dyDescent="0.3">
      <c r="A430" s="7" t="s">
        <v>1</v>
      </c>
      <c r="B430" s="8" t="s">
        <v>2</v>
      </c>
      <c r="C430" s="8" t="s">
        <v>20</v>
      </c>
      <c r="D430" s="8" t="s">
        <v>4</v>
      </c>
      <c r="E430" s="8" t="s">
        <v>5</v>
      </c>
      <c r="F430" s="13">
        <v>77.293843540610396</v>
      </c>
      <c r="G430" s="12">
        <v>8156.6261624742765</v>
      </c>
      <c r="I430"/>
    </row>
    <row r="431" spans="1:9" x14ac:dyDescent="0.3">
      <c r="A431" s="7" t="s">
        <v>1</v>
      </c>
      <c r="B431" s="8" t="s">
        <v>19</v>
      </c>
      <c r="C431" s="8" t="s">
        <v>19</v>
      </c>
      <c r="D431" s="8" t="s">
        <v>7</v>
      </c>
      <c r="E431" s="8" t="s">
        <v>8</v>
      </c>
      <c r="F431" s="13">
        <v>191.33175700899301</v>
      </c>
      <c r="G431" s="12">
        <v>11135.77427129494</v>
      </c>
      <c r="I431"/>
    </row>
    <row r="432" spans="1:9" x14ac:dyDescent="0.3">
      <c r="A432" s="7" t="s">
        <v>1</v>
      </c>
      <c r="B432" s="8" t="s">
        <v>14</v>
      </c>
      <c r="C432" s="8" t="s">
        <v>18</v>
      </c>
      <c r="D432" s="8" t="s">
        <v>4</v>
      </c>
      <c r="E432" s="8" t="s">
        <v>10</v>
      </c>
      <c r="F432" s="13">
        <v>416.64659049420152</v>
      </c>
      <c r="G432" s="12">
        <v>18058.606217539636</v>
      </c>
      <c r="I432"/>
    </row>
    <row r="433" spans="1:9" x14ac:dyDescent="0.3">
      <c r="A433" s="7" t="s">
        <v>9</v>
      </c>
      <c r="B433" s="8" t="s">
        <v>19</v>
      </c>
      <c r="C433" s="8" t="s">
        <v>19</v>
      </c>
      <c r="D433" s="8" t="s">
        <v>4</v>
      </c>
      <c r="E433" s="8" t="s">
        <v>5</v>
      </c>
      <c r="F433" s="13">
        <v>53.089185373210057</v>
      </c>
      <c r="G433" s="12">
        <v>3636.4653450776532</v>
      </c>
      <c r="I433"/>
    </row>
    <row r="434" spans="1:9" x14ac:dyDescent="0.3">
      <c r="A434" s="7" t="s">
        <v>6</v>
      </c>
      <c r="B434" s="8" t="s">
        <v>14</v>
      </c>
      <c r="C434" s="8" t="s">
        <v>15</v>
      </c>
      <c r="D434" s="8" t="s">
        <v>4</v>
      </c>
      <c r="E434" s="8" t="s">
        <v>5</v>
      </c>
      <c r="F434" s="13">
        <v>1177.2916590483874</v>
      </c>
      <c r="G434" s="12">
        <v>3392.9014135358848</v>
      </c>
      <c r="I434"/>
    </row>
    <row r="435" spans="1:9" x14ac:dyDescent="0.3">
      <c r="A435" s="7" t="s">
        <v>6</v>
      </c>
      <c r="B435" s="8" t="s">
        <v>2</v>
      </c>
      <c r="C435" s="8" t="s">
        <v>20</v>
      </c>
      <c r="D435" s="8" t="s">
        <v>7</v>
      </c>
      <c r="E435" s="8" t="s">
        <v>8</v>
      </c>
      <c r="F435" s="13">
        <v>716.96441056456024</v>
      </c>
      <c r="G435" s="12">
        <v>2759.3168195138351</v>
      </c>
      <c r="I435"/>
    </row>
    <row r="436" spans="1:9" x14ac:dyDescent="0.3">
      <c r="A436" s="7" t="s">
        <v>9</v>
      </c>
      <c r="B436" s="8" t="s">
        <v>27</v>
      </c>
      <c r="C436" s="8" t="s">
        <v>42</v>
      </c>
      <c r="D436" s="8" t="s">
        <v>4</v>
      </c>
      <c r="E436" s="8" t="s">
        <v>10</v>
      </c>
      <c r="F436" s="13">
        <v>461.98816756186716</v>
      </c>
      <c r="G436" s="12">
        <v>13627.971552255687</v>
      </c>
      <c r="I436"/>
    </row>
    <row r="437" spans="1:9" x14ac:dyDescent="0.3">
      <c r="A437" s="7" t="s">
        <v>9</v>
      </c>
      <c r="B437" s="8" t="s">
        <v>14</v>
      </c>
      <c r="C437" s="8" t="s">
        <v>18</v>
      </c>
      <c r="D437" s="8" t="s">
        <v>12</v>
      </c>
      <c r="E437" s="8" t="s">
        <v>13</v>
      </c>
      <c r="F437" s="13">
        <v>821.15266164591958</v>
      </c>
      <c r="G437" s="12">
        <v>573.10328885558556</v>
      </c>
      <c r="I437"/>
    </row>
    <row r="438" spans="1:9" x14ac:dyDescent="0.3">
      <c r="A438" s="7" t="s">
        <v>11</v>
      </c>
      <c r="B438" s="8" t="s">
        <v>27</v>
      </c>
      <c r="C438" s="8" t="s">
        <v>28</v>
      </c>
      <c r="D438" s="8" t="s">
        <v>12</v>
      </c>
      <c r="E438" s="8" t="s">
        <v>16</v>
      </c>
      <c r="F438" s="13">
        <v>149.9727681521108</v>
      </c>
      <c r="G438" s="12">
        <v>12224.944085892817</v>
      </c>
      <c r="I438"/>
    </row>
    <row r="439" spans="1:9" x14ac:dyDescent="0.3">
      <c r="A439" s="7" t="s">
        <v>11</v>
      </c>
      <c r="B439" s="8" t="s">
        <v>14</v>
      </c>
      <c r="C439" s="8" t="s">
        <v>36</v>
      </c>
      <c r="D439" s="8" t="s">
        <v>7</v>
      </c>
      <c r="E439" s="8" t="s">
        <v>17</v>
      </c>
      <c r="F439" s="13">
        <v>273.3906435298195</v>
      </c>
      <c r="G439" s="12">
        <v>6684.5254998803193</v>
      </c>
      <c r="I439"/>
    </row>
    <row r="440" spans="1:9" x14ac:dyDescent="0.3">
      <c r="A440" s="7" t="s">
        <v>11</v>
      </c>
      <c r="B440" s="8" t="s">
        <v>14</v>
      </c>
      <c r="C440" s="8" t="s">
        <v>15</v>
      </c>
      <c r="D440" s="8" t="s">
        <v>4</v>
      </c>
      <c r="E440" s="8" t="s">
        <v>5</v>
      </c>
      <c r="F440" s="13">
        <v>151.21034055446216</v>
      </c>
      <c r="G440" s="12">
        <v>4341.2330861109922</v>
      </c>
      <c r="I440"/>
    </row>
    <row r="441" spans="1:9" x14ac:dyDescent="0.3">
      <c r="A441" s="7" t="s">
        <v>1</v>
      </c>
      <c r="B441" s="8" t="s">
        <v>27</v>
      </c>
      <c r="C441" s="8" t="s">
        <v>42</v>
      </c>
      <c r="D441" s="8" t="s">
        <v>7</v>
      </c>
      <c r="E441" s="8" t="s">
        <v>8</v>
      </c>
      <c r="F441" s="13">
        <v>245.09503343178949</v>
      </c>
      <c r="G441" s="12">
        <v>12560.519125472638</v>
      </c>
      <c r="I441"/>
    </row>
    <row r="442" spans="1:9" x14ac:dyDescent="0.3">
      <c r="A442" s="7" t="s">
        <v>11</v>
      </c>
      <c r="B442" s="8" t="s">
        <v>14</v>
      </c>
      <c r="C442" s="8" t="s">
        <v>18</v>
      </c>
      <c r="D442" s="8" t="s">
        <v>4</v>
      </c>
      <c r="E442" s="8" t="s">
        <v>10</v>
      </c>
      <c r="F442" s="13">
        <v>528.25935091887004</v>
      </c>
      <c r="G442" s="12">
        <v>8135.1072697317477</v>
      </c>
      <c r="I442"/>
    </row>
    <row r="443" spans="1:9" x14ac:dyDescent="0.3">
      <c r="A443" s="7" t="s">
        <v>6</v>
      </c>
      <c r="B443" s="8" t="s">
        <v>2</v>
      </c>
      <c r="C443" s="8" t="s">
        <v>20</v>
      </c>
      <c r="D443" s="8" t="s">
        <v>4</v>
      </c>
      <c r="E443" s="8" t="s">
        <v>5</v>
      </c>
      <c r="F443" s="13">
        <v>65.206568774374318</v>
      </c>
      <c r="G443" s="12">
        <v>3636.1362325132359</v>
      </c>
      <c r="I443"/>
    </row>
    <row r="444" spans="1:9" x14ac:dyDescent="0.3">
      <c r="A444" s="7" t="s">
        <v>6</v>
      </c>
      <c r="B444" s="8" t="s">
        <v>19</v>
      </c>
      <c r="C444" s="8" t="s">
        <v>19</v>
      </c>
      <c r="D444" s="8" t="s">
        <v>7</v>
      </c>
      <c r="E444" s="8" t="s">
        <v>8</v>
      </c>
      <c r="F444" s="13">
        <v>284.61872811803914</v>
      </c>
      <c r="G444" s="12">
        <v>4227.733257918153</v>
      </c>
      <c r="I444"/>
    </row>
    <row r="445" spans="1:9" x14ac:dyDescent="0.3">
      <c r="A445" s="7" t="s">
        <v>6</v>
      </c>
      <c r="B445" s="8" t="s">
        <v>14</v>
      </c>
      <c r="C445" s="8" t="s">
        <v>18</v>
      </c>
      <c r="D445" s="8" t="s">
        <v>4</v>
      </c>
      <c r="E445" s="8" t="s">
        <v>10</v>
      </c>
      <c r="F445" s="13">
        <v>451.43465460132575</v>
      </c>
      <c r="G445" s="12">
        <v>12371.871293101169</v>
      </c>
      <c r="I445"/>
    </row>
    <row r="446" spans="1:9" x14ac:dyDescent="0.3">
      <c r="A446" s="7" t="s">
        <v>11</v>
      </c>
      <c r="B446" s="8" t="s">
        <v>19</v>
      </c>
      <c r="C446" s="8" t="s">
        <v>19</v>
      </c>
      <c r="D446" s="8" t="s">
        <v>12</v>
      </c>
      <c r="E446" s="8" t="s">
        <v>13</v>
      </c>
      <c r="F446" s="13">
        <v>339.4608487824371</v>
      </c>
      <c r="G446" s="12">
        <v>926.59446846051287</v>
      </c>
      <c r="I446"/>
    </row>
    <row r="447" spans="1:9" x14ac:dyDescent="0.3">
      <c r="A447" s="7" t="s">
        <v>9</v>
      </c>
      <c r="B447" s="8" t="s">
        <v>14</v>
      </c>
      <c r="C447" s="8" t="s">
        <v>15</v>
      </c>
      <c r="D447" s="8" t="s">
        <v>4</v>
      </c>
      <c r="E447" s="8" t="s">
        <v>5</v>
      </c>
      <c r="F447" s="13">
        <v>1293.8834495089395</v>
      </c>
      <c r="G447" s="12">
        <v>16800.765774303298</v>
      </c>
      <c r="I447"/>
    </row>
    <row r="448" spans="1:9" x14ac:dyDescent="0.3">
      <c r="A448" s="7" t="s">
        <v>9</v>
      </c>
      <c r="B448" s="8" t="s">
        <v>2</v>
      </c>
      <c r="C448" s="8" t="s">
        <v>20</v>
      </c>
      <c r="D448" s="8" t="s">
        <v>7</v>
      </c>
      <c r="E448" s="8" t="s">
        <v>8</v>
      </c>
      <c r="F448" s="13">
        <v>85.389324304469483</v>
      </c>
      <c r="G448" s="12">
        <v>10159.546255263438</v>
      </c>
      <c r="I448"/>
    </row>
    <row r="449" spans="1:9" x14ac:dyDescent="0.3">
      <c r="A449" s="7" t="s">
        <v>11</v>
      </c>
      <c r="B449" s="8" t="s">
        <v>27</v>
      </c>
      <c r="C449" s="8" t="s">
        <v>42</v>
      </c>
      <c r="D449" s="8" t="s">
        <v>4</v>
      </c>
      <c r="E449" s="8" t="s">
        <v>10</v>
      </c>
      <c r="F449" s="13">
        <v>175.57383930998185</v>
      </c>
      <c r="G449" s="12">
        <v>3507.0472519472241</v>
      </c>
      <c r="I449"/>
    </row>
    <row r="450" spans="1:9" x14ac:dyDescent="0.3">
      <c r="A450" s="7" t="s">
        <v>11</v>
      </c>
      <c r="B450" s="8" t="s">
        <v>14</v>
      </c>
      <c r="C450" s="8" t="s">
        <v>18</v>
      </c>
      <c r="D450" s="8" t="s">
        <v>12</v>
      </c>
      <c r="E450" s="8" t="s">
        <v>13</v>
      </c>
      <c r="F450" s="13">
        <v>286.43407952358757</v>
      </c>
      <c r="G450" s="12">
        <v>14164.855490852737</v>
      </c>
      <c r="I450"/>
    </row>
    <row r="451" spans="1:9" x14ac:dyDescent="0.3">
      <c r="A451" s="7" t="s">
        <v>6</v>
      </c>
      <c r="B451" s="8" t="s">
        <v>27</v>
      </c>
      <c r="C451" s="8" t="s">
        <v>42</v>
      </c>
      <c r="D451" s="8" t="s">
        <v>12</v>
      </c>
      <c r="E451" s="8" t="s">
        <v>16</v>
      </c>
      <c r="F451" s="13">
        <v>200.25895814251271</v>
      </c>
      <c r="G451" s="12">
        <v>7986.2931380756527</v>
      </c>
      <c r="I451"/>
    </row>
    <row r="452" spans="1:9" x14ac:dyDescent="0.3">
      <c r="A452" s="7" t="s">
        <v>1</v>
      </c>
      <c r="B452" s="8" t="s">
        <v>2</v>
      </c>
      <c r="C452" s="8" t="s">
        <v>26</v>
      </c>
      <c r="D452" s="8" t="s">
        <v>4</v>
      </c>
      <c r="E452" s="8" t="s">
        <v>5</v>
      </c>
      <c r="F452" s="13">
        <v>443.16519299582069</v>
      </c>
      <c r="G452" s="12">
        <v>14365.027025231211</v>
      </c>
      <c r="I452"/>
    </row>
    <row r="453" spans="1:9" x14ac:dyDescent="0.3">
      <c r="A453" s="7" t="s">
        <v>1</v>
      </c>
      <c r="B453" s="8" t="s">
        <v>14</v>
      </c>
      <c r="C453" s="8" t="s">
        <v>23</v>
      </c>
      <c r="D453" s="8" t="s">
        <v>7</v>
      </c>
      <c r="E453" s="8" t="s">
        <v>8</v>
      </c>
      <c r="F453" s="13">
        <v>578.75663293361868</v>
      </c>
      <c r="G453" s="12">
        <v>5796.0794884050301</v>
      </c>
      <c r="I453"/>
    </row>
    <row r="454" spans="1:9" x14ac:dyDescent="0.3">
      <c r="A454" s="7" t="s">
        <v>1</v>
      </c>
      <c r="B454" s="8" t="s">
        <v>14</v>
      </c>
      <c r="C454" s="8" t="s">
        <v>24</v>
      </c>
      <c r="D454" s="8" t="s">
        <v>4</v>
      </c>
      <c r="E454" s="8" t="s">
        <v>10</v>
      </c>
      <c r="F454" s="13">
        <v>147.75019269964105</v>
      </c>
      <c r="G454" s="12">
        <v>10136.207210016437</v>
      </c>
      <c r="I454"/>
    </row>
    <row r="455" spans="1:9" x14ac:dyDescent="0.3">
      <c r="A455" s="7" t="s">
        <v>1</v>
      </c>
      <c r="B455" s="8" t="s">
        <v>33</v>
      </c>
      <c r="C455" s="8" t="s">
        <v>39</v>
      </c>
      <c r="D455" s="8" t="s">
        <v>12</v>
      </c>
      <c r="E455" s="8" t="s">
        <v>13</v>
      </c>
      <c r="F455" s="13">
        <v>192.51223138053319</v>
      </c>
      <c r="G455" s="12">
        <v>15693.247106552235</v>
      </c>
      <c r="I455"/>
    </row>
    <row r="456" spans="1:9" x14ac:dyDescent="0.3">
      <c r="A456" s="7" t="s">
        <v>1</v>
      </c>
      <c r="B456" s="8" t="s">
        <v>27</v>
      </c>
      <c r="C456" s="8" t="s">
        <v>29</v>
      </c>
      <c r="D456" s="8" t="s">
        <v>12</v>
      </c>
      <c r="E456" s="8" t="s">
        <v>16</v>
      </c>
      <c r="F456" s="13">
        <v>9.4439049424181576</v>
      </c>
      <c r="G456" s="12">
        <v>9850.4347465204773</v>
      </c>
      <c r="I456"/>
    </row>
    <row r="457" spans="1:9" x14ac:dyDescent="0.3">
      <c r="A457" s="7" t="s">
        <v>1</v>
      </c>
      <c r="B457" s="8" t="s">
        <v>33</v>
      </c>
      <c r="C457" s="8" t="s">
        <v>34</v>
      </c>
      <c r="D457" s="8" t="s">
        <v>4</v>
      </c>
      <c r="E457" s="8" t="s">
        <v>5</v>
      </c>
      <c r="F457" s="13">
        <v>126.86532997904578</v>
      </c>
      <c r="G457" s="12">
        <v>9120.0358455826063</v>
      </c>
      <c r="I457"/>
    </row>
    <row r="458" spans="1:9" x14ac:dyDescent="0.3">
      <c r="A458" s="7" t="s">
        <v>1</v>
      </c>
      <c r="B458" s="8" t="s">
        <v>33</v>
      </c>
      <c r="C458" s="8" t="s">
        <v>40</v>
      </c>
      <c r="D458" s="8" t="s">
        <v>7</v>
      </c>
      <c r="E458" s="8" t="s">
        <v>8</v>
      </c>
      <c r="F458" s="13">
        <v>188.77172302090912</v>
      </c>
      <c r="G458" s="12">
        <v>377.2000136814313</v>
      </c>
      <c r="I458"/>
    </row>
    <row r="459" spans="1:9" x14ac:dyDescent="0.3">
      <c r="A459" s="7" t="s">
        <v>1</v>
      </c>
      <c r="B459" s="8" t="s">
        <v>33</v>
      </c>
      <c r="C459" s="8" t="s">
        <v>41</v>
      </c>
      <c r="D459" s="8" t="s">
        <v>4</v>
      </c>
      <c r="E459" s="8" t="s">
        <v>10</v>
      </c>
      <c r="F459" s="13">
        <v>124.78093684167106</v>
      </c>
      <c r="G459" s="12">
        <v>10918.274058436509</v>
      </c>
      <c r="I459"/>
    </row>
    <row r="460" spans="1:9" x14ac:dyDescent="0.3">
      <c r="A460" s="7" t="s">
        <v>1</v>
      </c>
      <c r="B460" s="8" t="s">
        <v>27</v>
      </c>
      <c r="C460" s="8" t="s">
        <v>42</v>
      </c>
      <c r="D460" s="8" t="s">
        <v>12</v>
      </c>
      <c r="E460" s="8" t="s">
        <v>13</v>
      </c>
      <c r="F460" s="13">
        <v>101.46391465787019</v>
      </c>
      <c r="G460" s="12">
        <v>978.59865961072501</v>
      </c>
      <c r="I460"/>
    </row>
    <row r="461" spans="1:9" x14ac:dyDescent="0.3">
      <c r="A461" s="7" t="s">
        <v>1</v>
      </c>
      <c r="B461" s="8" t="s">
        <v>14</v>
      </c>
      <c r="C461" s="8" t="s">
        <v>30</v>
      </c>
      <c r="D461" s="8" t="s">
        <v>12</v>
      </c>
      <c r="E461" s="8" t="s">
        <v>16</v>
      </c>
      <c r="F461" s="13">
        <v>160.59867908788874</v>
      </c>
      <c r="G461" s="12">
        <v>10671.851191989845</v>
      </c>
      <c r="I461"/>
    </row>
    <row r="462" spans="1:9" x14ac:dyDescent="0.3">
      <c r="A462" s="7" t="s">
        <v>1</v>
      </c>
      <c r="B462" s="8" t="s">
        <v>27</v>
      </c>
      <c r="C462" s="8" t="s">
        <v>29</v>
      </c>
      <c r="D462" s="8" t="s">
        <v>7</v>
      </c>
      <c r="E462" s="8" t="s">
        <v>17</v>
      </c>
      <c r="F462" s="13">
        <v>505.96925936406478</v>
      </c>
      <c r="G462" s="12">
        <v>3822.5725097727263</v>
      </c>
      <c r="I462"/>
    </row>
    <row r="463" spans="1:9" x14ac:dyDescent="0.3">
      <c r="A463" s="7" t="s">
        <v>1</v>
      </c>
      <c r="B463" s="8" t="s">
        <v>2</v>
      </c>
      <c r="C463" s="8" t="s">
        <v>31</v>
      </c>
      <c r="D463" s="8" t="s">
        <v>4</v>
      </c>
      <c r="E463" s="8" t="s">
        <v>5</v>
      </c>
      <c r="F463" s="13">
        <v>37.489937283680774</v>
      </c>
      <c r="G463" s="12">
        <v>1543.4222514741123</v>
      </c>
      <c r="I463"/>
    </row>
    <row r="464" spans="1:9" x14ac:dyDescent="0.3">
      <c r="A464" s="7" t="s">
        <v>1</v>
      </c>
      <c r="B464" s="8" t="s">
        <v>14</v>
      </c>
      <c r="C464" s="8" t="s">
        <v>22</v>
      </c>
      <c r="D464" s="8" t="s">
        <v>7</v>
      </c>
      <c r="E464" s="8" t="s">
        <v>8</v>
      </c>
      <c r="F464" s="13">
        <v>111.03494798908287</v>
      </c>
      <c r="G464" s="12">
        <v>6284.4417919986881</v>
      </c>
      <c r="I464"/>
    </row>
    <row r="465" spans="1:9" x14ac:dyDescent="0.3">
      <c r="A465" s="7" t="s">
        <v>9</v>
      </c>
      <c r="B465" s="8" t="s">
        <v>2</v>
      </c>
      <c r="C465" s="8" t="s">
        <v>20</v>
      </c>
      <c r="D465" s="8" t="s">
        <v>4</v>
      </c>
      <c r="E465" s="8" t="s">
        <v>10</v>
      </c>
      <c r="F465" s="13">
        <v>515.99691236806393</v>
      </c>
      <c r="G465" s="12">
        <v>8935.7819656267566</v>
      </c>
      <c r="I465"/>
    </row>
    <row r="466" spans="1:9" x14ac:dyDescent="0.3">
      <c r="A466" s="7" t="s">
        <v>9</v>
      </c>
      <c r="B466" s="8" t="s">
        <v>19</v>
      </c>
      <c r="C466" s="8" t="s">
        <v>19</v>
      </c>
      <c r="D466" s="8" t="s">
        <v>4</v>
      </c>
      <c r="E466" s="8" t="s">
        <v>5</v>
      </c>
      <c r="F466" s="13">
        <v>491.14138284548972</v>
      </c>
      <c r="G466" s="12">
        <v>11292.779963018438</v>
      </c>
      <c r="I466"/>
    </row>
    <row r="467" spans="1:9" x14ac:dyDescent="0.3">
      <c r="A467" s="7" t="s">
        <v>9</v>
      </c>
      <c r="B467" s="8" t="s">
        <v>14</v>
      </c>
      <c r="C467" s="8" t="s">
        <v>18</v>
      </c>
      <c r="D467" s="8" t="s">
        <v>7</v>
      </c>
      <c r="E467" s="8" t="s">
        <v>8</v>
      </c>
      <c r="F467" s="13">
        <v>11.430305238172878</v>
      </c>
      <c r="G467" s="12">
        <v>7050.3625145697697</v>
      </c>
      <c r="I467"/>
    </row>
    <row r="468" spans="1:9" x14ac:dyDescent="0.3">
      <c r="A468" s="7" t="s">
        <v>11</v>
      </c>
      <c r="B468" s="8" t="s">
        <v>14</v>
      </c>
      <c r="C468" s="8" t="s">
        <v>15</v>
      </c>
      <c r="D468" s="8" t="s">
        <v>4</v>
      </c>
      <c r="E468" s="8" t="s">
        <v>10</v>
      </c>
      <c r="F468" s="13">
        <v>453.91239795389993</v>
      </c>
      <c r="G468" s="12">
        <v>3833.4357194108379</v>
      </c>
      <c r="I468"/>
    </row>
    <row r="469" spans="1:9" x14ac:dyDescent="0.3">
      <c r="A469" s="7" t="s">
        <v>11</v>
      </c>
      <c r="B469" s="8" t="s">
        <v>2</v>
      </c>
      <c r="C469" s="8" t="s">
        <v>20</v>
      </c>
      <c r="D469" s="8" t="s">
        <v>12</v>
      </c>
      <c r="E469" s="8" t="s">
        <v>13</v>
      </c>
      <c r="F469" s="13">
        <v>1153.061186397008</v>
      </c>
      <c r="G469" s="12">
        <v>8828.3733503805852</v>
      </c>
      <c r="I469"/>
    </row>
    <row r="470" spans="1:9" x14ac:dyDescent="0.3">
      <c r="A470" s="7" t="s">
        <v>9</v>
      </c>
      <c r="B470" s="8" t="s">
        <v>27</v>
      </c>
      <c r="C470" s="8" t="s">
        <v>42</v>
      </c>
      <c r="D470" s="8" t="s">
        <v>12</v>
      </c>
      <c r="E470" s="8" t="s">
        <v>16</v>
      </c>
      <c r="F470" s="13">
        <v>637.61054095866712</v>
      </c>
      <c r="G470" s="12">
        <v>8130.4847458280638</v>
      </c>
      <c r="I470"/>
    </row>
    <row r="471" spans="1:9" x14ac:dyDescent="0.3">
      <c r="A471" s="7" t="s">
        <v>6</v>
      </c>
      <c r="B471" s="8" t="s">
        <v>2</v>
      </c>
      <c r="C471" s="8" t="s">
        <v>26</v>
      </c>
      <c r="D471" s="8" t="s">
        <v>7</v>
      </c>
      <c r="E471" s="8" t="s">
        <v>17</v>
      </c>
      <c r="F471" s="13">
        <v>317.11194750514551</v>
      </c>
      <c r="G471" s="12">
        <v>5029.4088858987498</v>
      </c>
      <c r="I471"/>
    </row>
    <row r="472" spans="1:9" x14ac:dyDescent="0.3">
      <c r="A472" s="7" t="s">
        <v>6</v>
      </c>
      <c r="B472" s="8" t="s">
        <v>14</v>
      </c>
      <c r="C472" s="8" t="s">
        <v>23</v>
      </c>
      <c r="D472" s="8" t="s">
        <v>4</v>
      </c>
      <c r="E472" s="8" t="s">
        <v>5</v>
      </c>
      <c r="F472" s="13">
        <v>99.820243344765913</v>
      </c>
      <c r="G472" s="12">
        <v>7727.7120245026981</v>
      </c>
      <c r="I472"/>
    </row>
    <row r="473" spans="1:9" x14ac:dyDescent="0.3">
      <c r="A473" s="7" t="s">
        <v>6</v>
      </c>
      <c r="B473" s="8" t="s">
        <v>14</v>
      </c>
      <c r="C473" s="8" t="s">
        <v>24</v>
      </c>
      <c r="D473" s="8" t="s">
        <v>7</v>
      </c>
      <c r="E473" s="8" t="s">
        <v>8</v>
      </c>
      <c r="F473" s="13">
        <v>62.346637087830459</v>
      </c>
      <c r="G473" s="12">
        <v>13842.658324342192</v>
      </c>
      <c r="I473"/>
    </row>
    <row r="474" spans="1:9" x14ac:dyDescent="0.3">
      <c r="A474" s="7" t="s">
        <v>6</v>
      </c>
      <c r="B474" s="8" t="s">
        <v>33</v>
      </c>
      <c r="C474" s="8" t="s">
        <v>39</v>
      </c>
      <c r="D474" s="8" t="s">
        <v>4</v>
      </c>
      <c r="E474" s="8" t="s">
        <v>10</v>
      </c>
      <c r="F474" s="13">
        <v>132.35782328520145</v>
      </c>
      <c r="G474" s="12">
        <v>1055.5079461017158</v>
      </c>
      <c r="I474"/>
    </row>
    <row r="475" spans="1:9" x14ac:dyDescent="0.3">
      <c r="A475" s="7" t="s">
        <v>6</v>
      </c>
      <c r="B475" s="8" t="s">
        <v>27</v>
      </c>
      <c r="C475" s="8" t="s">
        <v>29</v>
      </c>
      <c r="D475" s="8" t="s">
        <v>12</v>
      </c>
      <c r="E475" s="8" t="s">
        <v>13</v>
      </c>
      <c r="F475" s="13">
        <v>141.05705583078816</v>
      </c>
      <c r="G475" s="12">
        <v>2246.4006104426517</v>
      </c>
      <c r="I475"/>
    </row>
    <row r="476" spans="1:9" x14ac:dyDescent="0.3">
      <c r="A476" s="7" t="s">
        <v>6</v>
      </c>
      <c r="B476" s="8" t="s">
        <v>33</v>
      </c>
      <c r="C476" s="8" t="s">
        <v>34</v>
      </c>
      <c r="D476" s="8" t="s">
        <v>12</v>
      </c>
      <c r="E476" s="8" t="s">
        <v>16</v>
      </c>
      <c r="F476" s="13">
        <v>9.460514280362986</v>
      </c>
      <c r="G476" s="12">
        <v>13096.788890616444</v>
      </c>
      <c r="I476"/>
    </row>
    <row r="477" spans="1:9" x14ac:dyDescent="0.3">
      <c r="A477" s="7" t="s">
        <v>6</v>
      </c>
      <c r="B477" s="8" t="s">
        <v>33</v>
      </c>
      <c r="C477" s="8" t="s">
        <v>40</v>
      </c>
      <c r="D477" s="8" t="s">
        <v>7</v>
      </c>
      <c r="E477" s="8" t="s">
        <v>17</v>
      </c>
      <c r="F477" s="13">
        <v>73.410015376248339</v>
      </c>
      <c r="G477" s="12">
        <v>6880.1938965938461</v>
      </c>
      <c r="I477"/>
    </row>
    <row r="478" spans="1:9" x14ac:dyDescent="0.3">
      <c r="A478" s="7" t="s">
        <v>6</v>
      </c>
      <c r="B478" s="8" t="s">
        <v>33</v>
      </c>
      <c r="C478" s="8" t="s">
        <v>41</v>
      </c>
      <c r="D478" s="8" t="s">
        <v>4</v>
      </c>
      <c r="E478" s="8" t="s">
        <v>5</v>
      </c>
      <c r="F478" s="13">
        <v>74.3566823326546</v>
      </c>
      <c r="G478" s="12">
        <v>1019.9734514864394</v>
      </c>
      <c r="I478"/>
    </row>
    <row r="479" spans="1:9" x14ac:dyDescent="0.3">
      <c r="A479" s="7" t="s">
        <v>6</v>
      </c>
      <c r="B479" s="8" t="s">
        <v>27</v>
      </c>
      <c r="C479" s="8" t="s">
        <v>42</v>
      </c>
      <c r="D479" s="8" t="s">
        <v>7</v>
      </c>
      <c r="E479" s="8" t="s">
        <v>8</v>
      </c>
      <c r="F479" s="13">
        <v>146.75435734188795</v>
      </c>
      <c r="G479" s="12">
        <v>2568.1991479739372</v>
      </c>
      <c r="I479"/>
    </row>
    <row r="480" spans="1:9" x14ac:dyDescent="0.3">
      <c r="A480" s="7" t="s">
        <v>6</v>
      </c>
      <c r="B480" s="8" t="s">
        <v>14</v>
      </c>
      <c r="C480" s="8" t="s">
        <v>30</v>
      </c>
      <c r="D480" s="8" t="s">
        <v>4</v>
      </c>
      <c r="E480" s="8" t="s">
        <v>10</v>
      </c>
      <c r="F480" s="13">
        <v>107.47524414691725</v>
      </c>
      <c r="G480" s="12">
        <v>13636.672184788913</v>
      </c>
      <c r="I480"/>
    </row>
    <row r="481" spans="1:9" x14ac:dyDescent="0.3">
      <c r="A481" s="7" t="s">
        <v>6</v>
      </c>
      <c r="B481" s="8" t="s">
        <v>27</v>
      </c>
      <c r="C481" s="8" t="s">
        <v>29</v>
      </c>
      <c r="D481" s="8" t="s">
        <v>4</v>
      </c>
      <c r="E481" s="8" t="s">
        <v>5</v>
      </c>
      <c r="F481" s="13">
        <v>682.24829661703552</v>
      </c>
      <c r="G481" s="12">
        <v>9844.0367218542087</v>
      </c>
      <c r="I481"/>
    </row>
    <row r="482" spans="1:9" x14ac:dyDescent="0.3">
      <c r="A482" s="7" t="s">
        <v>6</v>
      </c>
      <c r="B482" s="8" t="s">
        <v>2</v>
      </c>
      <c r="C482" s="8" t="s">
        <v>31</v>
      </c>
      <c r="D482" s="8" t="s">
        <v>7</v>
      </c>
      <c r="E482" s="8" t="s">
        <v>8</v>
      </c>
      <c r="F482" s="13">
        <v>132.98986813606462</v>
      </c>
      <c r="G482" s="12">
        <v>5200.6277437857352</v>
      </c>
      <c r="I482"/>
    </row>
    <row r="483" spans="1:9" x14ac:dyDescent="0.3">
      <c r="A483" s="7" t="s">
        <v>6</v>
      </c>
      <c r="B483" s="8" t="s">
        <v>14</v>
      </c>
      <c r="C483" s="8" t="s">
        <v>22</v>
      </c>
      <c r="D483" s="8" t="s">
        <v>4</v>
      </c>
      <c r="E483" s="8" t="s">
        <v>10</v>
      </c>
      <c r="F483" s="13">
        <v>475.08168933245543</v>
      </c>
      <c r="G483" s="12">
        <v>8934.8651527801121</v>
      </c>
      <c r="I483"/>
    </row>
    <row r="484" spans="1:9" x14ac:dyDescent="0.3">
      <c r="A484" s="7" t="s">
        <v>11</v>
      </c>
      <c r="B484" s="8" t="s">
        <v>2</v>
      </c>
      <c r="C484" s="8" t="s">
        <v>20</v>
      </c>
      <c r="D484" s="8" t="s">
        <v>12</v>
      </c>
      <c r="E484" s="8" t="s">
        <v>13</v>
      </c>
      <c r="F484" s="13">
        <v>295.07025817438262</v>
      </c>
      <c r="G484" s="12">
        <v>13222.638112529556</v>
      </c>
      <c r="I484"/>
    </row>
    <row r="485" spans="1:9" x14ac:dyDescent="0.3">
      <c r="A485" s="7" t="s">
        <v>11</v>
      </c>
      <c r="B485" s="8" t="s">
        <v>19</v>
      </c>
      <c r="C485" s="8" t="s">
        <v>19</v>
      </c>
      <c r="D485" s="8" t="s">
        <v>4</v>
      </c>
      <c r="E485" s="8" t="s">
        <v>5</v>
      </c>
      <c r="F485" s="13">
        <v>473.3741750505942</v>
      </c>
      <c r="G485" s="12">
        <v>2937.7659739259971</v>
      </c>
      <c r="I485"/>
    </row>
    <row r="486" spans="1:9" x14ac:dyDescent="0.3">
      <c r="A486" s="7" t="s">
        <v>11</v>
      </c>
      <c r="B486" s="8" t="s">
        <v>14</v>
      </c>
      <c r="C486" s="8" t="s">
        <v>18</v>
      </c>
      <c r="D486" s="8" t="s">
        <v>7</v>
      </c>
      <c r="E486" s="8" t="s">
        <v>8</v>
      </c>
      <c r="F486" s="13">
        <v>53.257538027173723</v>
      </c>
      <c r="G486" s="12">
        <v>13818.003022831395</v>
      </c>
      <c r="I486"/>
    </row>
    <row r="487" spans="1:9" x14ac:dyDescent="0.3">
      <c r="A487" s="7" t="s">
        <v>1</v>
      </c>
      <c r="B487" s="8" t="s">
        <v>14</v>
      </c>
      <c r="C487" s="8" t="s">
        <v>24</v>
      </c>
      <c r="D487" s="8" t="s">
        <v>4</v>
      </c>
      <c r="E487" s="8" t="s">
        <v>10</v>
      </c>
      <c r="F487" s="13">
        <v>1083.24936816025</v>
      </c>
      <c r="G487" s="12">
        <v>9455.4543217993341</v>
      </c>
      <c r="I487"/>
    </row>
    <row r="488" spans="1:9" x14ac:dyDescent="0.3">
      <c r="A488" s="7" t="s">
        <v>1</v>
      </c>
      <c r="B488" s="8" t="s">
        <v>14</v>
      </c>
      <c r="C488" s="8" t="s">
        <v>23</v>
      </c>
      <c r="D488" s="8" t="s">
        <v>12</v>
      </c>
      <c r="E488" s="8" t="s">
        <v>13</v>
      </c>
      <c r="F488" s="13">
        <v>401.41279189410852</v>
      </c>
      <c r="G488" s="12">
        <v>416.8954830893199</v>
      </c>
      <c r="I488"/>
    </row>
    <row r="489" spans="1:9" x14ac:dyDescent="0.3">
      <c r="A489" s="7" t="s">
        <v>1</v>
      </c>
      <c r="B489" s="8" t="s">
        <v>2</v>
      </c>
      <c r="C489" s="8" t="s">
        <v>26</v>
      </c>
      <c r="D489" s="8" t="s">
        <v>12</v>
      </c>
      <c r="E489" s="8" t="s">
        <v>16</v>
      </c>
      <c r="F489" s="13">
        <v>123.5128624052777</v>
      </c>
      <c r="G489" s="12">
        <v>13212.901392656931</v>
      </c>
      <c r="I489"/>
    </row>
    <row r="490" spans="1:9" x14ac:dyDescent="0.3">
      <c r="A490" s="7" t="s">
        <v>1</v>
      </c>
      <c r="B490" s="8" t="s">
        <v>14</v>
      </c>
      <c r="C490" s="8" t="s">
        <v>24</v>
      </c>
      <c r="D490" s="8" t="s">
        <v>4</v>
      </c>
      <c r="E490" s="8" t="s">
        <v>5</v>
      </c>
      <c r="F490" s="13">
        <v>14.557729236912564</v>
      </c>
      <c r="G490" s="12">
        <v>9610.3287041596559</v>
      </c>
      <c r="I490"/>
    </row>
    <row r="491" spans="1:9" x14ac:dyDescent="0.3">
      <c r="A491" s="7" t="s">
        <v>1</v>
      </c>
      <c r="B491" s="8" t="s">
        <v>2</v>
      </c>
      <c r="C491" s="8" t="s">
        <v>20</v>
      </c>
      <c r="D491" s="8" t="s">
        <v>7</v>
      </c>
      <c r="E491" s="8" t="s">
        <v>8</v>
      </c>
      <c r="F491" s="13">
        <v>551.1025343736037</v>
      </c>
      <c r="G491" s="12">
        <v>289.89684699554346</v>
      </c>
      <c r="I491"/>
    </row>
    <row r="492" spans="1:9" x14ac:dyDescent="0.3">
      <c r="A492" s="7" t="s">
        <v>1</v>
      </c>
      <c r="B492" s="8" t="s">
        <v>27</v>
      </c>
      <c r="C492" s="8" t="s">
        <v>42</v>
      </c>
      <c r="D492" s="8" t="s">
        <v>4</v>
      </c>
      <c r="E492" s="8" t="s">
        <v>10</v>
      </c>
      <c r="F492" s="13">
        <v>344.40711775096133</v>
      </c>
      <c r="G492" s="12">
        <v>13218.805248018725</v>
      </c>
      <c r="I492"/>
    </row>
    <row r="493" spans="1:9" x14ac:dyDescent="0.3">
      <c r="A493" s="7" t="s">
        <v>11</v>
      </c>
      <c r="B493" s="8" t="s">
        <v>27</v>
      </c>
      <c r="C493" s="8" t="s">
        <v>42</v>
      </c>
      <c r="D493" s="8" t="s">
        <v>12</v>
      </c>
      <c r="E493" s="8" t="s">
        <v>13</v>
      </c>
      <c r="F493" s="13">
        <v>465.41211916146494</v>
      </c>
      <c r="G493" s="12">
        <v>4791.7778195712381</v>
      </c>
      <c r="I493"/>
    </row>
    <row r="494" spans="1:9" x14ac:dyDescent="0.3">
      <c r="A494" s="7" t="s">
        <v>9</v>
      </c>
      <c r="B494" s="8" t="s">
        <v>2</v>
      </c>
      <c r="C494" s="8" t="s">
        <v>26</v>
      </c>
      <c r="D494" s="8" t="s">
        <v>12</v>
      </c>
      <c r="E494" s="8" t="s">
        <v>16</v>
      </c>
      <c r="F494" s="13">
        <v>228.38632134862564</v>
      </c>
      <c r="G494" s="12">
        <v>10153.047683764267</v>
      </c>
      <c r="I494"/>
    </row>
    <row r="495" spans="1:9" x14ac:dyDescent="0.3">
      <c r="A495" s="7" t="s">
        <v>9</v>
      </c>
      <c r="B495" s="8" t="s">
        <v>14</v>
      </c>
      <c r="C495" s="8" t="s">
        <v>23</v>
      </c>
      <c r="D495" s="8" t="s">
        <v>4</v>
      </c>
      <c r="E495" s="8" t="s">
        <v>5</v>
      </c>
      <c r="F495" s="13">
        <v>476.71286866998344</v>
      </c>
      <c r="G495" s="12">
        <v>25.940970282652415</v>
      </c>
      <c r="I495"/>
    </row>
    <row r="496" spans="1:9" x14ac:dyDescent="0.3">
      <c r="A496" s="7" t="s">
        <v>9</v>
      </c>
      <c r="B496" s="8" t="s">
        <v>14</v>
      </c>
      <c r="C496" s="8" t="s">
        <v>24</v>
      </c>
      <c r="D496" s="8" t="s">
        <v>7</v>
      </c>
      <c r="E496" s="8" t="s">
        <v>8</v>
      </c>
      <c r="F496" s="13">
        <v>60.006885987968417</v>
      </c>
      <c r="G496" s="12">
        <v>13007.457296160055</v>
      </c>
      <c r="I496"/>
    </row>
    <row r="497" spans="1:9" x14ac:dyDescent="0.3">
      <c r="A497" s="7" t="s">
        <v>9</v>
      </c>
      <c r="B497" s="8" t="s">
        <v>33</v>
      </c>
      <c r="C497" s="8" t="s">
        <v>39</v>
      </c>
      <c r="D497" s="8" t="s">
        <v>4</v>
      </c>
      <c r="E497" s="8" t="s">
        <v>10</v>
      </c>
      <c r="F497" s="13">
        <v>177.07468394510215</v>
      </c>
      <c r="G497" s="12">
        <v>1894.6607705152019</v>
      </c>
      <c r="I497"/>
    </row>
    <row r="498" spans="1:9" x14ac:dyDescent="0.3">
      <c r="A498" s="7" t="s">
        <v>9</v>
      </c>
      <c r="B498" s="8" t="s">
        <v>27</v>
      </c>
      <c r="C498" s="8" t="s">
        <v>29</v>
      </c>
      <c r="D498" s="8" t="s">
        <v>12</v>
      </c>
      <c r="E498" s="8" t="s">
        <v>13</v>
      </c>
      <c r="F498" s="13">
        <v>41.404743835119007</v>
      </c>
      <c r="G498" s="12">
        <v>5489.0492617616928</v>
      </c>
      <c r="I498"/>
    </row>
    <row r="499" spans="1:9" x14ac:dyDescent="0.3">
      <c r="A499" s="7" t="s">
        <v>9</v>
      </c>
      <c r="B499" s="8" t="s">
        <v>33</v>
      </c>
      <c r="C499" s="8" t="s">
        <v>34</v>
      </c>
      <c r="D499" s="8" t="s">
        <v>12</v>
      </c>
      <c r="E499" s="8" t="s">
        <v>16</v>
      </c>
      <c r="F499" s="13">
        <v>135.36520636735077</v>
      </c>
      <c r="G499" s="12">
        <v>2816.897318928568</v>
      </c>
      <c r="I499"/>
    </row>
    <row r="500" spans="1:9" x14ac:dyDescent="0.3">
      <c r="A500" s="7" t="s">
        <v>9</v>
      </c>
      <c r="B500" s="8" t="s">
        <v>33</v>
      </c>
      <c r="C500" s="8" t="s">
        <v>40</v>
      </c>
      <c r="D500" s="8" t="s">
        <v>7</v>
      </c>
      <c r="E500" s="8" t="s">
        <v>17</v>
      </c>
      <c r="F500" s="13">
        <v>109.54999611950029</v>
      </c>
      <c r="G500" s="12">
        <v>9670.0107742224191</v>
      </c>
      <c r="I500"/>
    </row>
    <row r="501" spans="1:9" x14ac:dyDescent="0.3">
      <c r="A501" s="7" t="s">
        <v>9</v>
      </c>
      <c r="B501" s="8" t="s">
        <v>33</v>
      </c>
      <c r="C501" s="8" t="s">
        <v>41</v>
      </c>
      <c r="D501" s="8" t="s">
        <v>4</v>
      </c>
      <c r="E501" s="8" t="s">
        <v>5</v>
      </c>
      <c r="F501" s="13">
        <v>153.28026822226093</v>
      </c>
      <c r="G501" s="12">
        <v>6601.5227288861879</v>
      </c>
      <c r="I501"/>
    </row>
    <row r="502" spans="1:9" x14ac:dyDescent="0.3">
      <c r="A502" s="7" t="s">
        <v>9</v>
      </c>
      <c r="B502" s="8" t="s">
        <v>27</v>
      </c>
      <c r="C502" s="8" t="s">
        <v>42</v>
      </c>
      <c r="D502" s="8" t="s">
        <v>7</v>
      </c>
      <c r="E502" s="8" t="s">
        <v>8</v>
      </c>
      <c r="F502" s="13">
        <v>190.3396446883562</v>
      </c>
      <c r="G502" s="12">
        <v>13048.442732589137</v>
      </c>
      <c r="I502"/>
    </row>
    <row r="503" spans="1:9" x14ac:dyDescent="0.3">
      <c r="A503" s="7" t="s">
        <v>9</v>
      </c>
      <c r="B503" s="8" t="s">
        <v>14</v>
      </c>
      <c r="C503" s="8" t="s">
        <v>30</v>
      </c>
      <c r="D503" s="8" t="s">
        <v>4</v>
      </c>
      <c r="E503" s="8" t="s">
        <v>10</v>
      </c>
      <c r="F503" s="13">
        <v>140.94887146402471</v>
      </c>
      <c r="G503" s="12">
        <v>6079.1183975343301</v>
      </c>
      <c r="I503"/>
    </row>
    <row r="504" spans="1:9" x14ac:dyDescent="0.3">
      <c r="A504" s="7" t="s">
        <v>9</v>
      </c>
      <c r="B504" s="8" t="s">
        <v>27</v>
      </c>
      <c r="C504" s="8" t="s">
        <v>29</v>
      </c>
      <c r="D504" s="8" t="s">
        <v>4</v>
      </c>
      <c r="E504" s="8" t="s">
        <v>5</v>
      </c>
      <c r="F504" s="13">
        <v>307.74413751496468</v>
      </c>
      <c r="G504" s="12">
        <v>12726.092698070488</v>
      </c>
      <c r="I504"/>
    </row>
    <row r="505" spans="1:9" x14ac:dyDescent="0.3">
      <c r="A505" s="7" t="s">
        <v>9</v>
      </c>
      <c r="B505" s="8" t="s">
        <v>2</v>
      </c>
      <c r="C505" s="8" t="s">
        <v>31</v>
      </c>
      <c r="D505" s="8" t="s">
        <v>7</v>
      </c>
      <c r="E505" s="8" t="s">
        <v>8</v>
      </c>
      <c r="F505" s="13">
        <v>430.24284022903885</v>
      </c>
      <c r="G505" s="12">
        <v>2260.7915389861901</v>
      </c>
      <c r="I505"/>
    </row>
    <row r="506" spans="1:9" x14ac:dyDescent="0.3">
      <c r="A506" s="7" t="s">
        <v>9</v>
      </c>
      <c r="B506" s="8" t="s">
        <v>14</v>
      </c>
      <c r="C506" s="8" t="s">
        <v>22</v>
      </c>
      <c r="D506" s="8" t="s">
        <v>4</v>
      </c>
      <c r="E506" s="8" t="s">
        <v>10</v>
      </c>
      <c r="F506" s="13">
        <v>305.15181540158665</v>
      </c>
      <c r="G506" s="12">
        <v>12762.332873619329</v>
      </c>
      <c r="I506"/>
    </row>
    <row r="507" spans="1:9" x14ac:dyDescent="0.3">
      <c r="A507" s="7" t="s">
        <v>6</v>
      </c>
      <c r="B507" s="8" t="s">
        <v>14</v>
      </c>
      <c r="C507" s="8" t="s">
        <v>24</v>
      </c>
      <c r="D507" s="8" t="s">
        <v>12</v>
      </c>
      <c r="E507" s="8" t="s">
        <v>13</v>
      </c>
      <c r="F507" s="13">
        <v>914.85485953089665</v>
      </c>
      <c r="G507" s="12">
        <v>12296.899145573239</v>
      </c>
      <c r="I507"/>
    </row>
    <row r="508" spans="1:9" x14ac:dyDescent="0.3">
      <c r="A508" s="7" t="s">
        <v>6</v>
      </c>
      <c r="B508" s="8" t="s">
        <v>14</v>
      </c>
      <c r="C508" s="8" t="s">
        <v>23</v>
      </c>
      <c r="D508" s="8" t="s">
        <v>12</v>
      </c>
      <c r="E508" s="8" t="s">
        <v>16</v>
      </c>
      <c r="F508" s="13">
        <v>112.42690640465298</v>
      </c>
      <c r="G508" s="12">
        <v>12790.696796864257</v>
      </c>
      <c r="I508"/>
    </row>
    <row r="509" spans="1:9" x14ac:dyDescent="0.3">
      <c r="A509" s="7" t="s">
        <v>1</v>
      </c>
      <c r="B509" s="8" t="s">
        <v>14</v>
      </c>
      <c r="C509" s="8" t="s">
        <v>25</v>
      </c>
      <c r="D509" s="8" t="s">
        <v>7</v>
      </c>
      <c r="E509" s="8" t="s">
        <v>17</v>
      </c>
      <c r="F509" s="13">
        <v>328.35768574295798</v>
      </c>
      <c r="G509" s="12">
        <v>404.72836964763701</v>
      </c>
      <c r="I509"/>
    </row>
    <row r="510" spans="1:9" x14ac:dyDescent="0.3">
      <c r="A510" s="7" t="s">
        <v>1</v>
      </c>
      <c r="B510" s="8" t="s">
        <v>14</v>
      </c>
      <c r="C510" s="8" t="s">
        <v>30</v>
      </c>
      <c r="D510" s="8" t="s">
        <v>4</v>
      </c>
      <c r="E510" s="8" t="s">
        <v>5</v>
      </c>
      <c r="F510" s="13">
        <v>257.2764392796671</v>
      </c>
      <c r="G510" s="12">
        <v>5193.6245576362126</v>
      </c>
      <c r="I510"/>
    </row>
    <row r="511" spans="1:9" x14ac:dyDescent="0.3">
      <c r="A511" s="7" t="s">
        <v>6</v>
      </c>
      <c r="B511" s="8" t="s">
        <v>2</v>
      </c>
      <c r="C511" s="8" t="s">
        <v>26</v>
      </c>
      <c r="D511" s="8" t="s">
        <v>7</v>
      </c>
      <c r="E511" s="8" t="s">
        <v>8</v>
      </c>
      <c r="F511" s="13">
        <v>406.56409160264957</v>
      </c>
      <c r="G511" s="12">
        <v>10753.261399383591</v>
      </c>
      <c r="I511"/>
    </row>
    <row r="512" spans="1:9" x14ac:dyDescent="0.3">
      <c r="A512" s="7" t="s">
        <v>6</v>
      </c>
      <c r="B512" s="8" t="s">
        <v>14</v>
      </c>
      <c r="C512" s="8" t="s">
        <v>24</v>
      </c>
      <c r="D512" s="8" t="s">
        <v>4</v>
      </c>
      <c r="E512" s="8" t="s">
        <v>10</v>
      </c>
      <c r="F512" s="13">
        <v>470.95103233987174</v>
      </c>
      <c r="G512" s="12">
        <v>8344.738160696199</v>
      </c>
      <c r="I512"/>
    </row>
    <row r="513" spans="1:9" x14ac:dyDescent="0.3">
      <c r="A513" s="7" t="s">
        <v>6</v>
      </c>
      <c r="B513" s="8" t="s">
        <v>2</v>
      </c>
      <c r="C513" s="8" t="s">
        <v>20</v>
      </c>
      <c r="D513" s="8" t="s">
        <v>12</v>
      </c>
      <c r="E513" s="8" t="s">
        <v>13</v>
      </c>
      <c r="F513" s="13">
        <v>599.11574259294866</v>
      </c>
      <c r="G513" s="12">
        <v>6826.4499990117765</v>
      </c>
      <c r="I513"/>
    </row>
    <row r="514" spans="1:9" x14ac:dyDescent="0.3">
      <c r="A514" s="7" t="s">
        <v>6</v>
      </c>
      <c r="B514" s="8" t="s">
        <v>27</v>
      </c>
      <c r="C514" s="8" t="s">
        <v>42</v>
      </c>
      <c r="D514" s="8" t="s">
        <v>12</v>
      </c>
      <c r="E514" s="8" t="s">
        <v>16</v>
      </c>
      <c r="F514" s="13">
        <v>477.10309231551946</v>
      </c>
      <c r="G514" s="12">
        <v>2926.0358495147029</v>
      </c>
      <c r="I514"/>
    </row>
    <row r="515" spans="1:9" x14ac:dyDescent="0.3">
      <c r="A515" s="7" t="s">
        <v>11</v>
      </c>
      <c r="B515" s="8" t="s">
        <v>2</v>
      </c>
      <c r="C515" s="8" t="s">
        <v>26</v>
      </c>
      <c r="D515" s="8" t="s">
        <v>7</v>
      </c>
      <c r="E515" s="8" t="s">
        <v>17</v>
      </c>
      <c r="F515" s="13">
        <v>596.56449921394596</v>
      </c>
      <c r="G515" s="12">
        <v>90.452416889260348</v>
      </c>
      <c r="I515"/>
    </row>
    <row r="516" spans="1:9" x14ac:dyDescent="0.3">
      <c r="A516" s="7" t="s">
        <v>11</v>
      </c>
      <c r="B516" s="8" t="s">
        <v>14</v>
      </c>
      <c r="C516" s="8" t="s">
        <v>23</v>
      </c>
      <c r="D516" s="8" t="s">
        <v>4</v>
      </c>
      <c r="E516" s="8" t="s">
        <v>5</v>
      </c>
      <c r="F516" s="13">
        <v>39.7695593384924</v>
      </c>
      <c r="G516" s="12">
        <v>575.24161341823128</v>
      </c>
      <c r="I516"/>
    </row>
    <row r="517" spans="1:9" x14ac:dyDescent="0.3">
      <c r="A517" s="7" t="s">
        <v>11</v>
      </c>
      <c r="B517" s="8" t="s">
        <v>14</v>
      </c>
      <c r="C517" s="8" t="s">
        <v>24</v>
      </c>
      <c r="D517" s="8" t="s">
        <v>7</v>
      </c>
      <c r="E517" s="8" t="s">
        <v>8</v>
      </c>
      <c r="F517" s="13">
        <v>175.41701556219778</v>
      </c>
      <c r="G517" s="12">
        <v>7705.1415138238444</v>
      </c>
      <c r="I517"/>
    </row>
    <row r="518" spans="1:9" x14ac:dyDescent="0.3">
      <c r="A518" s="7" t="s">
        <v>11</v>
      </c>
      <c r="B518" s="8" t="s">
        <v>33</v>
      </c>
      <c r="C518" s="8" t="s">
        <v>39</v>
      </c>
      <c r="D518" s="8" t="s">
        <v>4</v>
      </c>
      <c r="E518" s="8" t="s">
        <v>10</v>
      </c>
      <c r="F518" s="13">
        <v>19.63395264428982</v>
      </c>
      <c r="G518" s="12">
        <v>3404.5752981760943</v>
      </c>
      <c r="I518"/>
    </row>
    <row r="519" spans="1:9" x14ac:dyDescent="0.3">
      <c r="A519" s="7" t="s">
        <v>11</v>
      </c>
      <c r="B519" s="8" t="s">
        <v>27</v>
      </c>
      <c r="C519" s="8" t="s">
        <v>29</v>
      </c>
      <c r="D519" s="8" t="s">
        <v>4</v>
      </c>
      <c r="E519" s="8" t="s">
        <v>5</v>
      </c>
      <c r="F519" s="13">
        <v>171.63274164940958</v>
      </c>
      <c r="G519" s="12">
        <v>5989.9539610850006</v>
      </c>
      <c r="I519"/>
    </row>
    <row r="520" spans="1:9" x14ac:dyDescent="0.3">
      <c r="A520" s="7" t="s">
        <v>11</v>
      </c>
      <c r="B520" s="8" t="s">
        <v>33</v>
      </c>
      <c r="C520" s="8" t="s">
        <v>34</v>
      </c>
      <c r="D520" s="8" t="s">
        <v>7</v>
      </c>
      <c r="E520" s="8" t="s">
        <v>8</v>
      </c>
      <c r="F520" s="13">
        <v>60.449480383249465</v>
      </c>
      <c r="G520" s="12">
        <v>11720.782204102748</v>
      </c>
      <c r="I520"/>
    </row>
    <row r="521" spans="1:9" x14ac:dyDescent="0.3">
      <c r="A521" s="7" t="s">
        <v>11</v>
      </c>
      <c r="B521" s="8" t="s">
        <v>33</v>
      </c>
      <c r="C521" s="8" t="s">
        <v>40</v>
      </c>
      <c r="D521" s="8" t="s">
        <v>4</v>
      </c>
      <c r="E521" s="8" t="s">
        <v>10</v>
      </c>
      <c r="F521" s="13">
        <v>129.71280241235945</v>
      </c>
      <c r="G521" s="12">
        <v>11131.013858914434</v>
      </c>
      <c r="I521"/>
    </row>
    <row r="522" spans="1:9" x14ac:dyDescent="0.3">
      <c r="A522" s="7" t="s">
        <v>11</v>
      </c>
      <c r="B522" s="8" t="s">
        <v>33</v>
      </c>
      <c r="C522" s="8" t="s">
        <v>41</v>
      </c>
      <c r="D522" s="8" t="s">
        <v>12</v>
      </c>
      <c r="E522" s="8" t="s">
        <v>13</v>
      </c>
      <c r="F522" s="13">
        <v>147.23312837923004</v>
      </c>
      <c r="G522" s="12">
        <v>10473.83514067185</v>
      </c>
      <c r="I522"/>
    </row>
    <row r="523" spans="1:9" x14ac:dyDescent="0.3">
      <c r="A523" s="7" t="s">
        <v>11</v>
      </c>
      <c r="B523" s="8" t="s">
        <v>27</v>
      </c>
      <c r="C523" s="8" t="s">
        <v>42</v>
      </c>
      <c r="D523" s="8" t="s">
        <v>4</v>
      </c>
      <c r="E523" s="8" t="s">
        <v>5</v>
      </c>
      <c r="F523" s="13">
        <v>75.305228930119483</v>
      </c>
      <c r="G523" s="12">
        <v>5946.327598912254</v>
      </c>
      <c r="I523"/>
    </row>
    <row r="524" spans="1:9" x14ac:dyDescent="0.3">
      <c r="A524" s="7" t="s">
        <v>11</v>
      </c>
      <c r="B524" s="8" t="s">
        <v>14</v>
      </c>
      <c r="C524" s="8" t="s">
        <v>30</v>
      </c>
      <c r="D524" s="8" t="s">
        <v>7</v>
      </c>
      <c r="E524" s="8" t="s">
        <v>8</v>
      </c>
      <c r="F524" s="13">
        <v>84.260674312099582</v>
      </c>
      <c r="G524" s="12">
        <v>1397.6576212449108</v>
      </c>
      <c r="I524"/>
    </row>
    <row r="525" spans="1:9" x14ac:dyDescent="0.3">
      <c r="A525" s="7" t="s">
        <v>11</v>
      </c>
      <c r="B525" s="8" t="s">
        <v>27</v>
      </c>
      <c r="C525" s="8" t="s">
        <v>29</v>
      </c>
      <c r="D525" s="8" t="s">
        <v>4</v>
      </c>
      <c r="E525" s="8" t="s">
        <v>10</v>
      </c>
      <c r="F525" s="13">
        <v>708.32972351854551</v>
      </c>
      <c r="G525" s="12">
        <v>9519.1660679062516</v>
      </c>
      <c r="I525"/>
    </row>
    <row r="526" spans="1:9" x14ac:dyDescent="0.3">
      <c r="A526" s="7" t="s">
        <v>11</v>
      </c>
      <c r="B526" s="8" t="s">
        <v>2</v>
      </c>
      <c r="C526" s="8" t="s">
        <v>31</v>
      </c>
      <c r="D526" s="8" t="s">
        <v>12</v>
      </c>
      <c r="E526" s="8" t="s">
        <v>13</v>
      </c>
      <c r="F526" s="13">
        <v>177.74450397555484</v>
      </c>
      <c r="G526" s="12">
        <v>8135.8095470195422</v>
      </c>
      <c r="I526"/>
    </row>
    <row r="527" spans="1:9" x14ac:dyDescent="0.3">
      <c r="A527" s="7" t="s">
        <v>11</v>
      </c>
      <c r="B527" s="8" t="s">
        <v>14</v>
      </c>
      <c r="C527" s="8" t="s">
        <v>22</v>
      </c>
      <c r="D527" s="8" t="s">
        <v>12</v>
      </c>
      <c r="E527" s="8" t="s">
        <v>16</v>
      </c>
      <c r="F527" s="13">
        <v>178.04307274536768</v>
      </c>
      <c r="G527" s="12">
        <v>342.33723517688156</v>
      </c>
      <c r="I527"/>
    </row>
    <row r="528" spans="1:9" x14ac:dyDescent="0.3">
      <c r="A528" s="7" t="s">
        <v>9</v>
      </c>
      <c r="B528" s="8" t="s">
        <v>14</v>
      </c>
      <c r="C528" s="8" t="s">
        <v>24</v>
      </c>
      <c r="D528" s="8" t="s">
        <v>4</v>
      </c>
      <c r="E528" s="8" t="s">
        <v>5</v>
      </c>
      <c r="F528" s="13">
        <v>126.74592811963521</v>
      </c>
      <c r="G528" s="12">
        <v>851.21623038635335</v>
      </c>
      <c r="I528"/>
    </row>
    <row r="529" spans="1:9" x14ac:dyDescent="0.3">
      <c r="A529" s="7" t="s">
        <v>9</v>
      </c>
      <c r="B529" s="8" t="s">
        <v>14</v>
      </c>
      <c r="C529" s="8" t="s">
        <v>23</v>
      </c>
      <c r="D529" s="8" t="s">
        <v>7</v>
      </c>
      <c r="E529" s="8" t="s">
        <v>8</v>
      </c>
      <c r="F529" s="13">
        <v>1136.8829353697947</v>
      </c>
      <c r="G529" s="12">
        <v>10467.189096368587</v>
      </c>
      <c r="I529"/>
    </row>
    <row r="530" spans="1:9" x14ac:dyDescent="0.3">
      <c r="A530" s="7" t="s">
        <v>6</v>
      </c>
      <c r="B530" s="8" t="s">
        <v>14</v>
      </c>
      <c r="C530" s="8" t="s">
        <v>25</v>
      </c>
      <c r="D530" s="8" t="s">
        <v>4</v>
      </c>
      <c r="E530" s="8" t="s">
        <v>10</v>
      </c>
      <c r="F530" s="13">
        <v>30.061587903401232</v>
      </c>
      <c r="G530" s="12">
        <v>5873.9705508057959</v>
      </c>
      <c r="I530"/>
    </row>
    <row r="531" spans="1:9" x14ac:dyDescent="0.3">
      <c r="A531" s="7" t="s">
        <v>6</v>
      </c>
      <c r="B531" s="8" t="s">
        <v>14</v>
      </c>
      <c r="C531" s="8" t="s">
        <v>30</v>
      </c>
      <c r="D531" s="8" t="s">
        <v>12</v>
      </c>
      <c r="E531" s="8" t="s">
        <v>13</v>
      </c>
      <c r="F531" s="13">
        <v>357.13447849775548</v>
      </c>
      <c r="G531" s="12">
        <v>6647.9983463818025</v>
      </c>
      <c r="I531"/>
    </row>
    <row r="532" spans="1:9" x14ac:dyDescent="0.3">
      <c r="A532" s="7" t="s">
        <v>9</v>
      </c>
      <c r="B532" s="8" t="s">
        <v>2</v>
      </c>
      <c r="C532" s="8" t="s">
        <v>26</v>
      </c>
      <c r="D532" s="8" t="s">
        <v>12</v>
      </c>
      <c r="E532" s="8" t="s">
        <v>16</v>
      </c>
      <c r="F532" s="13">
        <v>342.04668194133774</v>
      </c>
      <c r="G532" s="12">
        <v>469.11257733935236</v>
      </c>
      <c r="I532"/>
    </row>
    <row r="533" spans="1:9" x14ac:dyDescent="0.3">
      <c r="A533" s="7" t="s">
        <v>1</v>
      </c>
      <c r="B533" s="8" t="s">
        <v>2</v>
      </c>
      <c r="C533" s="8" t="s">
        <v>31</v>
      </c>
      <c r="D533" s="8" t="s">
        <v>4</v>
      </c>
      <c r="E533" s="8" t="s">
        <v>5</v>
      </c>
      <c r="F533" s="13">
        <v>336.41608386460575</v>
      </c>
      <c r="G533" s="12">
        <v>33.43295840159044</v>
      </c>
      <c r="I533"/>
    </row>
    <row r="534" spans="1:9" x14ac:dyDescent="0.3">
      <c r="A534" s="7" t="s">
        <v>9</v>
      </c>
      <c r="B534" s="8" t="s">
        <v>14</v>
      </c>
      <c r="C534" s="8" t="s">
        <v>24</v>
      </c>
      <c r="D534" s="8" t="s">
        <v>7</v>
      </c>
      <c r="E534" s="8" t="s">
        <v>8</v>
      </c>
      <c r="F534" s="13">
        <v>528.11013736954919</v>
      </c>
      <c r="G534" s="12">
        <v>6245.159485421158</v>
      </c>
      <c r="I534"/>
    </row>
    <row r="535" spans="1:9" x14ac:dyDescent="0.3">
      <c r="A535" s="7" t="s">
        <v>9</v>
      </c>
      <c r="B535" s="8" t="s">
        <v>2</v>
      </c>
      <c r="C535" s="8" t="s">
        <v>20</v>
      </c>
      <c r="D535" s="8" t="s">
        <v>4</v>
      </c>
      <c r="E535" s="8" t="s">
        <v>10</v>
      </c>
      <c r="F535" s="13">
        <v>405.77083469179343</v>
      </c>
      <c r="G535" s="12">
        <v>11008.525052399229</v>
      </c>
      <c r="I535"/>
    </row>
    <row r="536" spans="1:9" x14ac:dyDescent="0.3">
      <c r="A536" s="7" t="s">
        <v>9</v>
      </c>
      <c r="B536" s="8" t="s">
        <v>27</v>
      </c>
      <c r="C536" s="8" t="s">
        <v>42</v>
      </c>
      <c r="D536" s="8" t="s">
        <v>12</v>
      </c>
      <c r="E536" s="8" t="s">
        <v>13</v>
      </c>
      <c r="F536" s="13">
        <v>253.46437681964744</v>
      </c>
      <c r="G536" s="12">
        <v>3780.1318999609903</v>
      </c>
      <c r="I536"/>
    </row>
    <row r="537" spans="1:9" x14ac:dyDescent="0.3">
      <c r="A537" s="7" t="s">
        <v>1</v>
      </c>
      <c r="B537" s="8" t="s">
        <v>19</v>
      </c>
      <c r="C537" s="8" t="s">
        <v>19</v>
      </c>
      <c r="D537" s="8" t="s">
        <v>12</v>
      </c>
      <c r="E537" s="8" t="s">
        <v>16</v>
      </c>
      <c r="F537" s="13">
        <v>228.38138280058047</v>
      </c>
      <c r="G537" s="12">
        <v>10611.400151296402</v>
      </c>
      <c r="I537"/>
    </row>
    <row r="538" spans="1:9" x14ac:dyDescent="0.3">
      <c r="A538" s="7" t="s">
        <v>1</v>
      </c>
      <c r="B538" s="8" t="s">
        <v>14</v>
      </c>
      <c r="C538" s="8" t="s">
        <v>30</v>
      </c>
      <c r="D538" s="8" t="s">
        <v>7</v>
      </c>
      <c r="E538" s="8" t="s">
        <v>17</v>
      </c>
      <c r="F538" s="13">
        <v>303.50809562442009</v>
      </c>
      <c r="G538" s="12">
        <v>3664.0951958514052</v>
      </c>
      <c r="I538"/>
    </row>
    <row r="539" spans="1:9" x14ac:dyDescent="0.3">
      <c r="A539" s="7" t="s">
        <v>1</v>
      </c>
      <c r="B539" s="8" t="s">
        <v>14</v>
      </c>
      <c r="C539" s="8" t="s">
        <v>36</v>
      </c>
      <c r="D539" s="8" t="s">
        <v>4</v>
      </c>
      <c r="E539" s="8" t="s">
        <v>5</v>
      </c>
      <c r="F539" s="13">
        <v>583.05033486685716</v>
      </c>
      <c r="G539" s="12">
        <v>8409.127337973041</v>
      </c>
      <c r="I539"/>
    </row>
    <row r="540" spans="1:9" x14ac:dyDescent="0.3">
      <c r="A540" s="7" t="s">
        <v>11</v>
      </c>
      <c r="B540" s="8" t="s">
        <v>14</v>
      </c>
      <c r="C540" s="8" t="s">
        <v>24</v>
      </c>
      <c r="D540" s="8" t="s">
        <v>7</v>
      </c>
      <c r="E540" s="8" t="s">
        <v>8</v>
      </c>
      <c r="F540" s="13">
        <v>147.7326996919146</v>
      </c>
      <c r="G540" s="12">
        <v>3618.5127623984299</v>
      </c>
      <c r="I540"/>
    </row>
    <row r="541" spans="1:9" x14ac:dyDescent="0.3">
      <c r="A541" s="7" t="s">
        <v>11</v>
      </c>
      <c r="B541" s="8" t="s">
        <v>14</v>
      </c>
      <c r="C541" s="8" t="s">
        <v>23</v>
      </c>
      <c r="D541" s="8" t="s">
        <v>4</v>
      </c>
      <c r="E541" s="8" t="s">
        <v>10</v>
      </c>
      <c r="F541" s="13">
        <v>547.36182621782064</v>
      </c>
      <c r="G541" s="12">
        <v>8318.2143589832231</v>
      </c>
      <c r="I541"/>
    </row>
    <row r="542" spans="1:9" x14ac:dyDescent="0.3">
      <c r="A542" s="7" t="s">
        <v>9</v>
      </c>
      <c r="B542" s="8" t="s">
        <v>14</v>
      </c>
      <c r="C542" s="8" t="s">
        <v>25</v>
      </c>
      <c r="D542" s="8" t="s">
        <v>4</v>
      </c>
      <c r="E542" s="8" t="s">
        <v>5</v>
      </c>
      <c r="F542" s="13">
        <v>247.57825180895452</v>
      </c>
      <c r="G542" s="12">
        <v>737.31234162769397</v>
      </c>
      <c r="I542"/>
    </row>
    <row r="543" spans="1:9" x14ac:dyDescent="0.3">
      <c r="A543" s="7" t="s">
        <v>9</v>
      </c>
      <c r="B543" s="8" t="s">
        <v>14</v>
      </c>
      <c r="C543" s="8" t="s">
        <v>30</v>
      </c>
      <c r="D543" s="8" t="s">
        <v>4</v>
      </c>
      <c r="E543" s="8" t="s">
        <v>5</v>
      </c>
      <c r="F543" s="13">
        <v>189.2439901115722</v>
      </c>
      <c r="G543" s="12">
        <v>8228.9278239783016</v>
      </c>
      <c r="I543"/>
    </row>
    <row r="544" spans="1:9" x14ac:dyDescent="0.3">
      <c r="A544" s="7" t="s">
        <v>11</v>
      </c>
      <c r="B544" s="8" t="s">
        <v>2</v>
      </c>
      <c r="C544" s="8" t="s">
        <v>26</v>
      </c>
      <c r="D544" s="8" t="s">
        <v>7</v>
      </c>
      <c r="E544" s="8" t="s">
        <v>8</v>
      </c>
      <c r="F544" s="13">
        <v>106.33555967215216</v>
      </c>
      <c r="G544" s="12">
        <v>6058.3006421213668</v>
      </c>
      <c r="I544"/>
    </row>
    <row r="545" spans="1:9" x14ac:dyDescent="0.3">
      <c r="A545" s="7" t="s">
        <v>6</v>
      </c>
      <c r="B545" s="8" t="s">
        <v>2</v>
      </c>
      <c r="C545" s="8" t="s">
        <v>31</v>
      </c>
      <c r="D545" s="8" t="s">
        <v>4</v>
      </c>
      <c r="E545" s="8" t="s">
        <v>10</v>
      </c>
      <c r="F545" s="13">
        <v>323.03305832647311</v>
      </c>
      <c r="G545" s="12">
        <v>284.50987418266777</v>
      </c>
      <c r="I545"/>
    </row>
    <row r="546" spans="1:9" x14ac:dyDescent="0.3">
      <c r="A546" s="7" t="s">
        <v>11</v>
      </c>
      <c r="B546" s="8" t="s">
        <v>14</v>
      </c>
      <c r="C546" s="8" t="s">
        <v>24</v>
      </c>
      <c r="D546" s="8" t="s">
        <v>12</v>
      </c>
      <c r="E546" s="8" t="s">
        <v>13</v>
      </c>
      <c r="F546" s="13">
        <v>29.034111699183995</v>
      </c>
      <c r="G546" s="12">
        <v>3045.8847066913459</v>
      </c>
      <c r="I546"/>
    </row>
    <row r="547" spans="1:9" x14ac:dyDescent="0.3">
      <c r="A547" s="7" t="s">
        <v>11</v>
      </c>
      <c r="B547" s="8" t="s">
        <v>2</v>
      </c>
      <c r="C547" s="8" t="s">
        <v>20</v>
      </c>
      <c r="D547" s="8" t="s">
        <v>12</v>
      </c>
      <c r="E547" s="8" t="s">
        <v>16</v>
      </c>
      <c r="F547" s="13">
        <v>508.39274823265441</v>
      </c>
      <c r="G547" s="12">
        <v>6697.7537093356286</v>
      </c>
      <c r="I547"/>
    </row>
    <row r="548" spans="1:9" x14ac:dyDescent="0.3">
      <c r="A548" s="7" t="s">
        <v>11</v>
      </c>
      <c r="B548" s="8" t="s">
        <v>27</v>
      </c>
      <c r="C548" s="8" t="s">
        <v>42</v>
      </c>
      <c r="D548" s="8" t="s">
        <v>7</v>
      </c>
      <c r="E548" s="8" t="s">
        <v>17</v>
      </c>
      <c r="F548" s="13">
        <v>478.16702282489132</v>
      </c>
      <c r="G548" s="12">
        <v>4667.3272896402268</v>
      </c>
      <c r="I548"/>
    </row>
    <row r="549" spans="1:9" x14ac:dyDescent="0.3">
      <c r="A549" s="7" t="s">
        <v>6</v>
      </c>
      <c r="B549" s="8" t="s">
        <v>19</v>
      </c>
      <c r="C549" s="8" t="s">
        <v>19</v>
      </c>
      <c r="D549" s="8" t="s">
        <v>4</v>
      </c>
      <c r="E549" s="8" t="s">
        <v>5</v>
      </c>
      <c r="F549" s="13">
        <v>526.48758736322634</v>
      </c>
      <c r="G549" s="12">
        <v>7539.6970780337579</v>
      </c>
      <c r="I549"/>
    </row>
    <row r="550" spans="1:9" x14ac:dyDescent="0.3">
      <c r="A550" s="7" t="s">
        <v>6</v>
      </c>
      <c r="B550" s="8" t="s">
        <v>14</v>
      </c>
      <c r="C550" s="8" t="s">
        <v>30</v>
      </c>
      <c r="D550" s="8" t="s">
        <v>7</v>
      </c>
      <c r="E550" s="8" t="s">
        <v>8</v>
      </c>
      <c r="F550" s="13">
        <v>352.60917306513875</v>
      </c>
      <c r="G550" s="12">
        <v>6756.1239084010449</v>
      </c>
      <c r="I550"/>
    </row>
    <row r="551" spans="1:9" x14ac:dyDescent="0.3">
      <c r="A551" s="7" t="s">
        <v>6</v>
      </c>
      <c r="B551" s="8" t="s">
        <v>14</v>
      </c>
      <c r="C551" s="8" t="s">
        <v>36</v>
      </c>
      <c r="D551" s="8" t="s">
        <v>4</v>
      </c>
      <c r="E551" s="8" t="s">
        <v>10</v>
      </c>
      <c r="F551" s="13">
        <v>545.7150088986964</v>
      </c>
      <c r="G551" s="12">
        <v>3681.1289096807304</v>
      </c>
      <c r="I551"/>
    </row>
    <row r="552" spans="1:9" x14ac:dyDescent="0.3">
      <c r="A552" s="7" t="s">
        <v>1</v>
      </c>
      <c r="B552" s="8" t="s">
        <v>14</v>
      </c>
      <c r="C552" s="8" t="s">
        <v>32</v>
      </c>
      <c r="D552" s="8" t="s">
        <v>4</v>
      </c>
      <c r="E552" s="8" t="s">
        <v>5</v>
      </c>
      <c r="F552" s="13">
        <v>284.16334836529131</v>
      </c>
      <c r="G552" s="12">
        <v>6872.178995941249</v>
      </c>
      <c r="I552"/>
    </row>
    <row r="553" spans="1:9" x14ac:dyDescent="0.3">
      <c r="A553" s="7" t="s">
        <v>11</v>
      </c>
      <c r="B553" s="8" t="s">
        <v>14</v>
      </c>
      <c r="C553" s="8" t="s">
        <v>25</v>
      </c>
      <c r="D553" s="8" t="s">
        <v>7</v>
      </c>
      <c r="E553" s="8" t="s">
        <v>8</v>
      </c>
      <c r="F553" s="13">
        <v>193.58328499110939</v>
      </c>
      <c r="G553" s="12">
        <v>897.95705214104964</v>
      </c>
      <c r="I553"/>
    </row>
    <row r="554" spans="1:9" x14ac:dyDescent="0.3">
      <c r="A554" s="7" t="s">
        <v>11</v>
      </c>
      <c r="B554" s="8" t="s">
        <v>14</v>
      </c>
      <c r="C554" s="8" t="s">
        <v>30</v>
      </c>
      <c r="D554" s="8" t="s">
        <v>4</v>
      </c>
      <c r="E554" s="8" t="s">
        <v>10</v>
      </c>
      <c r="F554" s="13">
        <v>176.28557826101314</v>
      </c>
      <c r="G554" s="12">
        <v>3593.9296951145152</v>
      </c>
      <c r="I554"/>
    </row>
    <row r="555" spans="1:9" x14ac:dyDescent="0.3">
      <c r="A555" s="7" t="s">
        <v>1</v>
      </c>
      <c r="B555" s="8" t="s">
        <v>14</v>
      </c>
      <c r="C555" s="8" t="s">
        <v>23</v>
      </c>
      <c r="D555" s="8" t="s">
        <v>12</v>
      </c>
      <c r="E555" s="8" t="s">
        <v>13</v>
      </c>
      <c r="F555" s="13">
        <v>33.035501676567947</v>
      </c>
      <c r="G555" s="12">
        <v>5395.8742635935778</v>
      </c>
      <c r="I555"/>
    </row>
    <row r="556" spans="1:9" x14ac:dyDescent="0.3">
      <c r="A556" s="7" t="s">
        <v>9</v>
      </c>
      <c r="B556" s="8" t="s">
        <v>2</v>
      </c>
      <c r="C556" s="8" t="s">
        <v>31</v>
      </c>
      <c r="D556" s="8" t="s">
        <v>4</v>
      </c>
      <c r="E556" s="8" t="s">
        <v>5</v>
      </c>
      <c r="F556" s="13">
        <v>358.13224445837477</v>
      </c>
      <c r="G556" s="12">
        <v>1154.781165210341</v>
      </c>
      <c r="I556"/>
    </row>
    <row r="557" spans="1:9" x14ac:dyDescent="0.3">
      <c r="A557" s="7" t="s">
        <v>9</v>
      </c>
      <c r="B557" s="8" t="s">
        <v>19</v>
      </c>
      <c r="C557" s="8" t="s">
        <v>19</v>
      </c>
      <c r="D557" s="8" t="s">
        <v>7</v>
      </c>
      <c r="E557" s="8" t="s">
        <v>8</v>
      </c>
      <c r="F557" s="13">
        <v>627.69316506310133</v>
      </c>
      <c r="G557" s="12">
        <v>2090.6829876329539</v>
      </c>
      <c r="I557"/>
    </row>
    <row r="558" spans="1:9" x14ac:dyDescent="0.3">
      <c r="A558" s="7" t="s">
        <v>9</v>
      </c>
      <c r="B558" s="8" t="s">
        <v>14</v>
      </c>
      <c r="C558" s="8" t="s">
        <v>30</v>
      </c>
      <c r="D558" s="8" t="s">
        <v>4</v>
      </c>
      <c r="E558" s="8" t="s">
        <v>10</v>
      </c>
      <c r="F558" s="13">
        <v>552.36757444290561</v>
      </c>
      <c r="G558" s="12">
        <v>6671.8764437691107</v>
      </c>
      <c r="I558"/>
    </row>
    <row r="559" spans="1:9" x14ac:dyDescent="0.3">
      <c r="A559" s="7" t="s">
        <v>9</v>
      </c>
      <c r="B559" s="8" t="s">
        <v>14</v>
      </c>
      <c r="C559" s="8" t="s">
        <v>36</v>
      </c>
      <c r="D559" s="8" t="s">
        <v>12</v>
      </c>
      <c r="E559" s="8" t="s">
        <v>13</v>
      </c>
      <c r="F559" s="13">
        <v>685.06273787934333</v>
      </c>
      <c r="G559" s="12">
        <v>3051.5842588649775</v>
      </c>
      <c r="I559"/>
    </row>
    <row r="560" spans="1:9" x14ac:dyDescent="0.3">
      <c r="A560" s="7" t="s">
        <v>1</v>
      </c>
      <c r="B560" s="8" t="s">
        <v>27</v>
      </c>
      <c r="C560" s="8" t="s">
        <v>28</v>
      </c>
      <c r="D560" s="8" t="s">
        <v>12</v>
      </c>
      <c r="E560" s="8" t="s">
        <v>16</v>
      </c>
      <c r="F560" s="13">
        <v>65.689539526283625</v>
      </c>
      <c r="G560" s="12">
        <v>8378.5154815526766</v>
      </c>
      <c r="I560"/>
    </row>
    <row r="561" spans="1:9" x14ac:dyDescent="0.3">
      <c r="A561" s="7" t="s">
        <v>1</v>
      </c>
      <c r="B561" s="8" t="s">
        <v>2</v>
      </c>
      <c r="C561" s="8" t="s">
        <v>3</v>
      </c>
      <c r="D561" s="8" t="s">
        <v>4</v>
      </c>
      <c r="E561" s="8" t="s">
        <v>5</v>
      </c>
      <c r="F561" s="13">
        <v>122.61462036840385</v>
      </c>
      <c r="G561" s="12">
        <v>5590.8133863384137</v>
      </c>
      <c r="I561"/>
    </row>
    <row r="562" spans="1:9" x14ac:dyDescent="0.3">
      <c r="A562" s="7" t="s">
        <v>1</v>
      </c>
      <c r="B562" s="8" t="s">
        <v>14</v>
      </c>
      <c r="C562" s="8" t="s">
        <v>30</v>
      </c>
      <c r="D562" s="8" t="s">
        <v>7</v>
      </c>
      <c r="E562" s="8" t="s">
        <v>8</v>
      </c>
      <c r="F562" s="13">
        <v>201.43277203278558</v>
      </c>
      <c r="G562" s="12">
        <v>1833.9889581129682</v>
      </c>
      <c r="I562"/>
    </row>
    <row r="563" spans="1:9" x14ac:dyDescent="0.3">
      <c r="A563" s="7" t="s">
        <v>6</v>
      </c>
      <c r="B563" s="8" t="s">
        <v>14</v>
      </c>
      <c r="C563" s="8" t="s">
        <v>32</v>
      </c>
      <c r="D563" s="8" t="s">
        <v>4</v>
      </c>
      <c r="E563" s="8" t="s">
        <v>10</v>
      </c>
      <c r="F563" s="13">
        <v>292.42373718825547</v>
      </c>
      <c r="G563" s="12">
        <v>3184.3062932246357</v>
      </c>
      <c r="I563"/>
    </row>
    <row r="564" spans="1:9" x14ac:dyDescent="0.3">
      <c r="A564" s="7" t="s">
        <v>6</v>
      </c>
      <c r="B564" s="8" t="s">
        <v>14</v>
      </c>
      <c r="C564" s="8" t="s">
        <v>23</v>
      </c>
      <c r="D564" s="8" t="s">
        <v>12</v>
      </c>
      <c r="E564" s="8" t="s">
        <v>13</v>
      </c>
      <c r="F564" s="13">
        <v>109.11822581283559</v>
      </c>
      <c r="G564" s="12">
        <v>711.87817623643787</v>
      </c>
      <c r="I564"/>
    </row>
    <row r="565" spans="1:9" x14ac:dyDescent="0.3">
      <c r="A565" s="7" t="s">
        <v>11</v>
      </c>
      <c r="B565" s="8" t="s">
        <v>2</v>
      </c>
      <c r="C565" s="8" t="s">
        <v>31</v>
      </c>
      <c r="D565" s="8" t="s">
        <v>12</v>
      </c>
      <c r="E565" s="8" t="s">
        <v>16</v>
      </c>
      <c r="F565" s="13">
        <v>289.63928710436448</v>
      </c>
      <c r="G565" s="12">
        <v>4361.292145698877</v>
      </c>
      <c r="I565"/>
    </row>
    <row r="566" spans="1:9" x14ac:dyDescent="0.3">
      <c r="A566" s="7" t="s">
        <v>11</v>
      </c>
      <c r="B566" s="8" t="s">
        <v>19</v>
      </c>
      <c r="C566" s="8" t="s">
        <v>19</v>
      </c>
      <c r="D566" s="8" t="s">
        <v>4</v>
      </c>
      <c r="E566" s="8" t="s">
        <v>5</v>
      </c>
      <c r="F566" s="13">
        <v>351.78183303432888</v>
      </c>
      <c r="G566" s="12">
        <v>6019.8716231969956</v>
      </c>
      <c r="I566"/>
    </row>
    <row r="567" spans="1:9" x14ac:dyDescent="0.3">
      <c r="A567" s="7" t="s">
        <v>11</v>
      </c>
      <c r="B567" s="8" t="s">
        <v>14</v>
      </c>
      <c r="C567" s="8" t="s">
        <v>30</v>
      </c>
      <c r="D567" s="8" t="s">
        <v>7</v>
      </c>
      <c r="E567" s="8" t="s">
        <v>8</v>
      </c>
      <c r="F567" s="13">
        <v>261.41105426650029</v>
      </c>
      <c r="G567" s="12">
        <v>8159.6697891725489</v>
      </c>
      <c r="I567"/>
    </row>
    <row r="568" spans="1:9" x14ac:dyDescent="0.3">
      <c r="A568" s="7" t="s">
        <v>11</v>
      </c>
      <c r="B568" s="8" t="s">
        <v>14</v>
      </c>
      <c r="C568" s="8" t="s">
        <v>36</v>
      </c>
      <c r="D568" s="8" t="s">
        <v>4</v>
      </c>
      <c r="E568" s="8" t="s">
        <v>10</v>
      </c>
      <c r="F568" s="13">
        <v>436.43274734424722</v>
      </c>
      <c r="G568" s="12">
        <v>5605.0398574613428</v>
      </c>
      <c r="I568"/>
    </row>
    <row r="569" spans="1:9" x14ac:dyDescent="0.3">
      <c r="A569" s="7" t="s">
        <v>1</v>
      </c>
      <c r="B569" s="8" t="s">
        <v>14</v>
      </c>
      <c r="C569" s="8" t="s">
        <v>25</v>
      </c>
      <c r="D569" s="8" t="s">
        <v>12</v>
      </c>
      <c r="E569" s="8" t="s">
        <v>13</v>
      </c>
      <c r="F569" s="13">
        <v>299.41675540749202</v>
      </c>
      <c r="G569" s="12">
        <v>2365.6600583461113</v>
      </c>
      <c r="I569"/>
    </row>
    <row r="570" spans="1:9" x14ac:dyDescent="0.3">
      <c r="A570" s="7" t="s">
        <v>1</v>
      </c>
      <c r="B570" s="8" t="s">
        <v>14</v>
      </c>
      <c r="C570" s="8" t="s">
        <v>37</v>
      </c>
      <c r="D570" s="8" t="s">
        <v>12</v>
      </c>
      <c r="E570" s="8" t="s">
        <v>16</v>
      </c>
      <c r="F570" s="13">
        <v>626.1830075753096</v>
      </c>
      <c r="G570" s="12">
        <v>5838.9739129339432</v>
      </c>
      <c r="I570"/>
    </row>
    <row r="571" spans="1:9" x14ac:dyDescent="0.3">
      <c r="A571" s="7" t="s">
        <v>1</v>
      </c>
      <c r="B571" s="8" t="s">
        <v>2</v>
      </c>
      <c r="C571" s="8" t="s">
        <v>31</v>
      </c>
      <c r="D571" s="8" t="s">
        <v>7</v>
      </c>
      <c r="E571" s="8" t="s">
        <v>17</v>
      </c>
      <c r="F571" s="13">
        <v>613.72968777841379</v>
      </c>
      <c r="G571" s="12">
        <v>1157.4503309799184</v>
      </c>
      <c r="I571"/>
    </row>
    <row r="572" spans="1:9" x14ac:dyDescent="0.3">
      <c r="A572" s="7" t="s">
        <v>1</v>
      </c>
      <c r="B572" s="8" t="s">
        <v>14</v>
      </c>
      <c r="C572" s="8" t="s">
        <v>30</v>
      </c>
      <c r="D572" s="8" t="s">
        <v>4</v>
      </c>
      <c r="E572" s="8" t="s">
        <v>5</v>
      </c>
      <c r="F572" s="13">
        <v>575.66568915335665</v>
      </c>
      <c r="G572" s="12">
        <v>7829.6073878624156</v>
      </c>
      <c r="I572"/>
    </row>
    <row r="573" spans="1:9" x14ac:dyDescent="0.3">
      <c r="A573" s="7" t="s">
        <v>1</v>
      </c>
      <c r="B573" s="8" t="s">
        <v>27</v>
      </c>
      <c r="C573" s="8" t="s">
        <v>29</v>
      </c>
      <c r="D573" s="8" t="s">
        <v>7</v>
      </c>
      <c r="E573" s="8" t="s">
        <v>8</v>
      </c>
      <c r="F573" s="13">
        <v>534.32303871213662</v>
      </c>
      <c r="G573" s="12">
        <v>7372.7630392604624</v>
      </c>
      <c r="I573"/>
    </row>
    <row r="574" spans="1:9" x14ac:dyDescent="0.3">
      <c r="A574" s="7" t="s">
        <v>6</v>
      </c>
      <c r="B574" s="8" t="s">
        <v>27</v>
      </c>
      <c r="C574" s="8" t="s">
        <v>28</v>
      </c>
      <c r="D574" s="8" t="s">
        <v>4</v>
      </c>
      <c r="E574" s="8" t="s">
        <v>10</v>
      </c>
      <c r="F574" s="13">
        <v>311.75330707774265</v>
      </c>
      <c r="G574" s="12">
        <v>5550.6972059102663</v>
      </c>
      <c r="I574"/>
    </row>
    <row r="575" spans="1:9" x14ac:dyDescent="0.3">
      <c r="A575" s="7" t="s">
        <v>6</v>
      </c>
      <c r="B575" s="8" t="s">
        <v>2</v>
      </c>
      <c r="C575" s="8" t="s">
        <v>3</v>
      </c>
      <c r="D575" s="8" t="s">
        <v>4</v>
      </c>
      <c r="E575" s="8" t="s">
        <v>5</v>
      </c>
      <c r="F575" s="13">
        <v>20.177209458779544</v>
      </c>
      <c r="G575" s="12">
        <v>3088.197955993026</v>
      </c>
      <c r="I575"/>
    </row>
    <row r="576" spans="1:9" x14ac:dyDescent="0.3">
      <c r="A576" s="7" t="s">
        <v>6</v>
      </c>
      <c r="B576" s="8" t="s">
        <v>14</v>
      </c>
      <c r="C576" s="8" t="s">
        <v>30</v>
      </c>
      <c r="D576" s="8" t="s">
        <v>7</v>
      </c>
      <c r="E576" s="8" t="s">
        <v>8</v>
      </c>
      <c r="F576" s="13">
        <v>83.449096524782362</v>
      </c>
      <c r="G576" s="12">
        <v>239.05650359900392</v>
      </c>
      <c r="I576"/>
    </row>
    <row r="577" spans="1:9" x14ac:dyDescent="0.3">
      <c r="A577" s="7" t="s">
        <v>9</v>
      </c>
      <c r="B577" s="8" t="s">
        <v>14</v>
      </c>
      <c r="C577" s="8" t="s">
        <v>32</v>
      </c>
      <c r="D577" s="8" t="s">
        <v>4</v>
      </c>
      <c r="E577" s="8" t="s">
        <v>10</v>
      </c>
      <c r="F577" s="13">
        <v>101.94461951814446</v>
      </c>
      <c r="G577" s="12">
        <v>3352.8157119625757</v>
      </c>
      <c r="I577"/>
    </row>
    <row r="578" spans="1:9" x14ac:dyDescent="0.3">
      <c r="A578" s="7" t="s">
        <v>1</v>
      </c>
      <c r="B578" s="8" t="s">
        <v>14</v>
      </c>
      <c r="C578" s="8" t="s">
        <v>37</v>
      </c>
      <c r="D578" s="8" t="s">
        <v>12</v>
      </c>
      <c r="E578" s="8" t="s">
        <v>13</v>
      </c>
      <c r="F578" s="13">
        <v>79.511567882400414</v>
      </c>
      <c r="G578" s="12">
        <v>7837.8817700649961</v>
      </c>
      <c r="I578"/>
    </row>
    <row r="579" spans="1:9" x14ac:dyDescent="0.3">
      <c r="A579" s="7" t="s">
        <v>1</v>
      </c>
      <c r="B579" s="8" t="s">
        <v>33</v>
      </c>
      <c r="C579" s="8" t="s">
        <v>35</v>
      </c>
      <c r="D579" s="8" t="s">
        <v>4</v>
      </c>
      <c r="E579" s="8" t="s">
        <v>5</v>
      </c>
      <c r="F579" s="13">
        <v>26.110460952713765</v>
      </c>
      <c r="G579" s="12">
        <v>6785.9322237927699</v>
      </c>
      <c r="I579"/>
    </row>
    <row r="580" spans="1:9" x14ac:dyDescent="0.3">
      <c r="A580" s="7" t="s">
        <v>1</v>
      </c>
      <c r="B580" s="8" t="s">
        <v>2</v>
      </c>
      <c r="C580" s="8" t="s">
        <v>20</v>
      </c>
      <c r="D580" s="8" t="s">
        <v>7</v>
      </c>
      <c r="E580" s="8" t="s">
        <v>8</v>
      </c>
      <c r="F580" s="13">
        <v>290.3622534009628</v>
      </c>
      <c r="G580" s="12">
        <v>2336.9186767158681</v>
      </c>
      <c r="I580"/>
    </row>
    <row r="581" spans="1:9" x14ac:dyDescent="0.3">
      <c r="A581" s="7" t="s">
        <v>1</v>
      </c>
      <c r="B581" s="8" t="s">
        <v>19</v>
      </c>
      <c r="C581" s="8" t="s">
        <v>19</v>
      </c>
      <c r="D581" s="8" t="s">
        <v>4</v>
      </c>
      <c r="E581" s="8" t="s">
        <v>10</v>
      </c>
      <c r="F581" s="13">
        <v>310.04253869323293</v>
      </c>
      <c r="G581" s="12">
        <v>5779.6619961445685</v>
      </c>
      <c r="I581"/>
    </row>
    <row r="582" spans="1:9" x14ac:dyDescent="0.3">
      <c r="A582" s="7" t="s">
        <v>1</v>
      </c>
      <c r="B582" s="8" t="s">
        <v>14</v>
      </c>
      <c r="C582" s="8" t="s">
        <v>30</v>
      </c>
      <c r="D582" s="8" t="s">
        <v>12</v>
      </c>
      <c r="E582" s="8" t="s">
        <v>13</v>
      </c>
      <c r="F582" s="13">
        <v>55.56738533450698</v>
      </c>
      <c r="G582" s="12">
        <v>763.10215424018679</v>
      </c>
      <c r="I582"/>
    </row>
    <row r="583" spans="1:9" x14ac:dyDescent="0.3">
      <c r="A583" s="7" t="s">
        <v>9</v>
      </c>
      <c r="B583" s="8" t="s">
        <v>14</v>
      </c>
      <c r="C583" s="8" t="s">
        <v>23</v>
      </c>
      <c r="D583" s="8" t="s">
        <v>12</v>
      </c>
      <c r="E583" s="8" t="s">
        <v>16</v>
      </c>
      <c r="F583" s="13">
        <v>63.041635057925305</v>
      </c>
      <c r="G583" s="12">
        <v>4581.9206947094244</v>
      </c>
      <c r="I583"/>
    </row>
    <row r="584" spans="1:9" x14ac:dyDescent="0.3">
      <c r="A584" s="7" t="s">
        <v>6</v>
      </c>
      <c r="B584" s="8" t="s">
        <v>14</v>
      </c>
      <c r="C584" s="8" t="s">
        <v>25</v>
      </c>
      <c r="D584" s="8" t="s">
        <v>7</v>
      </c>
      <c r="E584" s="8" t="s">
        <v>17</v>
      </c>
      <c r="F584" s="13">
        <v>64.610397347041726</v>
      </c>
      <c r="G584" s="12">
        <v>1493.3578108788024</v>
      </c>
      <c r="I584"/>
    </row>
    <row r="585" spans="1:9" x14ac:dyDescent="0.3">
      <c r="A585" s="7" t="s">
        <v>6</v>
      </c>
      <c r="B585" s="8" t="s">
        <v>14</v>
      </c>
      <c r="C585" s="8" t="s">
        <v>37</v>
      </c>
      <c r="D585" s="8" t="s">
        <v>4</v>
      </c>
      <c r="E585" s="8" t="s">
        <v>5</v>
      </c>
      <c r="F585" s="13">
        <v>25.17213901373907</v>
      </c>
      <c r="G585" s="12">
        <v>7058.2035103536327</v>
      </c>
      <c r="I585"/>
    </row>
    <row r="586" spans="1:9" x14ac:dyDescent="0.3">
      <c r="A586" s="7" t="s">
        <v>6</v>
      </c>
      <c r="B586" s="8" t="s">
        <v>2</v>
      </c>
      <c r="C586" s="8" t="s">
        <v>31</v>
      </c>
      <c r="D586" s="8" t="s">
        <v>7</v>
      </c>
      <c r="E586" s="8" t="s">
        <v>8</v>
      </c>
      <c r="F586" s="13">
        <v>383.35364845879667</v>
      </c>
      <c r="G586" s="12">
        <v>2321.1357177623613</v>
      </c>
      <c r="I586"/>
    </row>
    <row r="587" spans="1:9" x14ac:dyDescent="0.3">
      <c r="A587" s="7" t="s">
        <v>6</v>
      </c>
      <c r="B587" s="8" t="s">
        <v>14</v>
      </c>
      <c r="C587" s="8" t="s">
        <v>30</v>
      </c>
      <c r="D587" s="8" t="s">
        <v>4</v>
      </c>
      <c r="E587" s="8" t="s">
        <v>10</v>
      </c>
      <c r="F587" s="13">
        <v>511.62238476908897</v>
      </c>
      <c r="G587" s="12">
        <v>7611.2888436386347</v>
      </c>
      <c r="I587"/>
    </row>
    <row r="588" spans="1:9" x14ac:dyDescent="0.3">
      <c r="A588" s="7" t="s">
        <v>6</v>
      </c>
      <c r="B588" s="8" t="s">
        <v>27</v>
      </c>
      <c r="C588" s="8" t="s">
        <v>29</v>
      </c>
      <c r="D588" s="8" t="s">
        <v>4</v>
      </c>
      <c r="E588" s="8" t="s">
        <v>5</v>
      </c>
      <c r="F588" s="13">
        <v>112.22543665536193</v>
      </c>
      <c r="G588" s="12">
        <v>3764.431605699192</v>
      </c>
      <c r="I588"/>
    </row>
    <row r="589" spans="1:9" x14ac:dyDescent="0.3">
      <c r="A589" s="7" t="s">
        <v>9</v>
      </c>
      <c r="B589" s="8" t="s">
        <v>27</v>
      </c>
      <c r="C589" s="8" t="s">
        <v>28</v>
      </c>
      <c r="D589" s="8" t="s">
        <v>7</v>
      </c>
      <c r="E589" s="8" t="s">
        <v>8</v>
      </c>
      <c r="F589" s="13">
        <v>194.22620642378661</v>
      </c>
      <c r="G589" s="12">
        <v>5902.3503627835562</v>
      </c>
      <c r="I589"/>
    </row>
    <row r="590" spans="1:9" x14ac:dyDescent="0.3">
      <c r="A590" s="7" t="s">
        <v>9</v>
      </c>
      <c r="B590" s="8" t="s">
        <v>2</v>
      </c>
      <c r="C590" s="8" t="s">
        <v>3</v>
      </c>
      <c r="D590" s="8" t="s">
        <v>4</v>
      </c>
      <c r="E590" s="8" t="s">
        <v>10</v>
      </c>
      <c r="F590" s="13">
        <v>25.544077128142817</v>
      </c>
      <c r="G590" s="12">
        <v>2625.3023133198049</v>
      </c>
      <c r="I590"/>
    </row>
    <row r="591" spans="1:9" x14ac:dyDescent="0.3">
      <c r="A591" s="7" t="s">
        <v>9</v>
      </c>
      <c r="B591" s="8" t="s">
        <v>14</v>
      </c>
      <c r="C591" s="8" t="s">
        <v>30</v>
      </c>
      <c r="D591" s="8" t="s">
        <v>12</v>
      </c>
      <c r="E591" s="8" t="s">
        <v>13</v>
      </c>
      <c r="F591" s="13">
        <v>212.42067068596953</v>
      </c>
      <c r="G591" s="12">
        <v>2998.9450725316701</v>
      </c>
      <c r="I591"/>
    </row>
    <row r="592" spans="1:9" x14ac:dyDescent="0.3">
      <c r="A592" s="7" t="s">
        <v>11</v>
      </c>
      <c r="B592" s="8" t="s">
        <v>14</v>
      </c>
      <c r="C592" s="8" t="s">
        <v>32</v>
      </c>
      <c r="D592" s="8" t="s">
        <v>4</v>
      </c>
      <c r="E592" s="8" t="s">
        <v>5</v>
      </c>
      <c r="F592" s="13">
        <v>241.06613008943896</v>
      </c>
      <c r="G592" s="12">
        <v>157.29516035133656</v>
      </c>
      <c r="I592"/>
    </row>
    <row r="593" spans="1:9" x14ac:dyDescent="0.3">
      <c r="A593" s="7" t="s">
        <v>6</v>
      </c>
      <c r="B593" s="8" t="s">
        <v>14</v>
      </c>
      <c r="C593" s="8" t="s">
        <v>37</v>
      </c>
      <c r="D593" s="8" t="s">
        <v>7</v>
      </c>
      <c r="E593" s="8" t="s">
        <v>8</v>
      </c>
      <c r="F593" s="13">
        <v>13.325243580402457</v>
      </c>
      <c r="G593" s="12">
        <v>4010.1537798700156</v>
      </c>
      <c r="I593"/>
    </row>
    <row r="594" spans="1:9" x14ac:dyDescent="0.3">
      <c r="A594" s="7" t="s">
        <v>6</v>
      </c>
      <c r="B594" s="8" t="s">
        <v>33</v>
      </c>
      <c r="C594" s="8" t="s">
        <v>35</v>
      </c>
      <c r="D594" s="8" t="s">
        <v>4</v>
      </c>
      <c r="E594" s="8" t="s">
        <v>10</v>
      </c>
      <c r="F594" s="13">
        <v>84.449326540106995</v>
      </c>
      <c r="G594" s="12">
        <v>6195.5423586434335</v>
      </c>
      <c r="I594"/>
    </row>
    <row r="595" spans="1:9" x14ac:dyDescent="0.3">
      <c r="A595" s="7" t="s">
        <v>6</v>
      </c>
      <c r="B595" s="8" t="s">
        <v>2</v>
      </c>
      <c r="C595" s="8" t="s">
        <v>20</v>
      </c>
      <c r="D595" s="8" t="s">
        <v>12</v>
      </c>
      <c r="E595" s="8" t="s">
        <v>13</v>
      </c>
      <c r="F595" s="13">
        <v>234.80758542355034</v>
      </c>
      <c r="G595" s="12">
        <v>614.7885026215954</v>
      </c>
      <c r="I595"/>
    </row>
    <row r="596" spans="1:9" x14ac:dyDescent="0.3">
      <c r="A596" s="7" t="s">
        <v>6</v>
      </c>
      <c r="B596" s="8" t="s">
        <v>19</v>
      </c>
      <c r="C596" s="8" t="s">
        <v>19</v>
      </c>
      <c r="D596" s="8" t="s">
        <v>12</v>
      </c>
      <c r="E596" s="8" t="s">
        <v>16</v>
      </c>
      <c r="F596" s="13">
        <v>155.7303504236188</v>
      </c>
      <c r="G596" s="12">
        <v>5555.5543728232442</v>
      </c>
      <c r="I596"/>
    </row>
    <row r="597" spans="1:9" x14ac:dyDescent="0.3">
      <c r="A597" s="7" t="s">
        <v>6</v>
      </c>
      <c r="B597" s="8" t="s">
        <v>14</v>
      </c>
      <c r="C597" s="8" t="s">
        <v>30</v>
      </c>
      <c r="D597" s="8" t="s">
        <v>4</v>
      </c>
      <c r="E597" s="8" t="s">
        <v>5</v>
      </c>
      <c r="F597" s="13">
        <v>276.40441168623511</v>
      </c>
      <c r="G597" s="12">
        <v>5043.7722044086277</v>
      </c>
      <c r="I597"/>
    </row>
    <row r="598" spans="1:9" x14ac:dyDescent="0.3">
      <c r="A598" s="7" t="s">
        <v>11</v>
      </c>
      <c r="B598" s="8" t="s">
        <v>14</v>
      </c>
      <c r="C598" s="8" t="s">
        <v>23</v>
      </c>
      <c r="D598" s="8" t="s">
        <v>7</v>
      </c>
      <c r="E598" s="8" t="s">
        <v>8</v>
      </c>
      <c r="F598" s="13">
        <v>246.64255048592167</v>
      </c>
      <c r="G598" s="12">
        <v>4428.670505277214</v>
      </c>
      <c r="I598"/>
    </row>
    <row r="599" spans="1:9" x14ac:dyDescent="0.3">
      <c r="A599" s="7" t="s">
        <v>1</v>
      </c>
      <c r="B599" s="8" t="s">
        <v>27</v>
      </c>
      <c r="C599" s="8" t="s">
        <v>28</v>
      </c>
      <c r="D599" s="8" t="s">
        <v>4</v>
      </c>
      <c r="E599" s="8" t="s">
        <v>10</v>
      </c>
      <c r="F599" s="13">
        <v>518.05678860346234</v>
      </c>
      <c r="G599" s="12">
        <v>4971.0220488232153</v>
      </c>
      <c r="I599"/>
    </row>
    <row r="600" spans="1:9" x14ac:dyDescent="0.3">
      <c r="A600" s="7" t="s">
        <v>1</v>
      </c>
      <c r="B600" s="8" t="s">
        <v>14</v>
      </c>
      <c r="C600" s="8" t="s">
        <v>32</v>
      </c>
      <c r="D600" s="8" t="s">
        <v>12</v>
      </c>
      <c r="E600" s="8" t="s">
        <v>13</v>
      </c>
      <c r="F600" s="13">
        <v>465.65750028566981</v>
      </c>
      <c r="G600" s="12">
        <v>5151.3769434794085</v>
      </c>
      <c r="I600"/>
    </row>
    <row r="601" spans="1:9" x14ac:dyDescent="0.3">
      <c r="A601" s="7" t="s">
        <v>1</v>
      </c>
      <c r="B601" s="8" t="s">
        <v>27</v>
      </c>
      <c r="C601" s="8" t="s">
        <v>38</v>
      </c>
      <c r="D601" s="8" t="s">
        <v>12</v>
      </c>
      <c r="E601" s="8" t="s">
        <v>16</v>
      </c>
      <c r="F601" s="13">
        <v>92.779079130195896</v>
      </c>
      <c r="G601" s="12">
        <v>3483.9573007651779</v>
      </c>
      <c r="I601"/>
    </row>
    <row r="602" spans="1:9" x14ac:dyDescent="0.3">
      <c r="A602" s="7" t="s">
        <v>1</v>
      </c>
      <c r="B602" s="8" t="s">
        <v>14</v>
      </c>
      <c r="C602" s="8" t="s">
        <v>22</v>
      </c>
      <c r="D602" s="8" t="s">
        <v>4</v>
      </c>
      <c r="E602" s="8" t="s">
        <v>5</v>
      </c>
      <c r="F602" s="13">
        <v>575.06271704460232</v>
      </c>
      <c r="G602" s="12">
        <v>6877.1957152624964</v>
      </c>
      <c r="I602"/>
    </row>
    <row r="603" spans="1:9" x14ac:dyDescent="0.3">
      <c r="A603" s="7" t="s">
        <v>9</v>
      </c>
      <c r="B603" s="8" t="s">
        <v>14</v>
      </c>
      <c r="C603" s="8" t="s">
        <v>25</v>
      </c>
      <c r="D603" s="8" t="s">
        <v>7</v>
      </c>
      <c r="E603" s="8" t="s">
        <v>8</v>
      </c>
      <c r="F603" s="13">
        <v>489.73741066911316</v>
      </c>
      <c r="G603" s="12">
        <v>2310.0152945623777</v>
      </c>
      <c r="I603"/>
    </row>
    <row r="604" spans="1:9" x14ac:dyDescent="0.3">
      <c r="A604" s="7" t="s">
        <v>9</v>
      </c>
      <c r="B604" s="8" t="s">
        <v>14</v>
      </c>
      <c r="C604" s="8" t="s">
        <v>37</v>
      </c>
      <c r="D604" s="8" t="s">
        <v>4</v>
      </c>
      <c r="E604" s="8" t="s">
        <v>10</v>
      </c>
      <c r="F604" s="13">
        <v>648.00734045647914</v>
      </c>
      <c r="G604" s="12">
        <v>3683.3559365475157</v>
      </c>
      <c r="I604"/>
    </row>
    <row r="605" spans="1:9" x14ac:dyDescent="0.3">
      <c r="A605" s="7" t="s">
        <v>9</v>
      </c>
      <c r="B605" s="8" t="s">
        <v>2</v>
      </c>
      <c r="C605" s="8" t="s">
        <v>31</v>
      </c>
      <c r="D605" s="8" t="s">
        <v>12</v>
      </c>
      <c r="E605" s="8" t="s">
        <v>13</v>
      </c>
      <c r="F605" s="13">
        <v>344.28092187517905</v>
      </c>
      <c r="G605" s="12">
        <v>4526.1538727461411</v>
      </c>
      <c r="I605"/>
    </row>
    <row r="606" spans="1:9" x14ac:dyDescent="0.3">
      <c r="A606" s="7" t="s">
        <v>9</v>
      </c>
      <c r="B606" s="8" t="s">
        <v>14</v>
      </c>
      <c r="C606" s="8" t="s">
        <v>30</v>
      </c>
      <c r="D606" s="8" t="s">
        <v>12</v>
      </c>
      <c r="E606" s="8" t="s">
        <v>16</v>
      </c>
      <c r="F606" s="13">
        <v>597.06232027647275</v>
      </c>
      <c r="G606" s="12">
        <v>2855.6154762082151</v>
      </c>
      <c r="I606"/>
    </row>
    <row r="607" spans="1:9" x14ac:dyDescent="0.3">
      <c r="A607" s="7" t="s">
        <v>9</v>
      </c>
      <c r="B607" s="8" t="s">
        <v>27</v>
      </c>
      <c r="C607" s="8" t="s">
        <v>29</v>
      </c>
      <c r="D607" s="8" t="s">
        <v>7</v>
      </c>
      <c r="E607" s="8" t="s">
        <v>17</v>
      </c>
      <c r="F607" s="13">
        <v>180.00185650707863</v>
      </c>
      <c r="G607" s="12">
        <v>1453.5907981268283</v>
      </c>
      <c r="I607"/>
    </row>
    <row r="608" spans="1:9" x14ac:dyDescent="0.3">
      <c r="A608" s="7" t="s">
        <v>11</v>
      </c>
      <c r="B608" s="8" t="s">
        <v>27</v>
      </c>
      <c r="C608" s="8" t="s">
        <v>28</v>
      </c>
      <c r="D608" s="8" t="s">
        <v>4</v>
      </c>
      <c r="E608" s="8" t="s">
        <v>5</v>
      </c>
      <c r="F608" s="13">
        <v>283.56445039862592</v>
      </c>
      <c r="G608" s="12">
        <v>512.6329910640361</v>
      </c>
      <c r="I608"/>
    </row>
    <row r="609" spans="1:9" x14ac:dyDescent="0.3">
      <c r="A609" s="7" t="s">
        <v>11</v>
      </c>
      <c r="B609" s="8" t="s">
        <v>2</v>
      </c>
      <c r="C609" s="8" t="s">
        <v>3</v>
      </c>
      <c r="D609" s="8" t="s">
        <v>7</v>
      </c>
      <c r="E609" s="8" t="s">
        <v>8</v>
      </c>
      <c r="F609" s="13">
        <v>159.62986646773061</v>
      </c>
      <c r="G609" s="12">
        <v>4315.9492620694591</v>
      </c>
      <c r="I609"/>
    </row>
    <row r="610" spans="1:9" x14ac:dyDescent="0.3">
      <c r="A610" s="7" t="s">
        <v>11</v>
      </c>
      <c r="B610" s="8" t="s">
        <v>14</v>
      </c>
      <c r="C610" s="8" t="s">
        <v>30</v>
      </c>
      <c r="D610" s="8" t="s">
        <v>4</v>
      </c>
      <c r="E610" s="8" t="s">
        <v>10</v>
      </c>
      <c r="F610" s="13">
        <v>173.30228161845298</v>
      </c>
      <c r="G610" s="12">
        <v>4398.1115915282608</v>
      </c>
      <c r="I610"/>
    </row>
    <row r="611" spans="1:9" x14ac:dyDescent="0.3">
      <c r="A611" s="7" t="s">
        <v>1</v>
      </c>
      <c r="B611" s="8" t="s">
        <v>14</v>
      </c>
      <c r="C611" s="8" t="s">
        <v>37</v>
      </c>
      <c r="D611" s="8" t="s">
        <v>4</v>
      </c>
      <c r="E611" s="8" t="s">
        <v>5</v>
      </c>
      <c r="F611" s="13">
        <v>51.41777682601969</v>
      </c>
      <c r="G611" s="12">
        <v>5980.2352346162479</v>
      </c>
      <c r="I611"/>
    </row>
    <row r="612" spans="1:9" x14ac:dyDescent="0.3">
      <c r="A612" s="7" t="s">
        <v>9</v>
      </c>
      <c r="B612" s="8" t="s">
        <v>14</v>
      </c>
      <c r="C612" s="8" t="s">
        <v>37</v>
      </c>
      <c r="D612" s="8" t="s">
        <v>7</v>
      </c>
      <c r="E612" s="8" t="s">
        <v>8</v>
      </c>
      <c r="F612" s="13">
        <v>7.4622743531108426</v>
      </c>
      <c r="G612" s="12">
        <v>2105.9910220762958</v>
      </c>
      <c r="I612"/>
    </row>
    <row r="613" spans="1:9" x14ac:dyDescent="0.3">
      <c r="A613" s="7" t="s">
        <v>9</v>
      </c>
      <c r="B613" s="8" t="s">
        <v>33</v>
      </c>
      <c r="C613" s="8" t="s">
        <v>35</v>
      </c>
      <c r="D613" s="8" t="s">
        <v>4</v>
      </c>
      <c r="E613" s="8" t="s">
        <v>10</v>
      </c>
      <c r="F613" s="13">
        <v>97.275935651850887</v>
      </c>
      <c r="G613" s="12">
        <v>228.74604572791668</v>
      </c>
      <c r="I613"/>
    </row>
    <row r="614" spans="1:9" x14ac:dyDescent="0.3">
      <c r="A614" s="7" t="s">
        <v>9</v>
      </c>
      <c r="B614" s="8" t="s">
        <v>2</v>
      </c>
      <c r="C614" s="8" t="s">
        <v>20</v>
      </c>
      <c r="D614" s="8" t="s">
        <v>12</v>
      </c>
      <c r="E614" s="8" t="s">
        <v>13</v>
      </c>
      <c r="F614" s="13">
        <v>13.705495035901549</v>
      </c>
      <c r="G614" s="12">
        <v>810.3005101575036</v>
      </c>
      <c r="I614"/>
    </row>
    <row r="615" spans="1:9" x14ac:dyDescent="0.3">
      <c r="A615" s="7" t="s">
        <v>9</v>
      </c>
      <c r="B615" s="8" t="s">
        <v>19</v>
      </c>
      <c r="C615" s="8" t="s">
        <v>19</v>
      </c>
      <c r="D615" s="8" t="s">
        <v>12</v>
      </c>
      <c r="E615" s="8" t="s">
        <v>16</v>
      </c>
      <c r="F615" s="13">
        <v>393.23012081222259</v>
      </c>
      <c r="G615" s="12">
        <v>3615.8502253518918</v>
      </c>
      <c r="I615"/>
    </row>
    <row r="616" spans="1:9" x14ac:dyDescent="0.3">
      <c r="A616" s="7" t="s">
        <v>9</v>
      </c>
      <c r="B616" s="8" t="s">
        <v>14</v>
      </c>
      <c r="C616" s="8" t="s">
        <v>30</v>
      </c>
      <c r="D616" s="8" t="s">
        <v>4</v>
      </c>
      <c r="E616" s="8" t="s">
        <v>5</v>
      </c>
      <c r="F616" s="13">
        <v>98.586503820115468</v>
      </c>
      <c r="G616" s="12">
        <v>2506.0525043256803</v>
      </c>
      <c r="I616"/>
    </row>
    <row r="617" spans="1:9" x14ac:dyDescent="0.3">
      <c r="A617" s="7" t="s">
        <v>6</v>
      </c>
      <c r="B617" s="8" t="s">
        <v>27</v>
      </c>
      <c r="C617" s="8" t="s">
        <v>28</v>
      </c>
      <c r="D617" s="8" t="s">
        <v>7</v>
      </c>
      <c r="E617" s="8" t="s">
        <v>8</v>
      </c>
      <c r="F617" s="13">
        <v>456.85302964466246</v>
      </c>
      <c r="G617" s="12">
        <v>4856.1915165585742</v>
      </c>
      <c r="I617"/>
    </row>
    <row r="618" spans="1:9" x14ac:dyDescent="0.3">
      <c r="A618" s="7" t="s">
        <v>6</v>
      </c>
      <c r="B618" s="8" t="s">
        <v>14</v>
      </c>
      <c r="C618" s="8" t="s">
        <v>32</v>
      </c>
      <c r="D618" s="8" t="s">
        <v>4</v>
      </c>
      <c r="E618" s="8" t="s">
        <v>10</v>
      </c>
      <c r="F618" s="13">
        <v>436.33936491678469</v>
      </c>
      <c r="G618" s="12">
        <v>4374.1305584927613</v>
      </c>
      <c r="I618"/>
    </row>
    <row r="619" spans="1:9" x14ac:dyDescent="0.3">
      <c r="A619" s="7" t="s">
        <v>6</v>
      </c>
      <c r="B619" s="8" t="s">
        <v>27</v>
      </c>
      <c r="C619" s="8" t="s">
        <v>38</v>
      </c>
      <c r="D619" s="8" t="s">
        <v>12</v>
      </c>
      <c r="E619" s="8" t="s">
        <v>13</v>
      </c>
      <c r="F619" s="13">
        <v>115.194118915133</v>
      </c>
      <c r="G619" s="12">
        <v>2522.4506862892085</v>
      </c>
      <c r="I619"/>
    </row>
    <row r="620" spans="1:9" x14ac:dyDescent="0.3">
      <c r="A620" s="7" t="s">
        <v>6</v>
      </c>
      <c r="B620" s="8" t="s">
        <v>14</v>
      </c>
      <c r="C620" s="8" t="s">
        <v>22</v>
      </c>
      <c r="D620" s="8" t="s">
        <v>12</v>
      </c>
      <c r="E620" s="8" t="s">
        <v>16</v>
      </c>
      <c r="F620" s="13">
        <v>583.7686028880853</v>
      </c>
      <c r="G620" s="12">
        <v>271.0153976946749</v>
      </c>
      <c r="I620"/>
    </row>
    <row r="621" spans="1:9" x14ac:dyDescent="0.3">
      <c r="A621" s="7" t="s">
        <v>1</v>
      </c>
      <c r="B621" s="8" t="s">
        <v>27</v>
      </c>
      <c r="C621" s="8" t="s">
        <v>38</v>
      </c>
      <c r="D621" s="8" t="s">
        <v>7</v>
      </c>
      <c r="E621" s="8" t="s">
        <v>17</v>
      </c>
      <c r="F621" s="13">
        <v>179.42006901521381</v>
      </c>
      <c r="G621" s="12">
        <v>6266.786381235579</v>
      </c>
      <c r="I621"/>
    </row>
    <row r="622" spans="1:9" x14ac:dyDescent="0.3">
      <c r="A622" s="7" t="s">
        <v>1</v>
      </c>
      <c r="B622" s="8" t="s">
        <v>33</v>
      </c>
      <c r="C622" s="8" t="s">
        <v>39</v>
      </c>
      <c r="D622" s="8" t="s">
        <v>4</v>
      </c>
      <c r="E622" s="8" t="s">
        <v>5</v>
      </c>
      <c r="F622" s="13">
        <v>104.39104031029274</v>
      </c>
      <c r="G622" s="12">
        <v>3537.2051460668445</v>
      </c>
      <c r="I622"/>
    </row>
    <row r="623" spans="1:9" x14ac:dyDescent="0.3">
      <c r="A623" s="7" t="s">
        <v>1</v>
      </c>
      <c r="B623" s="8" t="s">
        <v>33</v>
      </c>
      <c r="C623" s="8" t="s">
        <v>40</v>
      </c>
      <c r="D623" s="8" t="s">
        <v>7</v>
      </c>
      <c r="E623" s="8" t="s">
        <v>8</v>
      </c>
      <c r="F623" s="13">
        <v>78.156597415909346</v>
      </c>
      <c r="G623" s="12">
        <v>5731.4710157166701</v>
      </c>
      <c r="I623"/>
    </row>
    <row r="624" spans="1:9" x14ac:dyDescent="0.3">
      <c r="A624" s="7" t="s">
        <v>1</v>
      </c>
      <c r="B624" s="8" t="s">
        <v>33</v>
      </c>
      <c r="C624" s="8" t="s">
        <v>41</v>
      </c>
      <c r="D624" s="8" t="s">
        <v>4</v>
      </c>
      <c r="E624" s="8" t="s">
        <v>10</v>
      </c>
      <c r="F624" s="13">
        <v>94.711263308636262</v>
      </c>
      <c r="G624" s="12">
        <v>3811.58874850953</v>
      </c>
      <c r="I624"/>
    </row>
    <row r="625" spans="1:9" x14ac:dyDescent="0.3">
      <c r="A625" s="7" t="s">
        <v>1</v>
      </c>
      <c r="B625" s="8" t="s">
        <v>2</v>
      </c>
      <c r="C625" s="8" t="s">
        <v>21</v>
      </c>
      <c r="D625" s="8" t="s">
        <v>4</v>
      </c>
      <c r="E625" s="8" t="s">
        <v>5</v>
      </c>
      <c r="F625" s="13">
        <v>167.21927504568157</v>
      </c>
      <c r="G625" s="12">
        <v>936.01236802642234</v>
      </c>
      <c r="I625"/>
    </row>
    <row r="626" spans="1:9" x14ac:dyDescent="0.3">
      <c r="A626" s="7" t="s">
        <v>11</v>
      </c>
      <c r="B626" s="8" t="s">
        <v>14</v>
      </c>
      <c r="C626" s="8" t="s">
        <v>25</v>
      </c>
      <c r="D626" s="8" t="s">
        <v>7</v>
      </c>
      <c r="E626" s="8" t="s">
        <v>8</v>
      </c>
      <c r="F626" s="13">
        <v>314.317830089567</v>
      </c>
      <c r="G626" s="12">
        <v>3962.5705662306063</v>
      </c>
      <c r="I626"/>
    </row>
    <row r="627" spans="1:9" x14ac:dyDescent="0.3">
      <c r="A627" s="7" t="s">
        <v>11</v>
      </c>
      <c r="B627" s="8" t="s">
        <v>14</v>
      </c>
      <c r="C627" s="8" t="s">
        <v>37</v>
      </c>
      <c r="D627" s="8" t="s">
        <v>4</v>
      </c>
      <c r="E627" s="8" t="s">
        <v>10</v>
      </c>
      <c r="F627" s="13">
        <v>251.98913956528486</v>
      </c>
      <c r="G627" s="12">
        <v>2126.0555117876993</v>
      </c>
      <c r="I627"/>
    </row>
    <row r="628" spans="1:9" x14ac:dyDescent="0.3">
      <c r="A628" s="7" t="s">
        <v>11</v>
      </c>
      <c r="B628" s="8" t="s">
        <v>2</v>
      </c>
      <c r="C628" s="8" t="s">
        <v>31</v>
      </c>
      <c r="D628" s="8" t="s">
        <v>12</v>
      </c>
      <c r="E628" s="8" t="s">
        <v>13</v>
      </c>
      <c r="F628" s="13">
        <v>279.55452180012799</v>
      </c>
      <c r="G628" s="12">
        <v>873.50863903557183</v>
      </c>
      <c r="I628"/>
    </row>
    <row r="629" spans="1:9" x14ac:dyDescent="0.3">
      <c r="A629" s="7" t="s">
        <v>11</v>
      </c>
      <c r="B629" s="8" t="s">
        <v>14</v>
      </c>
      <c r="C629" s="8" t="s">
        <v>30</v>
      </c>
      <c r="D629" s="8" t="s">
        <v>4</v>
      </c>
      <c r="E629" s="8" t="s">
        <v>5</v>
      </c>
      <c r="F629" s="13">
        <v>201.17903920281606</v>
      </c>
      <c r="G629" s="12">
        <v>6229.0942467790865</v>
      </c>
      <c r="I629"/>
    </row>
    <row r="630" spans="1:9" x14ac:dyDescent="0.3">
      <c r="A630" s="7" t="s">
        <v>11</v>
      </c>
      <c r="B630" s="8" t="s">
        <v>27</v>
      </c>
      <c r="C630" s="8" t="s">
        <v>29</v>
      </c>
      <c r="D630" s="8" t="s">
        <v>7</v>
      </c>
      <c r="E630" s="8" t="s">
        <v>8</v>
      </c>
      <c r="F630" s="13">
        <v>267.39713718488929</v>
      </c>
      <c r="G630" s="12">
        <v>3013.158194636726</v>
      </c>
      <c r="I630"/>
    </row>
    <row r="631" spans="1:9" x14ac:dyDescent="0.3">
      <c r="A631" s="7" t="s">
        <v>6</v>
      </c>
      <c r="B631" s="8" t="s">
        <v>14</v>
      </c>
      <c r="C631" s="8" t="s">
        <v>37</v>
      </c>
      <c r="D631" s="8" t="s">
        <v>4</v>
      </c>
      <c r="E631" s="8" t="s">
        <v>10</v>
      </c>
      <c r="F631" s="13">
        <v>198.13230601112082</v>
      </c>
      <c r="G631" s="12">
        <v>2071.0239993044697</v>
      </c>
      <c r="I631"/>
    </row>
    <row r="632" spans="1:9" x14ac:dyDescent="0.3">
      <c r="A632" s="7" t="s">
        <v>11</v>
      </c>
      <c r="B632" s="8" t="s">
        <v>14</v>
      </c>
      <c r="C632" s="8" t="s">
        <v>37</v>
      </c>
      <c r="D632" s="8" t="s">
        <v>12</v>
      </c>
      <c r="E632" s="8" t="s">
        <v>13</v>
      </c>
      <c r="F632" s="13">
        <v>62.613319638148823</v>
      </c>
      <c r="G632" s="12">
        <v>423.95381018270928</v>
      </c>
      <c r="I632"/>
    </row>
    <row r="633" spans="1:9" x14ac:dyDescent="0.3">
      <c r="A633" s="7" t="s">
        <v>11</v>
      </c>
      <c r="B633" s="8" t="s">
        <v>33</v>
      </c>
      <c r="C633" s="8" t="s">
        <v>35</v>
      </c>
      <c r="D633" s="8" t="s">
        <v>12</v>
      </c>
      <c r="E633" s="8" t="s">
        <v>16</v>
      </c>
      <c r="F633" s="13">
        <v>24.485098938839656</v>
      </c>
      <c r="G633" s="12">
        <v>5640.8299009757238</v>
      </c>
      <c r="I633"/>
    </row>
    <row r="634" spans="1:9" x14ac:dyDescent="0.3">
      <c r="A634" s="7" t="s">
        <v>11</v>
      </c>
      <c r="B634" s="8" t="s">
        <v>2</v>
      </c>
      <c r="C634" s="8" t="s">
        <v>20</v>
      </c>
      <c r="D634" s="8" t="s">
        <v>4</v>
      </c>
      <c r="E634" s="8" t="s">
        <v>5</v>
      </c>
      <c r="F634" s="13">
        <v>376.9401891797429</v>
      </c>
      <c r="G634" s="12">
        <v>2051.9421108977085</v>
      </c>
      <c r="I634"/>
    </row>
    <row r="635" spans="1:9" x14ac:dyDescent="0.3">
      <c r="A635" s="7" t="s">
        <v>11</v>
      </c>
      <c r="B635" s="8" t="s">
        <v>19</v>
      </c>
      <c r="C635" s="8" t="s">
        <v>19</v>
      </c>
      <c r="D635" s="8" t="s">
        <v>7</v>
      </c>
      <c r="E635" s="8" t="s">
        <v>8</v>
      </c>
      <c r="F635" s="13">
        <v>314.95595135711483</v>
      </c>
      <c r="G635" s="12">
        <v>2557.5410112220998</v>
      </c>
      <c r="I635"/>
    </row>
    <row r="636" spans="1:9" x14ac:dyDescent="0.3">
      <c r="A636" s="7" t="s">
        <v>11</v>
      </c>
      <c r="B636" s="8" t="s">
        <v>14</v>
      </c>
      <c r="C636" s="8" t="s">
        <v>30</v>
      </c>
      <c r="D636" s="8" t="s">
        <v>4</v>
      </c>
      <c r="E636" s="8" t="s">
        <v>10</v>
      </c>
      <c r="F636" s="13">
        <v>122.18554032187967</v>
      </c>
      <c r="G636" s="12">
        <v>18.511468079485894</v>
      </c>
      <c r="I636"/>
    </row>
    <row r="637" spans="1:9" x14ac:dyDescent="0.3">
      <c r="A637" s="7" t="s">
        <v>1</v>
      </c>
      <c r="B637" s="8" t="s">
        <v>27</v>
      </c>
      <c r="C637" s="8" t="s">
        <v>38</v>
      </c>
      <c r="D637" s="8" t="s">
        <v>12</v>
      </c>
      <c r="E637" s="8" t="s">
        <v>13</v>
      </c>
      <c r="F637" s="13">
        <v>111.5117709749029</v>
      </c>
      <c r="G637" s="12">
        <v>4199.9764864522149</v>
      </c>
      <c r="I637"/>
    </row>
    <row r="638" spans="1:9" x14ac:dyDescent="0.3">
      <c r="A638" s="7" t="s">
        <v>1</v>
      </c>
      <c r="B638" s="8" t="s">
        <v>2</v>
      </c>
      <c r="C638" s="8" t="s">
        <v>3</v>
      </c>
      <c r="D638" s="8" t="s">
        <v>12</v>
      </c>
      <c r="E638" s="8" t="s">
        <v>16</v>
      </c>
      <c r="F638" s="13">
        <v>28.646796815974085</v>
      </c>
      <c r="G638" s="12">
        <v>5802.702957234942</v>
      </c>
      <c r="I638"/>
    </row>
    <row r="639" spans="1:9" x14ac:dyDescent="0.3">
      <c r="A639" s="7" t="s">
        <v>9</v>
      </c>
      <c r="B639" s="8" t="s">
        <v>27</v>
      </c>
      <c r="C639" s="8" t="s">
        <v>28</v>
      </c>
      <c r="D639" s="8" t="s">
        <v>4</v>
      </c>
      <c r="E639" s="8" t="s">
        <v>5</v>
      </c>
      <c r="F639" s="13">
        <v>535.35556075476052</v>
      </c>
      <c r="G639" s="12">
        <v>2032.5546483824291</v>
      </c>
      <c r="I639"/>
    </row>
    <row r="640" spans="1:9" x14ac:dyDescent="0.3">
      <c r="A640" s="7" t="s">
        <v>9</v>
      </c>
      <c r="B640" s="8" t="s">
        <v>14</v>
      </c>
      <c r="C640" s="8" t="s">
        <v>32</v>
      </c>
      <c r="D640" s="8" t="s">
        <v>7</v>
      </c>
      <c r="E640" s="8" t="s">
        <v>8</v>
      </c>
      <c r="F640" s="13">
        <v>148.19274707388104</v>
      </c>
      <c r="G640" s="12">
        <v>5572.7692129424377</v>
      </c>
      <c r="I640"/>
    </row>
    <row r="641" spans="1:9" x14ac:dyDescent="0.3">
      <c r="A641" s="7" t="s">
        <v>9</v>
      </c>
      <c r="B641" s="8" t="s">
        <v>27</v>
      </c>
      <c r="C641" s="8" t="s">
        <v>38</v>
      </c>
      <c r="D641" s="8" t="s">
        <v>4</v>
      </c>
      <c r="E641" s="8" t="s">
        <v>10</v>
      </c>
      <c r="F641" s="13">
        <v>64.663318922248436</v>
      </c>
      <c r="G641" s="12">
        <v>1604.5704533621501</v>
      </c>
      <c r="I641"/>
    </row>
    <row r="642" spans="1:9" x14ac:dyDescent="0.3">
      <c r="A642" s="7" t="s">
        <v>9</v>
      </c>
      <c r="B642" s="8" t="s">
        <v>14</v>
      </c>
      <c r="C642" s="8" t="s">
        <v>22</v>
      </c>
      <c r="D642" s="8" t="s">
        <v>12</v>
      </c>
      <c r="E642" s="8" t="s">
        <v>13</v>
      </c>
      <c r="F642" s="13">
        <v>465.16534795318876</v>
      </c>
      <c r="G642" s="12">
        <v>4897.529078920179</v>
      </c>
      <c r="I642"/>
    </row>
    <row r="643" spans="1:9" x14ac:dyDescent="0.3">
      <c r="A643" s="7" t="s">
        <v>6</v>
      </c>
      <c r="B643" s="8" t="s">
        <v>27</v>
      </c>
      <c r="C643" s="8" t="s">
        <v>38</v>
      </c>
      <c r="D643" s="8" t="s">
        <v>12</v>
      </c>
      <c r="E643" s="8" t="s">
        <v>16</v>
      </c>
      <c r="F643" s="13">
        <v>16.385556521345279</v>
      </c>
      <c r="G643" s="12">
        <v>324.99259163177339</v>
      </c>
      <c r="I643"/>
    </row>
    <row r="644" spans="1:9" x14ac:dyDescent="0.3">
      <c r="A644" s="7" t="s">
        <v>6</v>
      </c>
      <c r="B644" s="8" t="s">
        <v>33</v>
      </c>
      <c r="C644" s="8" t="s">
        <v>39</v>
      </c>
      <c r="D644" s="8" t="s">
        <v>7</v>
      </c>
      <c r="E644" s="8" t="s">
        <v>17</v>
      </c>
      <c r="F644" s="13">
        <v>10.407261141699564</v>
      </c>
      <c r="G644" s="12">
        <v>3911.7658265675418</v>
      </c>
      <c r="I644"/>
    </row>
    <row r="645" spans="1:9" x14ac:dyDescent="0.3">
      <c r="A645" s="7" t="s">
        <v>6</v>
      </c>
      <c r="B645" s="8" t="s">
        <v>33</v>
      </c>
      <c r="C645" s="8" t="s">
        <v>40</v>
      </c>
      <c r="D645" s="8" t="s">
        <v>4</v>
      </c>
      <c r="E645" s="8" t="s">
        <v>5</v>
      </c>
      <c r="F645" s="13">
        <v>161.63448348961538</v>
      </c>
      <c r="G645" s="12">
        <v>1519.3135068477714</v>
      </c>
      <c r="I645"/>
    </row>
    <row r="646" spans="1:9" x14ac:dyDescent="0.3">
      <c r="A646" s="7" t="s">
        <v>6</v>
      </c>
      <c r="B646" s="8" t="s">
        <v>33</v>
      </c>
      <c r="C646" s="8" t="s">
        <v>41</v>
      </c>
      <c r="D646" s="8" t="s">
        <v>7</v>
      </c>
      <c r="E646" s="8" t="s">
        <v>8</v>
      </c>
      <c r="F646" s="13">
        <v>160.5133495926566</v>
      </c>
      <c r="G646" s="12">
        <v>560.30176909524016</v>
      </c>
      <c r="I646"/>
    </row>
    <row r="647" spans="1:9" x14ac:dyDescent="0.3">
      <c r="A647" s="7" t="s">
        <v>6</v>
      </c>
      <c r="B647" s="8" t="s">
        <v>2</v>
      </c>
      <c r="C647" s="8" t="s">
        <v>21</v>
      </c>
      <c r="D647" s="8" t="s">
        <v>4</v>
      </c>
      <c r="E647" s="8" t="s">
        <v>10</v>
      </c>
      <c r="F647" s="13">
        <v>85.506315118982457</v>
      </c>
      <c r="G647" s="12">
        <v>3181.3290505603072</v>
      </c>
      <c r="I647"/>
    </row>
    <row r="648" spans="1:9" x14ac:dyDescent="0.3">
      <c r="A648" s="7" t="s">
        <v>9</v>
      </c>
      <c r="B648" s="8" t="s">
        <v>14</v>
      </c>
      <c r="C648" s="8" t="s">
        <v>37</v>
      </c>
      <c r="D648" s="8" t="s">
        <v>4</v>
      </c>
      <c r="E648" s="8" t="s">
        <v>5</v>
      </c>
      <c r="F648" s="13">
        <v>17.909219060311443</v>
      </c>
      <c r="G648" s="12">
        <v>324.3458512545003</v>
      </c>
      <c r="I648"/>
    </row>
    <row r="649" spans="1:9" x14ac:dyDescent="0.3">
      <c r="A649" s="7" t="s">
        <v>1</v>
      </c>
      <c r="B649" s="8" t="s">
        <v>2</v>
      </c>
      <c r="C649" s="8" t="s">
        <v>21</v>
      </c>
      <c r="D649" s="8" t="s">
        <v>7</v>
      </c>
      <c r="E649" s="8" t="s">
        <v>8</v>
      </c>
      <c r="F649" s="13">
        <v>175.47144523377938</v>
      </c>
      <c r="G649" s="12">
        <v>2974.1571447339084</v>
      </c>
      <c r="I649"/>
    </row>
    <row r="650" spans="1:9" x14ac:dyDescent="0.3">
      <c r="A650" s="7" t="s">
        <v>6</v>
      </c>
      <c r="B650" s="8" t="s">
        <v>27</v>
      </c>
      <c r="C650" s="8" t="s">
        <v>38</v>
      </c>
      <c r="D650" s="8" t="s">
        <v>4</v>
      </c>
      <c r="E650" s="8" t="s">
        <v>10</v>
      </c>
      <c r="F650" s="13">
        <v>98.948879174713511</v>
      </c>
      <c r="G650" s="12">
        <v>3274.8908175739052</v>
      </c>
      <c r="I650"/>
    </row>
    <row r="651" spans="1:9" x14ac:dyDescent="0.3">
      <c r="A651" s="7" t="s">
        <v>6</v>
      </c>
      <c r="B651" s="8" t="s">
        <v>2</v>
      </c>
      <c r="C651" s="8" t="s">
        <v>3</v>
      </c>
      <c r="D651" s="8" t="s">
        <v>12</v>
      </c>
      <c r="E651" s="8" t="s">
        <v>13</v>
      </c>
      <c r="F651" s="13">
        <v>144.36268867830222</v>
      </c>
      <c r="G651" s="12">
        <v>5379.4136721613904</v>
      </c>
      <c r="I651"/>
    </row>
    <row r="652" spans="1:9" x14ac:dyDescent="0.3">
      <c r="A652" s="7" t="s">
        <v>11</v>
      </c>
      <c r="B652" s="8" t="s">
        <v>27</v>
      </c>
      <c r="C652" s="8" t="s">
        <v>28</v>
      </c>
      <c r="D652" s="8" t="s">
        <v>12</v>
      </c>
      <c r="E652" s="8" t="s">
        <v>16</v>
      </c>
      <c r="F652" s="13">
        <v>569.65948234810639</v>
      </c>
      <c r="G652" s="12">
        <v>1987.6884816994561</v>
      </c>
      <c r="I652"/>
    </row>
    <row r="653" spans="1:9" x14ac:dyDescent="0.3">
      <c r="A653" s="7" t="s">
        <v>11</v>
      </c>
      <c r="B653" s="8" t="s">
        <v>14</v>
      </c>
      <c r="C653" s="8" t="s">
        <v>32</v>
      </c>
      <c r="D653" s="8" t="s">
        <v>7</v>
      </c>
      <c r="E653" s="8" t="s">
        <v>17</v>
      </c>
      <c r="F653" s="13">
        <v>489.64711525659368</v>
      </c>
      <c r="G653" s="12">
        <v>653.48299294946628</v>
      </c>
      <c r="I653"/>
    </row>
    <row r="654" spans="1:9" x14ac:dyDescent="0.3">
      <c r="A654" s="7" t="s">
        <v>11</v>
      </c>
      <c r="B654" s="8" t="s">
        <v>27</v>
      </c>
      <c r="C654" s="8" t="s">
        <v>38</v>
      </c>
      <c r="D654" s="8" t="s">
        <v>4</v>
      </c>
      <c r="E654" s="8" t="s">
        <v>5</v>
      </c>
      <c r="F654" s="13">
        <v>547.55811458071548</v>
      </c>
      <c r="G654" s="12">
        <v>4331.6644132840111</v>
      </c>
      <c r="I654"/>
    </row>
    <row r="655" spans="1:9" x14ac:dyDescent="0.3">
      <c r="A655" s="7" t="s">
        <v>11</v>
      </c>
      <c r="B655" s="8" t="s">
        <v>14</v>
      </c>
      <c r="C655" s="8" t="s">
        <v>22</v>
      </c>
      <c r="D655" s="8" t="s">
        <v>7</v>
      </c>
      <c r="E655" s="8" t="s">
        <v>8</v>
      </c>
      <c r="F655" s="13">
        <v>144.07335955911549</v>
      </c>
      <c r="G655" s="12">
        <v>91.31486813535048</v>
      </c>
      <c r="I655"/>
    </row>
    <row r="656" spans="1:9" x14ac:dyDescent="0.3">
      <c r="A656" s="7" t="s">
        <v>9</v>
      </c>
      <c r="B656" s="8" t="s">
        <v>27</v>
      </c>
      <c r="C656" s="8" t="s">
        <v>38</v>
      </c>
      <c r="D656" s="8" t="s">
        <v>4</v>
      </c>
      <c r="E656" s="8" t="s">
        <v>10</v>
      </c>
      <c r="F656" s="13">
        <v>125.55430983684346</v>
      </c>
      <c r="G656" s="12">
        <v>174.53130626536222</v>
      </c>
      <c r="I656"/>
    </row>
    <row r="657" spans="1:9" x14ac:dyDescent="0.3">
      <c r="A657" s="7" t="s">
        <v>9</v>
      </c>
      <c r="B657" s="8" t="s">
        <v>33</v>
      </c>
      <c r="C657" s="8" t="s">
        <v>39</v>
      </c>
      <c r="D657" s="8" t="s">
        <v>12</v>
      </c>
      <c r="E657" s="8" t="s">
        <v>13</v>
      </c>
      <c r="F657" s="13">
        <v>158.04075014639238</v>
      </c>
      <c r="G657" s="12">
        <v>3854.8066506071336</v>
      </c>
      <c r="I657"/>
    </row>
    <row r="658" spans="1:9" x14ac:dyDescent="0.3">
      <c r="A658" s="7" t="s">
        <v>9</v>
      </c>
      <c r="B658" s="8" t="s">
        <v>33</v>
      </c>
      <c r="C658" s="8" t="s">
        <v>40</v>
      </c>
      <c r="D658" s="8" t="s">
        <v>12</v>
      </c>
      <c r="E658" s="8" t="s">
        <v>16</v>
      </c>
      <c r="F658" s="13">
        <v>58.288107290900371</v>
      </c>
      <c r="G658" s="12">
        <v>494.52645185519941</v>
      </c>
      <c r="I658"/>
    </row>
    <row r="659" spans="1:9" x14ac:dyDescent="0.3">
      <c r="A659" s="7" t="s">
        <v>9</v>
      </c>
      <c r="B659" s="8" t="s">
        <v>33</v>
      </c>
      <c r="C659" s="8" t="s">
        <v>41</v>
      </c>
      <c r="D659" s="8" t="s">
        <v>7</v>
      </c>
      <c r="E659" s="8" t="s">
        <v>17</v>
      </c>
      <c r="F659" s="13">
        <v>18.994104407465784</v>
      </c>
      <c r="G659" s="12">
        <v>3719.731661156311</v>
      </c>
      <c r="I659"/>
    </row>
    <row r="660" spans="1:9" x14ac:dyDescent="0.3">
      <c r="A660" s="7" t="s">
        <v>9</v>
      </c>
      <c r="B660" s="8" t="s">
        <v>2</v>
      </c>
      <c r="C660" s="8" t="s">
        <v>21</v>
      </c>
      <c r="D660" s="8" t="s">
        <v>4</v>
      </c>
      <c r="E660" s="8" t="s">
        <v>5</v>
      </c>
      <c r="F660" s="13">
        <v>91.481108477273665</v>
      </c>
      <c r="G660" s="12">
        <v>4797.6555432689565</v>
      </c>
      <c r="I660"/>
    </row>
    <row r="661" spans="1:9" x14ac:dyDescent="0.3">
      <c r="A661" s="7" t="s">
        <v>11</v>
      </c>
      <c r="B661" s="8" t="s">
        <v>14</v>
      </c>
      <c r="C661" s="8" t="s">
        <v>37</v>
      </c>
      <c r="D661" s="8" t="s">
        <v>7</v>
      </c>
      <c r="E661" s="8" t="s">
        <v>8</v>
      </c>
      <c r="F661" s="13">
        <v>105.80412955332577</v>
      </c>
      <c r="G661" s="12">
        <v>2532.2512229384301</v>
      </c>
      <c r="I661"/>
    </row>
    <row r="662" spans="1:9" x14ac:dyDescent="0.3">
      <c r="A662" s="7" t="s">
        <v>6</v>
      </c>
      <c r="B662" s="8" t="s">
        <v>2</v>
      </c>
      <c r="C662" s="8" t="s">
        <v>21</v>
      </c>
      <c r="D662" s="8" t="s">
        <v>4</v>
      </c>
      <c r="E662" s="8" t="s">
        <v>10</v>
      </c>
      <c r="F662" s="13">
        <v>67.692426580833853</v>
      </c>
      <c r="G662" s="12">
        <v>1664.9061267556681</v>
      </c>
      <c r="I662"/>
    </row>
    <row r="663" spans="1:9" x14ac:dyDescent="0.3">
      <c r="A663" s="7" t="s">
        <v>9</v>
      </c>
      <c r="B663" s="8" t="s">
        <v>27</v>
      </c>
      <c r="C663" s="8" t="s">
        <v>38</v>
      </c>
      <c r="D663" s="8" t="s">
        <v>4</v>
      </c>
      <c r="E663" s="8" t="s">
        <v>5</v>
      </c>
      <c r="F663" s="13">
        <v>1.3853987096808851</v>
      </c>
      <c r="G663" s="12">
        <v>1091.1372185365108</v>
      </c>
      <c r="I663"/>
    </row>
    <row r="664" spans="1:9" x14ac:dyDescent="0.3">
      <c r="A664" s="7" t="s">
        <v>9</v>
      </c>
      <c r="B664" s="8" t="s">
        <v>2</v>
      </c>
      <c r="C664" s="8" t="s">
        <v>3</v>
      </c>
      <c r="D664" s="8" t="s">
        <v>7</v>
      </c>
      <c r="E664" s="8" t="s">
        <v>8</v>
      </c>
      <c r="F664" s="13">
        <v>80.310659035694698</v>
      </c>
      <c r="G664" s="12">
        <v>2751.4862581665684</v>
      </c>
      <c r="I664"/>
    </row>
    <row r="665" spans="1:9" x14ac:dyDescent="0.3">
      <c r="A665" s="7" t="s">
        <v>11</v>
      </c>
      <c r="B665" s="8" t="s">
        <v>27</v>
      </c>
      <c r="C665" s="8" t="s">
        <v>38</v>
      </c>
      <c r="D665" s="8" t="s">
        <v>4</v>
      </c>
      <c r="E665" s="8" t="s">
        <v>10</v>
      </c>
      <c r="F665" s="13">
        <v>182.30470456655894</v>
      </c>
      <c r="G665" s="12">
        <v>2710.7309537590172</v>
      </c>
      <c r="I665"/>
    </row>
    <row r="666" spans="1:9" x14ac:dyDescent="0.3">
      <c r="A666" s="7" t="s">
        <v>11</v>
      </c>
      <c r="B666" s="8" t="s">
        <v>33</v>
      </c>
      <c r="C666" s="8" t="s">
        <v>39</v>
      </c>
      <c r="D666" s="8" t="s">
        <v>12</v>
      </c>
      <c r="E666" s="8" t="s">
        <v>13</v>
      </c>
      <c r="F666" s="13">
        <v>79.369330741974409</v>
      </c>
      <c r="G666" s="12">
        <v>4064.2047453172081</v>
      </c>
      <c r="I666"/>
    </row>
    <row r="667" spans="1:9" x14ac:dyDescent="0.3">
      <c r="A667" s="7" t="s">
        <v>11</v>
      </c>
      <c r="B667" s="8" t="s">
        <v>33</v>
      </c>
      <c r="C667" s="8" t="s">
        <v>40</v>
      </c>
      <c r="D667" s="8" t="s">
        <v>4</v>
      </c>
      <c r="E667" s="8" t="s">
        <v>5</v>
      </c>
      <c r="F667" s="13">
        <v>199.75063634938124</v>
      </c>
      <c r="G667" s="12">
        <v>4178.742218573494</v>
      </c>
      <c r="I667"/>
    </row>
    <row r="668" spans="1:9" x14ac:dyDescent="0.3">
      <c r="A668" s="7" t="s">
        <v>11</v>
      </c>
      <c r="B668" s="8" t="s">
        <v>33</v>
      </c>
      <c r="C668" s="8" t="s">
        <v>41</v>
      </c>
      <c r="D668" s="8" t="s">
        <v>7</v>
      </c>
      <c r="E668" s="8" t="s">
        <v>8</v>
      </c>
      <c r="F668" s="13">
        <v>40.015598339959979</v>
      </c>
      <c r="G668" s="12">
        <v>3919.9669964039576</v>
      </c>
      <c r="I668"/>
    </row>
    <row r="669" spans="1:9" x14ac:dyDescent="0.3">
      <c r="A669" s="7" t="s">
        <v>11</v>
      </c>
      <c r="B669" s="8" t="s">
        <v>2</v>
      </c>
      <c r="C669" s="8" t="s">
        <v>21</v>
      </c>
      <c r="D669" s="8" t="s">
        <v>4</v>
      </c>
      <c r="E669" s="8" t="s">
        <v>10</v>
      </c>
      <c r="F669" s="13">
        <v>65.547475813036726</v>
      </c>
      <c r="G669" s="12">
        <v>3299.7179955248957</v>
      </c>
      <c r="I669"/>
    </row>
    <row r="670" spans="1:9" x14ac:dyDescent="0.3">
      <c r="A670" s="7" t="s">
        <v>1</v>
      </c>
      <c r="B670" s="8" t="s">
        <v>33</v>
      </c>
      <c r="C670" s="8" t="s">
        <v>39</v>
      </c>
      <c r="D670" s="8" t="s">
        <v>12</v>
      </c>
      <c r="E670" s="8" t="s">
        <v>13</v>
      </c>
      <c r="F670" s="13">
        <v>381.10596077531227</v>
      </c>
      <c r="G670" s="12">
        <v>3823.5852885569329</v>
      </c>
      <c r="I670"/>
    </row>
    <row r="671" spans="1:9" x14ac:dyDescent="0.3">
      <c r="A671" s="7" t="s">
        <v>1</v>
      </c>
      <c r="B671" s="8" t="s">
        <v>27</v>
      </c>
      <c r="C671" s="8" t="s">
        <v>29</v>
      </c>
      <c r="D671" s="8" t="s">
        <v>12</v>
      </c>
      <c r="E671" s="8" t="s">
        <v>16</v>
      </c>
      <c r="F671" s="13">
        <v>153.38415836049535</v>
      </c>
      <c r="G671" s="12">
        <v>4399.8094654642045</v>
      </c>
      <c r="I671"/>
    </row>
    <row r="672" spans="1:9" x14ac:dyDescent="0.3">
      <c r="A672" s="7" t="s">
        <v>1</v>
      </c>
      <c r="B672" s="8" t="s">
        <v>33</v>
      </c>
      <c r="C672" s="8" t="s">
        <v>34</v>
      </c>
      <c r="D672" s="8" t="s">
        <v>4</v>
      </c>
      <c r="E672" s="8" t="s">
        <v>5</v>
      </c>
      <c r="F672" s="13">
        <v>107.26460968289757</v>
      </c>
      <c r="G672" s="12">
        <v>68.317034853748737</v>
      </c>
      <c r="I672"/>
    </row>
    <row r="673" spans="1:9" x14ac:dyDescent="0.3">
      <c r="A673" s="7" t="s">
        <v>1</v>
      </c>
      <c r="B673" s="8" t="s">
        <v>33</v>
      </c>
      <c r="C673" s="8" t="s">
        <v>35</v>
      </c>
      <c r="D673" s="8" t="s">
        <v>7</v>
      </c>
      <c r="E673" s="8" t="s">
        <v>8</v>
      </c>
      <c r="F673" s="13">
        <v>327.51172955322545</v>
      </c>
      <c r="G673" s="12">
        <v>4042.1328009513672</v>
      </c>
      <c r="I673"/>
    </row>
    <row r="674" spans="1:9" x14ac:dyDescent="0.3">
      <c r="A674" s="7" t="s">
        <v>9</v>
      </c>
      <c r="B674" s="8" t="s">
        <v>2</v>
      </c>
      <c r="C674" s="8" t="s">
        <v>21</v>
      </c>
      <c r="D674" s="8" t="s">
        <v>4</v>
      </c>
      <c r="E674" s="8" t="s">
        <v>10</v>
      </c>
      <c r="F674" s="13">
        <v>197.62226805141836</v>
      </c>
      <c r="G674" s="12">
        <v>193.13098200880177</v>
      </c>
      <c r="I674"/>
    </row>
    <row r="675" spans="1:9" x14ac:dyDescent="0.3">
      <c r="A675" s="7" t="s">
        <v>1</v>
      </c>
      <c r="B675" s="8" t="s">
        <v>14</v>
      </c>
      <c r="C675" s="8" t="s">
        <v>25</v>
      </c>
      <c r="D675" s="8" t="s">
        <v>12</v>
      </c>
      <c r="E675" s="8" t="s">
        <v>13</v>
      </c>
      <c r="F675" s="13">
        <v>198.08382992960105</v>
      </c>
      <c r="G675" s="12">
        <v>3792.8789334666362</v>
      </c>
      <c r="I675"/>
    </row>
    <row r="676" spans="1:9" x14ac:dyDescent="0.3">
      <c r="A676" s="7" t="s">
        <v>1</v>
      </c>
      <c r="B676" s="8" t="s">
        <v>14</v>
      </c>
      <c r="C676" s="8" t="s">
        <v>32</v>
      </c>
      <c r="D676" s="8" t="s">
        <v>12</v>
      </c>
      <c r="E676" s="8" t="s">
        <v>16</v>
      </c>
      <c r="F676" s="13">
        <v>181.14255113996478</v>
      </c>
      <c r="G676" s="12">
        <v>3909.5998948147098</v>
      </c>
      <c r="I676"/>
    </row>
    <row r="677" spans="1:9" x14ac:dyDescent="0.3">
      <c r="A677" s="7" t="s">
        <v>1</v>
      </c>
      <c r="B677" s="8" t="s">
        <v>27</v>
      </c>
      <c r="C677" s="8" t="s">
        <v>38</v>
      </c>
      <c r="D677" s="8" t="s">
        <v>4</v>
      </c>
      <c r="E677" s="8" t="s">
        <v>5</v>
      </c>
      <c r="F677" s="13">
        <v>74.066707945166854</v>
      </c>
      <c r="G677" s="12">
        <v>2151.4803947429755</v>
      </c>
      <c r="I677"/>
    </row>
    <row r="678" spans="1:9" x14ac:dyDescent="0.3">
      <c r="A678" s="7" t="s">
        <v>1</v>
      </c>
      <c r="B678" s="8" t="s">
        <v>14</v>
      </c>
      <c r="C678" s="8" t="s">
        <v>22</v>
      </c>
      <c r="D678" s="8" t="s">
        <v>7</v>
      </c>
      <c r="E678" s="8" t="s">
        <v>8</v>
      </c>
      <c r="F678" s="13">
        <v>139.79465393640567</v>
      </c>
      <c r="G678" s="12">
        <v>587.25731128015468</v>
      </c>
      <c r="I678"/>
    </row>
    <row r="679" spans="1:9" x14ac:dyDescent="0.3">
      <c r="A679" s="7" t="s">
        <v>1</v>
      </c>
      <c r="B679" s="8" t="s">
        <v>33</v>
      </c>
      <c r="C679" s="8" t="s">
        <v>35</v>
      </c>
      <c r="D679" s="8" t="s">
        <v>4</v>
      </c>
      <c r="E679" s="8" t="s">
        <v>10</v>
      </c>
      <c r="F679" s="13">
        <v>11.62682834892621</v>
      </c>
      <c r="G679" s="12">
        <v>241.52222319025896</v>
      </c>
      <c r="I679"/>
    </row>
    <row r="680" spans="1:9" x14ac:dyDescent="0.3">
      <c r="A680" s="7" t="s">
        <v>11</v>
      </c>
      <c r="B680" s="8" t="s">
        <v>27</v>
      </c>
      <c r="C680" s="8" t="s">
        <v>38</v>
      </c>
      <c r="D680" s="8" t="s">
        <v>12</v>
      </c>
      <c r="E680" s="8" t="s">
        <v>13</v>
      </c>
      <c r="F680" s="13">
        <v>281.57877136237346</v>
      </c>
      <c r="G680" s="12">
        <v>1148.5087220964954</v>
      </c>
      <c r="I680"/>
    </row>
    <row r="681" spans="1:9" x14ac:dyDescent="0.3">
      <c r="A681" s="7" t="s">
        <v>11</v>
      </c>
      <c r="B681" s="8" t="s">
        <v>2</v>
      </c>
      <c r="C681" s="8" t="s">
        <v>3</v>
      </c>
      <c r="D681" s="8" t="s">
        <v>12</v>
      </c>
      <c r="E681" s="8" t="s">
        <v>16</v>
      </c>
      <c r="F681" s="13">
        <v>218.42501332648681</v>
      </c>
      <c r="G681" s="12">
        <v>3852.1283513986655</v>
      </c>
      <c r="I681"/>
    </row>
    <row r="682" spans="1:9" x14ac:dyDescent="0.3">
      <c r="A682" s="7" t="s">
        <v>6</v>
      </c>
      <c r="B682" s="8" t="s">
        <v>33</v>
      </c>
      <c r="C682" s="8" t="s">
        <v>39</v>
      </c>
      <c r="D682" s="8" t="s">
        <v>7</v>
      </c>
      <c r="E682" s="8" t="s">
        <v>17</v>
      </c>
      <c r="F682" s="13">
        <v>391.10290614007681</v>
      </c>
      <c r="G682" s="12">
        <v>1257.717101347167</v>
      </c>
      <c r="I682"/>
    </row>
    <row r="683" spans="1:9" x14ac:dyDescent="0.3">
      <c r="A683" s="7" t="s">
        <v>6</v>
      </c>
      <c r="B683" s="8" t="s">
        <v>27</v>
      </c>
      <c r="C683" s="8" t="s">
        <v>29</v>
      </c>
      <c r="D683" s="8" t="s">
        <v>4</v>
      </c>
      <c r="E683" s="8" t="s">
        <v>5</v>
      </c>
      <c r="F683" s="13">
        <v>343.14743313661893</v>
      </c>
      <c r="G683" s="12">
        <v>3537.3353216522955</v>
      </c>
      <c r="I683"/>
    </row>
    <row r="684" spans="1:9" x14ac:dyDescent="0.3">
      <c r="A684" s="7" t="s">
        <v>6</v>
      </c>
      <c r="B684" s="8" t="s">
        <v>33</v>
      </c>
      <c r="C684" s="8" t="s">
        <v>34</v>
      </c>
      <c r="D684" s="8" t="s">
        <v>7</v>
      </c>
      <c r="E684" s="8" t="s">
        <v>8</v>
      </c>
      <c r="F684" s="13">
        <v>256.78706632934336</v>
      </c>
      <c r="G684" s="12">
        <v>1937.7522074301814</v>
      </c>
      <c r="I684"/>
    </row>
    <row r="685" spans="1:9" x14ac:dyDescent="0.3">
      <c r="A685" s="7" t="s">
        <v>6</v>
      </c>
      <c r="B685" s="8" t="s">
        <v>33</v>
      </c>
      <c r="C685" s="8" t="s">
        <v>35</v>
      </c>
      <c r="D685" s="8" t="s">
        <v>4</v>
      </c>
      <c r="E685" s="8" t="s">
        <v>10</v>
      </c>
      <c r="F685" s="13">
        <v>11.927181411010679</v>
      </c>
      <c r="G685" s="12">
        <v>351.69791667160462</v>
      </c>
      <c r="I685"/>
    </row>
    <row r="686" spans="1:9" x14ac:dyDescent="0.3">
      <c r="A686" s="7" t="s">
        <v>11</v>
      </c>
      <c r="B686" s="8" t="s">
        <v>2</v>
      </c>
      <c r="C686" s="8" t="s">
        <v>21</v>
      </c>
      <c r="D686" s="8" t="s">
        <v>4</v>
      </c>
      <c r="E686" s="8" t="s">
        <v>5</v>
      </c>
      <c r="F686" s="13">
        <v>316.91378602372424</v>
      </c>
      <c r="G686" s="12">
        <v>3897.4221867662527</v>
      </c>
      <c r="I686"/>
    </row>
    <row r="687" spans="1:9" x14ac:dyDescent="0.3">
      <c r="A687" s="7" t="s">
        <v>1</v>
      </c>
      <c r="B687" s="8" t="s">
        <v>14</v>
      </c>
      <c r="C687" s="8" t="s">
        <v>25</v>
      </c>
      <c r="D687" s="8" t="s">
        <v>7</v>
      </c>
      <c r="E687" s="8" t="s">
        <v>8</v>
      </c>
      <c r="F687" s="13">
        <v>160.82312644302874</v>
      </c>
      <c r="G687" s="12">
        <v>2186.6529721897678</v>
      </c>
      <c r="I687"/>
    </row>
    <row r="688" spans="1:9" x14ac:dyDescent="0.3">
      <c r="A688" s="7" t="s">
        <v>1</v>
      </c>
      <c r="B688" s="8" t="s">
        <v>14</v>
      </c>
      <c r="C688" s="8" t="s">
        <v>23</v>
      </c>
      <c r="D688" s="8" t="s">
        <v>4</v>
      </c>
      <c r="E688" s="8" t="s">
        <v>10</v>
      </c>
      <c r="F688" s="13">
        <v>84.353078870026366</v>
      </c>
      <c r="G688" s="12">
        <v>334.03542708383611</v>
      </c>
      <c r="I688"/>
    </row>
    <row r="689" spans="1:9" x14ac:dyDescent="0.3">
      <c r="A689" s="7" t="s">
        <v>6</v>
      </c>
      <c r="B689" s="8" t="s">
        <v>14</v>
      </c>
      <c r="C689" s="8" t="s">
        <v>25</v>
      </c>
      <c r="D689" s="8" t="s">
        <v>12</v>
      </c>
      <c r="E689" s="8" t="s">
        <v>13</v>
      </c>
      <c r="F689" s="13">
        <v>45.339926588349044</v>
      </c>
      <c r="G689" s="12">
        <v>3882.7645839566139</v>
      </c>
      <c r="I689"/>
    </row>
    <row r="690" spans="1:9" x14ac:dyDescent="0.3">
      <c r="A690" s="7" t="s">
        <v>6</v>
      </c>
      <c r="B690" s="8" t="s">
        <v>14</v>
      </c>
      <c r="C690" s="8" t="s">
        <v>32</v>
      </c>
      <c r="D690" s="8" t="s">
        <v>12</v>
      </c>
      <c r="E690" s="8" t="s">
        <v>16</v>
      </c>
      <c r="F690" s="13">
        <v>94.750781788570748</v>
      </c>
      <c r="G690" s="12">
        <v>1543.623904431226</v>
      </c>
      <c r="I690"/>
    </row>
    <row r="691" spans="1:9" x14ac:dyDescent="0.3">
      <c r="A691" s="7" t="s">
        <v>6</v>
      </c>
      <c r="B691" s="8" t="s">
        <v>27</v>
      </c>
      <c r="C691" s="8" t="s">
        <v>38</v>
      </c>
      <c r="D691" s="8" t="s">
        <v>7</v>
      </c>
      <c r="E691" s="8" t="s">
        <v>17</v>
      </c>
      <c r="F691" s="13">
        <v>135.35562945107813</v>
      </c>
      <c r="G691" s="12">
        <v>2806.3396071302213</v>
      </c>
      <c r="I691"/>
    </row>
    <row r="692" spans="1:9" x14ac:dyDescent="0.3">
      <c r="A692" s="7" t="s">
        <v>6</v>
      </c>
      <c r="B692" s="8" t="s">
        <v>14</v>
      </c>
      <c r="C692" s="8" t="s">
        <v>22</v>
      </c>
      <c r="D692" s="8" t="s">
        <v>4</v>
      </c>
      <c r="E692" s="8" t="s">
        <v>5</v>
      </c>
      <c r="F692" s="13">
        <v>197.50426788523328</v>
      </c>
      <c r="G692" s="12">
        <v>2372.4329404883665</v>
      </c>
      <c r="I692"/>
    </row>
    <row r="693" spans="1:9" x14ac:dyDescent="0.3">
      <c r="A693" s="7" t="s">
        <v>6</v>
      </c>
      <c r="B693" s="8" t="s">
        <v>33</v>
      </c>
      <c r="C693" s="8" t="s">
        <v>35</v>
      </c>
      <c r="D693" s="8" t="s">
        <v>7</v>
      </c>
      <c r="E693" s="8" t="s">
        <v>8</v>
      </c>
      <c r="F693" s="13">
        <v>186.51111428407603</v>
      </c>
      <c r="G693" s="12">
        <v>747.83122007335987</v>
      </c>
      <c r="I693"/>
    </row>
    <row r="694" spans="1:9" x14ac:dyDescent="0.3">
      <c r="A694" s="7" t="s">
        <v>1</v>
      </c>
      <c r="B694" s="8" t="s">
        <v>14</v>
      </c>
      <c r="C694" s="8" t="s">
        <v>25</v>
      </c>
      <c r="D694" s="8" t="s">
        <v>4</v>
      </c>
      <c r="E694" s="8" t="s">
        <v>10</v>
      </c>
      <c r="F694" s="13">
        <v>110.87488580506033</v>
      </c>
      <c r="G694" s="12">
        <v>2218.7137224900653</v>
      </c>
      <c r="I694"/>
    </row>
    <row r="695" spans="1:9" x14ac:dyDescent="0.3">
      <c r="A695" s="7" t="s">
        <v>1</v>
      </c>
      <c r="B695" s="8" t="s">
        <v>14</v>
      </c>
      <c r="C695" s="8" t="s">
        <v>24</v>
      </c>
      <c r="D695" s="8" t="s">
        <v>12</v>
      </c>
      <c r="E695" s="8" t="s">
        <v>13</v>
      </c>
      <c r="F695" s="13">
        <v>7.9958116253692424</v>
      </c>
      <c r="G695" s="12">
        <v>2893.8428448054765</v>
      </c>
      <c r="I695"/>
    </row>
    <row r="696" spans="1:9" x14ac:dyDescent="0.3">
      <c r="A696" s="7" t="s">
        <v>1</v>
      </c>
      <c r="B696" s="8" t="s">
        <v>14</v>
      </c>
      <c r="C696" s="8" t="s">
        <v>32</v>
      </c>
      <c r="D696" s="8" t="s">
        <v>12</v>
      </c>
      <c r="E696" s="8" t="s">
        <v>16</v>
      </c>
      <c r="F696" s="13">
        <v>108.80920726212935</v>
      </c>
      <c r="G696" s="12">
        <v>2249.8910445574438</v>
      </c>
      <c r="I696"/>
    </row>
    <row r="697" spans="1:9" x14ac:dyDescent="0.3">
      <c r="A697" s="7" t="s">
        <v>1</v>
      </c>
      <c r="B697" s="8" t="s">
        <v>33</v>
      </c>
      <c r="C697" s="8" t="s">
        <v>34</v>
      </c>
      <c r="D697" s="8" t="s">
        <v>7</v>
      </c>
      <c r="E697" s="8" t="s">
        <v>17</v>
      </c>
      <c r="F697" s="13">
        <v>139.58056144037982</v>
      </c>
      <c r="G697" s="12">
        <v>2400.4042011765705</v>
      </c>
      <c r="I697"/>
    </row>
    <row r="698" spans="1:9" x14ac:dyDescent="0.3">
      <c r="A698" s="7" t="s">
        <v>1</v>
      </c>
      <c r="B698" s="8" t="s">
        <v>14</v>
      </c>
      <c r="C698" s="8" t="s">
        <v>23</v>
      </c>
      <c r="D698" s="8" t="s">
        <v>4</v>
      </c>
      <c r="E698" s="8" t="s">
        <v>5</v>
      </c>
      <c r="F698" s="13">
        <v>154.80457994199242</v>
      </c>
      <c r="G698" s="12">
        <v>955.82949506206205</v>
      </c>
      <c r="I698"/>
    </row>
    <row r="699" spans="1:9" x14ac:dyDescent="0.3">
      <c r="A699" s="7" t="s">
        <v>1</v>
      </c>
      <c r="B699" s="8" t="s">
        <v>14</v>
      </c>
      <c r="C699" s="8" t="s">
        <v>36</v>
      </c>
      <c r="D699" s="8" t="s">
        <v>7</v>
      </c>
      <c r="E699" s="8" t="s">
        <v>8</v>
      </c>
      <c r="F699" s="13">
        <v>32.125723102763004</v>
      </c>
      <c r="G699" s="12">
        <v>2411.6234459252155</v>
      </c>
      <c r="I699"/>
    </row>
    <row r="700" spans="1:9" x14ac:dyDescent="0.3">
      <c r="A700" s="7" t="s">
        <v>1</v>
      </c>
      <c r="B700" s="8" t="s">
        <v>14</v>
      </c>
      <c r="C700" s="8" t="s">
        <v>22</v>
      </c>
      <c r="D700" s="8" t="s">
        <v>4</v>
      </c>
      <c r="E700" s="8" t="s">
        <v>10</v>
      </c>
      <c r="F700" s="13">
        <v>109.78988623683108</v>
      </c>
      <c r="G700" s="12">
        <v>3618.5590357054025</v>
      </c>
      <c r="I700"/>
    </row>
    <row r="701" spans="1:9" x14ac:dyDescent="0.3">
      <c r="A701" s="7" t="s">
        <v>9</v>
      </c>
      <c r="B701" s="8" t="s">
        <v>33</v>
      </c>
      <c r="C701" s="8" t="s">
        <v>39</v>
      </c>
      <c r="D701" s="8" t="s">
        <v>4</v>
      </c>
      <c r="E701" s="8" t="s">
        <v>5</v>
      </c>
      <c r="F701" s="13">
        <v>325.4103430062969</v>
      </c>
      <c r="G701" s="12">
        <v>2669.804699686847</v>
      </c>
      <c r="I701"/>
    </row>
    <row r="702" spans="1:9" x14ac:dyDescent="0.3">
      <c r="A702" s="7" t="s">
        <v>9</v>
      </c>
      <c r="B702" s="8" t="s">
        <v>27</v>
      </c>
      <c r="C702" s="8" t="s">
        <v>29</v>
      </c>
      <c r="D702" s="8" t="s">
        <v>7</v>
      </c>
      <c r="E702" s="8" t="s">
        <v>8</v>
      </c>
      <c r="F702" s="13">
        <v>88.268043142306851</v>
      </c>
      <c r="G702" s="12">
        <v>2686.1050699322959</v>
      </c>
      <c r="I702"/>
    </row>
    <row r="703" spans="1:9" x14ac:dyDescent="0.3">
      <c r="A703" s="7" t="s">
        <v>9</v>
      </c>
      <c r="B703" s="8" t="s">
        <v>33</v>
      </c>
      <c r="C703" s="8" t="s">
        <v>34</v>
      </c>
      <c r="D703" s="8" t="s">
        <v>4</v>
      </c>
      <c r="E703" s="8" t="s">
        <v>10</v>
      </c>
      <c r="F703" s="13">
        <v>103.07365946246136</v>
      </c>
      <c r="G703" s="12">
        <v>1048.9750397392072</v>
      </c>
      <c r="I703"/>
    </row>
    <row r="704" spans="1:9" x14ac:dyDescent="0.3">
      <c r="A704" s="7" t="s">
        <v>9</v>
      </c>
      <c r="B704" s="8" t="s">
        <v>33</v>
      </c>
      <c r="C704" s="8" t="s">
        <v>35</v>
      </c>
      <c r="D704" s="8" t="s">
        <v>12</v>
      </c>
      <c r="E704" s="8" t="s">
        <v>13</v>
      </c>
      <c r="F704" s="13">
        <v>9.8423297618865035</v>
      </c>
      <c r="G704" s="12">
        <v>1197.500660252058</v>
      </c>
      <c r="I704"/>
    </row>
    <row r="705" spans="1:9" x14ac:dyDescent="0.3">
      <c r="A705" s="7" t="s">
        <v>6</v>
      </c>
      <c r="B705" s="8" t="s">
        <v>14</v>
      </c>
      <c r="C705" s="8" t="s">
        <v>25</v>
      </c>
      <c r="D705" s="8" t="s">
        <v>4</v>
      </c>
      <c r="E705" s="8" t="s">
        <v>5</v>
      </c>
      <c r="F705" s="13">
        <v>41.410792265378404</v>
      </c>
      <c r="G705" s="12">
        <v>3071.3852429375838</v>
      </c>
      <c r="I705"/>
    </row>
    <row r="706" spans="1:9" x14ac:dyDescent="0.3">
      <c r="A706" s="7" t="s">
        <v>6</v>
      </c>
      <c r="B706" s="8" t="s">
        <v>14</v>
      </c>
      <c r="C706" s="8" t="s">
        <v>23</v>
      </c>
      <c r="D706" s="8" t="s">
        <v>7</v>
      </c>
      <c r="E706" s="8" t="s">
        <v>8</v>
      </c>
      <c r="F706" s="13">
        <v>85.082663056618912</v>
      </c>
      <c r="G706" s="12">
        <v>1980.8808325402151</v>
      </c>
      <c r="I706"/>
    </row>
    <row r="707" spans="1:9" x14ac:dyDescent="0.3">
      <c r="A707" s="7" t="s">
        <v>9</v>
      </c>
      <c r="B707" s="8" t="s">
        <v>14</v>
      </c>
      <c r="C707" s="8" t="s">
        <v>25</v>
      </c>
      <c r="D707" s="8" t="s">
        <v>4</v>
      </c>
      <c r="E707" s="8" t="s">
        <v>10</v>
      </c>
      <c r="F707" s="13">
        <v>128.84334018635855</v>
      </c>
      <c r="G707" s="12">
        <v>2374.5133031118621</v>
      </c>
      <c r="I707"/>
    </row>
    <row r="708" spans="1:9" x14ac:dyDescent="0.3">
      <c r="A708" s="7" t="s">
        <v>9</v>
      </c>
      <c r="B708" s="8" t="s">
        <v>14</v>
      </c>
      <c r="C708" s="8" t="s">
        <v>32</v>
      </c>
      <c r="D708" s="8" t="s">
        <v>12</v>
      </c>
      <c r="E708" s="8" t="s">
        <v>13</v>
      </c>
      <c r="F708" s="13">
        <v>85.400357814251038</v>
      </c>
      <c r="G708" s="12">
        <v>219.56494401860709</v>
      </c>
      <c r="I708"/>
    </row>
    <row r="709" spans="1:9" x14ac:dyDescent="0.3">
      <c r="A709" s="7" t="s">
        <v>9</v>
      </c>
      <c r="B709" s="8" t="s">
        <v>27</v>
      </c>
      <c r="C709" s="8" t="s">
        <v>38</v>
      </c>
      <c r="D709" s="8" t="s">
        <v>12</v>
      </c>
      <c r="E709" s="8" t="s">
        <v>16</v>
      </c>
      <c r="F709" s="13">
        <v>162.97805008725845</v>
      </c>
      <c r="G709" s="12">
        <v>2584.4899549482616</v>
      </c>
      <c r="I709"/>
    </row>
    <row r="710" spans="1:9" x14ac:dyDescent="0.3">
      <c r="A710" s="7" t="s">
        <v>9</v>
      </c>
      <c r="B710" s="8" t="s">
        <v>14</v>
      </c>
      <c r="C710" s="8" t="s">
        <v>22</v>
      </c>
      <c r="D710" s="8" t="s">
        <v>4</v>
      </c>
      <c r="E710" s="8" t="s">
        <v>5</v>
      </c>
      <c r="F710" s="13">
        <v>115.26111955299712</v>
      </c>
      <c r="G710" s="12">
        <v>1587.2964520165406</v>
      </c>
      <c r="I710"/>
    </row>
    <row r="711" spans="1:9" x14ac:dyDescent="0.3">
      <c r="A711" s="7" t="s">
        <v>9</v>
      </c>
      <c r="B711" s="8" t="s">
        <v>33</v>
      </c>
      <c r="C711" s="8" t="s">
        <v>35</v>
      </c>
      <c r="D711" s="8" t="s">
        <v>7</v>
      </c>
      <c r="E711" s="8" t="s">
        <v>8</v>
      </c>
      <c r="F711" s="13">
        <v>80.069734048083774</v>
      </c>
      <c r="G711" s="12">
        <v>2675.611827170188</v>
      </c>
      <c r="I711"/>
    </row>
    <row r="712" spans="1:9" x14ac:dyDescent="0.3">
      <c r="A712" s="7" t="s">
        <v>6</v>
      </c>
      <c r="B712" s="8" t="s">
        <v>14</v>
      </c>
      <c r="C712" s="8" t="s">
        <v>25</v>
      </c>
      <c r="D712" s="8" t="s">
        <v>4</v>
      </c>
      <c r="E712" s="8" t="s">
        <v>10</v>
      </c>
      <c r="F712" s="13">
        <v>68.562618921168905</v>
      </c>
      <c r="G712" s="12">
        <v>926.21062611571688</v>
      </c>
      <c r="I712"/>
    </row>
    <row r="713" spans="1:9" x14ac:dyDescent="0.3">
      <c r="A713" s="7" t="s">
        <v>6</v>
      </c>
      <c r="B713" s="8" t="s">
        <v>14</v>
      </c>
      <c r="C713" s="8" t="s">
        <v>24</v>
      </c>
      <c r="D713" s="8" t="s">
        <v>12</v>
      </c>
      <c r="E713" s="8" t="s">
        <v>13</v>
      </c>
      <c r="F713" s="13">
        <v>156.46995209244778</v>
      </c>
      <c r="G713" s="12">
        <v>2654.0056116829146</v>
      </c>
      <c r="I713"/>
    </row>
    <row r="714" spans="1:9" x14ac:dyDescent="0.3">
      <c r="A714" s="7" t="s">
        <v>6</v>
      </c>
      <c r="B714" s="8" t="s">
        <v>14</v>
      </c>
      <c r="C714" s="8" t="s">
        <v>32</v>
      </c>
      <c r="D714" s="8" t="s">
        <v>12</v>
      </c>
      <c r="E714" s="8" t="s">
        <v>16</v>
      </c>
      <c r="F714" s="13">
        <v>124.41934929720446</v>
      </c>
      <c r="G714" s="12">
        <v>2939.0588308921724</v>
      </c>
      <c r="I714"/>
    </row>
    <row r="715" spans="1:9" x14ac:dyDescent="0.3">
      <c r="A715" s="7" t="s">
        <v>6</v>
      </c>
      <c r="B715" s="8" t="s">
        <v>33</v>
      </c>
      <c r="C715" s="8" t="s">
        <v>34</v>
      </c>
      <c r="D715" s="8" t="s">
        <v>4</v>
      </c>
      <c r="E715" s="8" t="s">
        <v>5</v>
      </c>
      <c r="F715" s="13">
        <v>66.601993822405348</v>
      </c>
      <c r="G715" s="12">
        <v>3183.5452373654698</v>
      </c>
      <c r="I715"/>
    </row>
    <row r="716" spans="1:9" x14ac:dyDescent="0.3">
      <c r="A716" s="7" t="s">
        <v>6</v>
      </c>
      <c r="B716" s="8" t="s">
        <v>14</v>
      </c>
      <c r="C716" s="8" t="s">
        <v>23</v>
      </c>
      <c r="D716" s="8" t="s">
        <v>7</v>
      </c>
      <c r="E716" s="8" t="s">
        <v>8</v>
      </c>
      <c r="F716" s="13">
        <v>164.60216778941685</v>
      </c>
      <c r="G716" s="12">
        <v>41.793992675120535</v>
      </c>
      <c r="I716"/>
    </row>
    <row r="717" spans="1:9" x14ac:dyDescent="0.3">
      <c r="A717" s="7" t="s">
        <v>6</v>
      </c>
      <c r="B717" s="8" t="s">
        <v>14</v>
      </c>
      <c r="C717" s="8" t="s">
        <v>36</v>
      </c>
      <c r="D717" s="8" t="s">
        <v>4</v>
      </c>
      <c r="E717" s="8" t="s">
        <v>10</v>
      </c>
      <c r="F717" s="13">
        <v>124.61975981332216</v>
      </c>
      <c r="G717" s="12">
        <v>2105.1191856108926</v>
      </c>
      <c r="I717"/>
    </row>
    <row r="718" spans="1:9" x14ac:dyDescent="0.3">
      <c r="A718" s="7" t="s">
        <v>6</v>
      </c>
      <c r="B718" s="8" t="s">
        <v>14</v>
      </c>
      <c r="C718" s="8" t="s">
        <v>22</v>
      </c>
      <c r="D718" s="8" t="s">
        <v>12</v>
      </c>
      <c r="E718" s="8" t="s">
        <v>13</v>
      </c>
      <c r="F718" s="13">
        <v>110.40678319441213</v>
      </c>
      <c r="G718" s="12">
        <v>2968.6673153377706</v>
      </c>
      <c r="I718"/>
    </row>
    <row r="719" spans="1:9" x14ac:dyDescent="0.3">
      <c r="A719" s="7" t="s">
        <v>11</v>
      </c>
      <c r="B719" s="8" t="s">
        <v>33</v>
      </c>
      <c r="C719" s="8" t="s">
        <v>39</v>
      </c>
      <c r="D719" s="8" t="s">
        <v>12</v>
      </c>
      <c r="E719" s="8" t="s">
        <v>16</v>
      </c>
      <c r="F719" s="13">
        <v>308.65619893775147</v>
      </c>
      <c r="G719" s="12">
        <v>2155.3516063451789</v>
      </c>
      <c r="I719"/>
    </row>
    <row r="720" spans="1:9" x14ac:dyDescent="0.3">
      <c r="A720" s="7" t="s">
        <v>11</v>
      </c>
      <c r="B720" s="8" t="s">
        <v>27</v>
      </c>
      <c r="C720" s="8" t="s">
        <v>29</v>
      </c>
      <c r="D720" s="8" t="s">
        <v>7</v>
      </c>
      <c r="E720" s="8" t="s">
        <v>17</v>
      </c>
      <c r="F720" s="13">
        <v>229.29897956055356</v>
      </c>
      <c r="G720" s="12">
        <v>1077.8042096537092</v>
      </c>
      <c r="I720"/>
    </row>
    <row r="721" spans="1:9" x14ac:dyDescent="0.3">
      <c r="A721" s="7" t="s">
        <v>11</v>
      </c>
      <c r="B721" s="8" t="s">
        <v>33</v>
      </c>
      <c r="C721" s="8" t="s">
        <v>34</v>
      </c>
      <c r="D721" s="8" t="s">
        <v>4</v>
      </c>
      <c r="E721" s="8" t="s">
        <v>5</v>
      </c>
      <c r="F721" s="13">
        <v>136.87056951421255</v>
      </c>
      <c r="G721" s="12">
        <v>2410.9151939336061</v>
      </c>
      <c r="I721"/>
    </row>
    <row r="722" spans="1:9" x14ac:dyDescent="0.3">
      <c r="A722" s="7" t="s">
        <v>11</v>
      </c>
      <c r="B722" s="8" t="s">
        <v>33</v>
      </c>
      <c r="C722" s="8" t="s">
        <v>35</v>
      </c>
      <c r="D722" s="8" t="s">
        <v>7</v>
      </c>
      <c r="E722" s="8" t="s">
        <v>8</v>
      </c>
      <c r="F722" s="13">
        <v>399.41978748174733</v>
      </c>
      <c r="G722" s="12">
        <v>1762.3874272902913</v>
      </c>
      <c r="I722"/>
    </row>
    <row r="723" spans="1:9" x14ac:dyDescent="0.3">
      <c r="A723" s="7" t="s">
        <v>9</v>
      </c>
      <c r="B723" s="8" t="s">
        <v>14</v>
      </c>
      <c r="C723" s="8" t="s">
        <v>25</v>
      </c>
      <c r="D723" s="8" t="s">
        <v>4</v>
      </c>
      <c r="E723" s="8" t="s">
        <v>10</v>
      </c>
      <c r="F723" s="13">
        <v>209.55170796542006</v>
      </c>
      <c r="G723" s="12">
        <v>1964.06746039266</v>
      </c>
      <c r="I723"/>
    </row>
    <row r="724" spans="1:9" x14ac:dyDescent="0.3">
      <c r="A724" s="7" t="s">
        <v>9</v>
      </c>
      <c r="B724" s="8" t="s">
        <v>14</v>
      </c>
      <c r="C724" s="8" t="s">
        <v>23</v>
      </c>
      <c r="D724" s="8" t="s">
        <v>4</v>
      </c>
      <c r="E724" s="8" t="s">
        <v>5</v>
      </c>
      <c r="F724" s="13">
        <v>3.0469892182736658</v>
      </c>
      <c r="G724" s="12">
        <v>842.28779012581981</v>
      </c>
      <c r="I724"/>
    </row>
    <row r="725" spans="1:9" x14ac:dyDescent="0.3">
      <c r="A725" s="7" t="s">
        <v>11</v>
      </c>
      <c r="B725" s="8" t="s">
        <v>14</v>
      </c>
      <c r="C725" s="8" t="s">
        <v>25</v>
      </c>
      <c r="D725" s="8" t="s">
        <v>7</v>
      </c>
      <c r="E725" s="8" t="s">
        <v>8</v>
      </c>
      <c r="F725" s="13">
        <v>140.32540253010666</v>
      </c>
      <c r="G725" s="12">
        <v>327.5020246097738</v>
      </c>
      <c r="I725"/>
    </row>
    <row r="726" spans="1:9" x14ac:dyDescent="0.3">
      <c r="A726" s="7" t="s">
        <v>11</v>
      </c>
      <c r="B726" s="8" t="s">
        <v>14</v>
      </c>
      <c r="C726" s="8" t="s">
        <v>32</v>
      </c>
      <c r="D726" s="8" t="s">
        <v>4</v>
      </c>
      <c r="E726" s="8" t="s">
        <v>10</v>
      </c>
      <c r="F726" s="13">
        <v>57.40992086539336</v>
      </c>
      <c r="G726" s="12">
        <v>2591.7409788056557</v>
      </c>
      <c r="I726"/>
    </row>
    <row r="727" spans="1:9" x14ac:dyDescent="0.3">
      <c r="A727" s="7" t="s">
        <v>11</v>
      </c>
      <c r="B727" s="8" t="s">
        <v>27</v>
      </c>
      <c r="C727" s="8" t="s">
        <v>38</v>
      </c>
      <c r="D727" s="8" t="s">
        <v>12</v>
      </c>
      <c r="E727" s="8" t="s">
        <v>13</v>
      </c>
      <c r="F727" s="13">
        <v>80.742429605197685</v>
      </c>
      <c r="G727" s="12">
        <v>238.73463781385362</v>
      </c>
      <c r="I727"/>
    </row>
    <row r="728" spans="1:9" x14ac:dyDescent="0.3">
      <c r="A728" s="7" t="s">
        <v>11</v>
      </c>
      <c r="B728" s="8" t="s">
        <v>14</v>
      </c>
      <c r="C728" s="8" t="s">
        <v>22</v>
      </c>
      <c r="D728" s="8" t="s">
        <v>12</v>
      </c>
      <c r="E728" s="8" t="s">
        <v>16</v>
      </c>
      <c r="F728" s="13">
        <v>176.25414167196141</v>
      </c>
      <c r="G728" s="12">
        <v>1586.2386469818648</v>
      </c>
      <c r="I728"/>
    </row>
    <row r="729" spans="1:9" x14ac:dyDescent="0.3">
      <c r="A729" s="7" t="s">
        <v>11</v>
      </c>
      <c r="B729" s="8" t="s">
        <v>33</v>
      </c>
      <c r="C729" s="8" t="s">
        <v>35</v>
      </c>
      <c r="D729" s="8" t="s">
        <v>7</v>
      </c>
      <c r="E729" s="8" t="s">
        <v>17</v>
      </c>
      <c r="F729" s="13">
        <v>43.56859155359416</v>
      </c>
      <c r="G729" s="12">
        <v>1342.007858019595</v>
      </c>
      <c r="I729"/>
    </row>
    <row r="730" spans="1:9" x14ac:dyDescent="0.3">
      <c r="A730" s="7" t="s">
        <v>9</v>
      </c>
      <c r="B730" s="8" t="s">
        <v>14</v>
      </c>
      <c r="C730" s="8" t="s">
        <v>25</v>
      </c>
      <c r="D730" s="8" t="s">
        <v>4</v>
      </c>
      <c r="E730" s="8" t="s">
        <v>5</v>
      </c>
      <c r="F730" s="13">
        <v>42.368506480124779</v>
      </c>
      <c r="G730" s="12">
        <v>2452.7215717105282</v>
      </c>
      <c r="I730"/>
    </row>
    <row r="731" spans="1:9" x14ac:dyDescent="0.3">
      <c r="A731" s="7" t="s">
        <v>9</v>
      </c>
      <c r="B731" s="8" t="s">
        <v>14</v>
      </c>
      <c r="C731" s="8" t="s">
        <v>24</v>
      </c>
      <c r="D731" s="8" t="s">
        <v>7</v>
      </c>
      <c r="E731" s="8" t="s">
        <v>8</v>
      </c>
      <c r="F731" s="13">
        <v>122.76421236219903</v>
      </c>
      <c r="G731" s="12">
        <v>3104.1295555526158</v>
      </c>
      <c r="I731"/>
    </row>
    <row r="732" spans="1:9" x14ac:dyDescent="0.3">
      <c r="A732" s="7" t="s">
        <v>9</v>
      </c>
      <c r="B732" s="8" t="s">
        <v>14</v>
      </c>
      <c r="C732" s="8" t="s">
        <v>32</v>
      </c>
      <c r="D732" s="8" t="s">
        <v>4</v>
      </c>
      <c r="E732" s="8" t="s">
        <v>10</v>
      </c>
      <c r="F732" s="13">
        <v>183.13085086010688</v>
      </c>
      <c r="G732" s="12">
        <v>1029.7327577402611</v>
      </c>
      <c r="I732"/>
    </row>
    <row r="733" spans="1:9" x14ac:dyDescent="0.3">
      <c r="A733" s="7" t="s">
        <v>9</v>
      </c>
      <c r="B733" s="8" t="s">
        <v>33</v>
      </c>
      <c r="C733" s="8" t="s">
        <v>34</v>
      </c>
      <c r="D733" s="8" t="s">
        <v>12</v>
      </c>
      <c r="E733" s="8" t="s">
        <v>13</v>
      </c>
      <c r="F733" s="13">
        <v>138.60417117921315</v>
      </c>
      <c r="G733" s="12">
        <v>878.94434543742682</v>
      </c>
      <c r="I733"/>
    </row>
    <row r="734" spans="1:9" x14ac:dyDescent="0.3">
      <c r="A734" s="7" t="s">
        <v>9</v>
      </c>
      <c r="B734" s="8" t="s">
        <v>14</v>
      </c>
      <c r="C734" s="8" t="s">
        <v>23</v>
      </c>
      <c r="D734" s="8" t="s">
        <v>12</v>
      </c>
      <c r="E734" s="8" t="s">
        <v>16</v>
      </c>
      <c r="F734" s="13">
        <v>35.683179045008728</v>
      </c>
      <c r="G734" s="12">
        <v>2828.3265348135938</v>
      </c>
      <c r="I734"/>
    </row>
    <row r="735" spans="1:9" x14ac:dyDescent="0.3">
      <c r="A735" s="7" t="s">
        <v>9</v>
      </c>
      <c r="B735" s="8" t="s">
        <v>14</v>
      </c>
      <c r="C735" s="8" t="s">
        <v>36</v>
      </c>
      <c r="D735" s="8" t="s">
        <v>7</v>
      </c>
      <c r="E735" s="8" t="s">
        <v>17</v>
      </c>
      <c r="F735" s="13">
        <v>2.0555408264044672E-2</v>
      </c>
      <c r="G735" s="12">
        <v>2756.568299192164</v>
      </c>
      <c r="I735"/>
    </row>
    <row r="736" spans="1:9" x14ac:dyDescent="0.3">
      <c r="A736" s="7" t="s">
        <v>9</v>
      </c>
      <c r="B736" s="8" t="s">
        <v>14</v>
      </c>
      <c r="C736" s="8" t="s">
        <v>22</v>
      </c>
      <c r="D736" s="8" t="s">
        <v>4</v>
      </c>
      <c r="E736" s="8" t="s">
        <v>5</v>
      </c>
      <c r="F736" s="13">
        <v>48.758178794196283</v>
      </c>
      <c r="G736" s="12">
        <v>947.25877471425338</v>
      </c>
      <c r="I736"/>
    </row>
    <row r="737" spans="1:9" x14ac:dyDescent="0.3">
      <c r="A737" s="7" t="s">
        <v>1</v>
      </c>
      <c r="B737" s="8" t="s">
        <v>2</v>
      </c>
      <c r="C737" s="8" t="s">
        <v>3</v>
      </c>
      <c r="D737" s="8" t="s">
        <v>7</v>
      </c>
      <c r="E737" s="8" t="s">
        <v>8</v>
      </c>
      <c r="F737" s="13">
        <v>87.016623604176857</v>
      </c>
      <c r="G737" s="12">
        <v>530.65479530196171</v>
      </c>
      <c r="I737"/>
    </row>
    <row r="738" spans="1:9" x14ac:dyDescent="0.3">
      <c r="A738" s="7" t="s">
        <v>1</v>
      </c>
      <c r="B738" s="8" t="s">
        <v>27</v>
      </c>
      <c r="C738" s="8" t="s">
        <v>29</v>
      </c>
      <c r="D738" s="8" t="s">
        <v>4</v>
      </c>
      <c r="E738" s="8" t="s">
        <v>10</v>
      </c>
      <c r="F738" s="13">
        <v>69.352992108636613</v>
      </c>
      <c r="G738" s="12">
        <v>2256.9916137028486</v>
      </c>
      <c r="I738"/>
    </row>
    <row r="739" spans="1:9" x14ac:dyDescent="0.3">
      <c r="A739" s="7" t="s">
        <v>1</v>
      </c>
      <c r="B739" s="8" t="s">
        <v>2</v>
      </c>
      <c r="C739" s="8" t="s">
        <v>26</v>
      </c>
      <c r="D739" s="8" t="s">
        <v>4</v>
      </c>
      <c r="E739" s="8" t="s">
        <v>5</v>
      </c>
      <c r="F739" s="13">
        <v>94.384948752122</v>
      </c>
      <c r="G739" s="12">
        <v>259.98447878228035</v>
      </c>
      <c r="I739"/>
    </row>
    <row r="740" spans="1:9" x14ac:dyDescent="0.3">
      <c r="A740" s="7" t="s">
        <v>1</v>
      </c>
      <c r="B740" s="8" t="s">
        <v>33</v>
      </c>
      <c r="C740" s="8" t="s">
        <v>34</v>
      </c>
      <c r="D740" s="8" t="s">
        <v>7</v>
      </c>
      <c r="E740" s="8" t="s">
        <v>8</v>
      </c>
      <c r="F740" s="13">
        <v>99.468429526586988</v>
      </c>
      <c r="G740" s="12">
        <v>2011.4079461724032</v>
      </c>
      <c r="I740"/>
    </row>
    <row r="741" spans="1:9" x14ac:dyDescent="0.3">
      <c r="A741" s="7" t="s">
        <v>1</v>
      </c>
      <c r="B741" s="8" t="s">
        <v>2</v>
      </c>
      <c r="C741" s="8" t="s">
        <v>31</v>
      </c>
      <c r="D741" s="8" t="s">
        <v>4</v>
      </c>
      <c r="E741" s="8" t="s">
        <v>10</v>
      </c>
      <c r="F741" s="13">
        <v>42.494168012672162</v>
      </c>
      <c r="G741" s="12">
        <v>557.42342622543219</v>
      </c>
      <c r="I741"/>
    </row>
    <row r="742" spans="1:9" x14ac:dyDescent="0.3">
      <c r="A742" s="7" t="s">
        <v>1</v>
      </c>
      <c r="B742" s="8" t="s">
        <v>33</v>
      </c>
      <c r="C742" s="8" t="s">
        <v>35</v>
      </c>
      <c r="D742" s="8" t="s">
        <v>12</v>
      </c>
      <c r="E742" s="8" t="s">
        <v>13</v>
      </c>
      <c r="F742" s="13">
        <v>6.9982578736016876</v>
      </c>
      <c r="G742" s="12">
        <v>793.99494199315086</v>
      </c>
      <c r="I742"/>
    </row>
    <row r="743" spans="1:9" x14ac:dyDescent="0.3">
      <c r="A743" s="7" t="s">
        <v>11</v>
      </c>
      <c r="B743" s="8" t="s">
        <v>14</v>
      </c>
      <c r="C743" s="8" t="s">
        <v>25</v>
      </c>
      <c r="D743" s="8" t="s">
        <v>4</v>
      </c>
      <c r="E743" s="8" t="s">
        <v>5</v>
      </c>
      <c r="F743" s="13">
        <v>15.963490293324867</v>
      </c>
      <c r="G743" s="12">
        <v>2788.0401460172243</v>
      </c>
      <c r="I743"/>
    </row>
    <row r="744" spans="1:9" x14ac:dyDescent="0.3">
      <c r="A744" s="7" t="s">
        <v>11</v>
      </c>
      <c r="B744" s="8" t="s">
        <v>14</v>
      </c>
      <c r="C744" s="8" t="s">
        <v>23</v>
      </c>
      <c r="D744" s="8" t="s">
        <v>7</v>
      </c>
      <c r="E744" s="8" t="s">
        <v>8</v>
      </c>
      <c r="F744" s="13">
        <v>166.81453886767486</v>
      </c>
      <c r="G744" s="12">
        <v>1538.4986034447411</v>
      </c>
      <c r="I744"/>
    </row>
    <row r="745" spans="1:9" x14ac:dyDescent="0.3">
      <c r="A745" s="7" t="s">
        <v>11</v>
      </c>
      <c r="B745" s="8" t="s">
        <v>14</v>
      </c>
      <c r="C745" s="8" t="s">
        <v>25</v>
      </c>
      <c r="D745" s="8" t="s">
        <v>4</v>
      </c>
      <c r="E745" s="8" t="s">
        <v>10</v>
      </c>
      <c r="F745" s="13">
        <v>173.463543564867</v>
      </c>
      <c r="G745" s="12">
        <v>2242.8070288629588</v>
      </c>
      <c r="I745"/>
    </row>
    <row r="746" spans="1:9" x14ac:dyDescent="0.3">
      <c r="A746" s="7" t="s">
        <v>11</v>
      </c>
      <c r="B746" s="8" t="s">
        <v>14</v>
      </c>
      <c r="C746" s="8" t="s">
        <v>24</v>
      </c>
      <c r="D746" s="8" t="s">
        <v>12</v>
      </c>
      <c r="E746" s="8" t="s">
        <v>13</v>
      </c>
      <c r="F746" s="13">
        <v>83.797686284924566</v>
      </c>
      <c r="G746" s="12">
        <v>2444.4567092619982</v>
      </c>
      <c r="I746"/>
    </row>
    <row r="747" spans="1:9" x14ac:dyDescent="0.3">
      <c r="A747" s="7" t="s">
        <v>11</v>
      </c>
      <c r="B747" s="8" t="s">
        <v>14</v>
      </c>
      <c r="C747" s="8" t="s">
        <v>32</v>
      </c>
      <c r="D747" s="8" t="s">
        <v>12</v>
      </c>
      <c r="E747" s="8" t="s">
        <v>16</v>
      </c>
      <c r="F747" s="13">
        <v>112.34154069243232</v>
      </c>
      <c r="G747" s="12">
        <v>1186.2838281946333</v>
      </c>
      <c r="I747"/>
    </row>
    <row r="748" spans="1:9" x14ac:dyDescent="0.3">
      <c r="A748" s="7" t="s">
        <v>11</v>
      </c>
      <c r="B748" s="8" t="s">
        <v>33</v>
      </c>
      <c r="C748" s="8" t="s">
        <v>34</v>
      </c>
      <c r="D748" s="8" t="s">
        <v>4</v>
      </c>
      <c r="E748" s="8" t="s">
        <v>5</v>
      </c>
      <c r="F748" s="13">
        <v>179.86523042982299</v>
      </c>
      <c r="G748" s="12">
        <v>1047.265364145318</v>
      </c>
      <c r="I748"/>
    </row>
    <row r="749" spans="1:9" x14ac:dyDescent="0.3">
      <c r="A749" s="7" t="s">
        <v>11</v>
      </c>
      <c r="B749" s="8" t="s">
        <v>14</v>
      </c>
      <c r="C749" s="8" t="s">
        <v>23</v>
      </c>
      <c r="D749" s="8" t="s">
        <v>7</v>
      </c>
      <c r="E749" s="8" t="s">
        <v>8</v>
      </c>
      <c r="F749" s="13">
        <v>128.73092592380999</v>
      </c>
      <c r="G749" s="12">
        <v>971.9303480361832</v>
      </c>
      <c r="I749"/>
    </row>
    <row r="750" spans="1:9" x14ac:dyDescent="0.3">
      <c r="A750" s="7" t="s">
        <v>11</v>
      </c>
      <c r="B750" s="8" t="s">
        <v>14</v>
      </c>
      <c r="C750" s="8" t="s">
        <v>36</v>
      </c>
      <c r="D750" s="8" t="s">
        <v>4</v>
      </c>
      <c r="E750" s="8" t="s">
        <v>10</v>
      </c>
      <c r="F750" s="13">
        <v>10.84172213995771</v>
      </c>
      <c r="G750" s="12">
        <v>2467.156979962987</v>
      </c>
      <c r="I750"/>
    </row>
    <row r="751" spans="1:9" x14ac:dyDescent="0.3">
      <c r="A751" s="7" t="s">
        <v>11</v>
      </c>
      <c r="B751" s="8" t="s">
        <v>14</v>
      </c>
      <c r="C751" s="8" t="s">
        <v>22</v>
      </c>
      <c r="D751" s="8" t="s">
        <v>12</v>
      </c>
      <c r="E751" s="8" t="s">
        <v>13</v>
      </c>
      <c r="F751" s="13">
        <v>6.2403948355495231</v>
      </c>
      <c r="G751" s="12">
        <v>639.44280400758726</v>
      </c>
      <c r="I751"/>
    </row>
    <row r="752" spans="1:9" x14ac:dyDescent="0.3">
      <c r="A752" s="7" t="s">
        <v>6</v>
      </c>
      <c r="B752" s="8" t="s">
        <v>2</v>
      </c>
      <c r="C752" s="8" t="s">
        <v>3</v>
      </c>
      <c r="D752" s="8" t="s">
        <v>12</v>
      </c>
      <c r="E752" s="8" t="s">
        <v>16</v>
      </c>
      <c r="F752" s="13">
        <v>0.28333769923847285</v>
      </c>
      <c r="G752" s="12">
        <v>800.15981467164238</v>
      </c>
      <c r="I752"/>
    </row>
    <row r="753" spans="1:9" x14ac:dyDescent="0.3">
      <c r="A753" s="7" t="s">
        <v>6</v>
      </c>
      <c r="B753" s="8" t="s">
        <v>27</v>
      </c>
      <c r="C753" s="8" t="s">
        <v>29</v>
      </c>
      <c r="D753" s="8" t="s">
        <v>4</v>
      </c>
      <c r="E753" s="8" t="s">
        <v>5</v>
      </c>
      <c r="F753" s="13">
        <v>37.4793485058035</v>
      </c>
      <c r="G753" s="12">
        <v>600.90925166237867</v>
      </c>
      <c r="I753"/>
    </row>
    <row r="754" spans="1:9" x14ac:dyDescent="0.3">
      <c r="A754" s="7" t="s">
        <v>6</v>
      </c>
      <c r="B754" s="8" t="s">
        <v>2</v>
      </c>
      <c r="C754" s="8" t="s">
        <v>26</v>
      </c>
      <c r="D754" s="8" t="s">
        <v>7</v>
      </c>
      <c r="E754" s="8" t="s">
        <v>8</v>
      </c>
      <c r="F754" s="13">
        <v>70.7295899984274</v>
      </c>
      <c r="G754" s="12">
        <v>1804.87724891791</v>
      </c>
      <c r="I754"/>
    </row>
    <row r="755" spans="1:9" x14ac:dyDescent="0.3">
      <c r="A755" s="7" t="s">
        <v>6</v>
      </c>
      <c r="B755" s="8" t="s">
        <v>33</v>
      </c>
      <c r="C755" s="8" t="s">
        <v>34</v>
      </c>
      <c r="D755" s="8" t="s">
        <v>4</v>
      </c>
      <c r="E755" s="8" t="s">
        <v>10</v>
      </c>
      <c r="F755" s="13">
        <v>53.606110538930807</v>
      </c>
      <c r="G755" s="12">
        <v>2205.4904942734865</v>
      </c>
      <c r="I755"/>
    </row>
    <row r="756" spans="1:9" x14ac:dyDescent="0.3">
      <c r="A756" s="7" t="s">
        <v>6</v>
      </c>
      <c r="B756" s="8" t="s">
        <v>2</v>
      </c>
      <c r="C756" s="8" t="s">
        <v>31</v>
      </c>
      <c r="D756" s="8" t="s">
        <v>12</v>
      </c>
      <c r="E756" s="8" t="s">
        <v>13</v>
      </c>
      <c r="F756" s="13">
        <v>11.440953940655163</v>
      </c>
      <c r="G756" s="12">
        <v>551.01703123646439</v>
      </c>
      <c r="I756"/>
    </row>
    <row r="757" spans="1:9" x14ac:dyDescent="0.3">
      <c r="A757" s="7" t="s">
        <v>6</v>
      </c>
      <c r="B757" s="8" t="s">
        <v>33</v>
      </c>
      <c r="C757" s="8" t="s">
        <v>35</v>
      </c>
      <c r="D757" s="8" t="s">
        <v>12</v>
      </c>
      <c r="E757" s="8" t="s">
        <v>16</v>
      </c>
      <c r="F757" s="13">
        <v>66.783523308276926</v>
      </c>
      <c r="G757" s="12">
        <v>1349.9167217582581</v>
      </c>
      <c r="I757"/>
    </row>
    <row r="758" spans="1:9" x14ac:dyDescent="0.3">
      <c r="A758" s="7" t="s">
        <v>1</v>
      </c>
      <c r="B758" s="8" t="s">
        <v>27</v>
      </c>
      <c r="C758" s="8" t="s">
        <v>28</v>
      </c>
      <c r="D758" s="8" t="s">
        <v>7</v>
      </c>
      <c r="E758" s="8" t="s">
        <v>17</v>
      </c>
      <c r="F758" s="13">
        <v>196.37741358092171</v>
      </c>
      <c r="G758" s="12">
        <v>2711.8237034006597</v>
      </c>
      <c r="I758"/>
    </row>
    <row r="759" spans="1:9" x14ac:dyDescent="0.3">
      <c r="A759" s="7" t="s">
        <v>1</v>
      </c>
      <c r="B759" s="8" t="s">
        <v>33</v>
      </c>
      <c r="C759" s="8" t="s">
        <v>40</v>
      </c>
      <c r="D759" s="8" t="s">
        <v>4</v>
      </c>
      <c r="E759" s="8" t="s">
        <v>5</v>
      </c>
      <c r="F759" s="13">
        <v>69.692692496573727</v>
      </c>
      <c r="G759" s="12">
        <v>796.94551399734337</v>
      </c>
      <c r="I759"/>
    </row>
    <row r="760" spans="1:9" x14ac:dyDescent="0.3">
      <c r="A760" s="7" t="s">
        <v>1</v>
      </c>
      <c r="B760" s="8" t="s">
        <v>33</v>
      </c>
      <c r="C760" s="8" t="s">
        <v>41</v>
      </c>
      <c r="D760" s="8" t="s">
        <v>7</v>
      </c>
      <c r="E760" s="8" t="s">
        <v>8</v>
      </c>
      <c r="F760" s="13">
        <v>82.28971970929706</v>
      </c>
      <c r="G760" s="12">
        <v>2262.6060940780008</v>
      </c>
      <c r="I760"/>
    </row>
    <row r="761" spans="1:9" x14ac:dyDescent="0.3">
      <c r="A761" s="7" t="s">
        <v>1</v>
      </c>
      <c r="B761" s="8" t="s">
        <v>33</v>
      </c>
      <c r="C761" s="8" t="s">
        <v>35</v>
      </c>
      <c r="D761" s="8" t="s">
        <v>4</v>
      </c>
      <c r="E761" s="8" t="s">
        <v>10</v>
      </c>
      <c r="F761" s="13">
        <v>58.304449021306937</v>
      </c>
      <c r="G761" s="12">
        <v>1665.1100180803041</v>
      </c>
      <c r="I761"/>
    </row>
    <row r="762" spans="1:9" x14ac:dyDescent="0.3">
      <c r="A762" s="7" t="s">
        <v>9</v>
      </c>
      <c r="B762" s="8" t="s">
        <v>2</v>
      </c>
      <c r="C762" s="8" t="s">
        <v>3</v>
      </c>
      <c r="D762" s="8" t="s">
        <v>4</v>
      </c>
      <c r="E762" s="8" t="s">
        <v>5</v>
      </c>
      <c r="F762" s="13">
        <v>1.207060998876841</v>
      </c>
      <c r="G762" s="12">
        <v>1814.9317077674368</v>
      </c>
      <c r="I762"/>
    </row>
    <row r="763" spans="1:9" x14ac:dyDescent="0.3">
      <c r="A763" s="7" t="s">
        <v>9</v>
      </c>
      <c r="B763" s="8" t="s">
        <v>27</v>
      </c>
      <c r="C763" s="8" t="s">
        <v>29</v>
      </c>
      <c r="D763" s="8" t="s">
        <v>4</v>
      </c>
      <c r="E763" s="8" t="s">
        <v>5</v>
      </c>
      <c r="F763" s="13">
        <v>88.208117806425435</v>
      </c>
      <c r="G763" s="12">
        <v>2193.0237756771021</v>
      </c>
      <c r="I763"/>
    </row>
    <row r="764" spans="1:9" x14ac:dyDescent="0.3">
      <c r="A764" s="7" t="s">
        <v>9</v>
      </c>
      <c r="B764" s="8" t="s">
        <v>2</v>
      </c>
      <c r="C764" s="8" t="s">
        <v>26</v>
      </c>
      <c r="D764" s="8" t="s">
        <v>7</v>
      </c>
      <c r="E764" s="8" t="s">
        <v>8</v>
      </c>
      <c r="F764" s="13">
        <v>28.514286145855294</v>
      </c>
      <c r="G764" s="12">
        <v>2372.1395208134254</v>
      </c>
      <c r="I764"/>
    </row>
    <row r="765" spans="1:9" x14ac:dyDescent="0.3">
      <c r="A765" s="7" t="s">
        <v>9</v>
      </c>
      <c r="B765" s="8" t="s">
        <v>33</v>
      </c>
      <c r="C765" s="8" t="s">
        <v>34</v>
      </c>
      <c r="D765" s="8" t="s">
        <v>4</v>
      </c>
      <c r="E765" s="8" t="s">
        <v>10</v>
      </c>
      <c r="F765" s="13">
        <v>29.749599854221742</v>
      </c>
      <c r="G765" s="12">
        <v>1620.2674133112851</v>
      </c>
      <c r="I765"/>
    </row>
    <row r="766" spans="1:9" x14ac:dyDescent="0.3">
      <c r="A766" s="7" t="s">
        <v>9</v>
      </c>
      <c r="B766" s="8" t="s">
        <v>2</v>
      </c>
      <c r="C766" s="8" t="s">
        <v>31</v>
      </c>
      <c r="D766" s="8" t="s">
        <v>12</v>
      </c>
      <c r="E766" s="8" t="s">
        <v>13</v>
      </c>
      <c r="F766" s="13">
        <v>45.710553734625137</v>
      </c>
      <c r="G766" s="12">
        <v>1787.1524322991263</v>
      </c>
      <c r="I766"/>
    </row>
    <row r="767" spans="1:9" x14ac:dyDescent="0.3">
      <c r="A767" s="7" t="s">
        <v>9</v>
      </c>
      <c r="B767" s="8" t="s">
        <v>33</v>
      </c>
      <c r="C767" s="8" t="s">
        <v>35</v>
      </c>
      <c r="D767" s="8" t="s">
        <v>12</v>
      </c>
      <c r="E767" s="8" t="s">
        <v>16</v>
      </c>
      <c r="F767" s="13">
        <v>33.098675775545416</v>
      </c>
      <c r="G767" s="12">
        <v>2037.0953853911487</v>
      </c>
      <c r="I767"/>
    </row>
    <row r="768" spans="1:9" x14ac:dyDescent="0.3">
      <c r="A768" s="7" t="s">
        <v>6</v>
      </c>
      <c r="B768" s="8" t="s">
        <v>27</v>
      </c>
      <c r="C768" s="8" t="s">
        <v>28</v>
      </c>
      <c r="D768" s="8" t="s">
        <v>7</v>
      </c>
      <c r="E768" s="8" t="s">
        <v>17</v>
      </c>
      <c r="F768" s="13">
        <v>83.537877111484704</v>
      </c>
      <c r="G768" s="12">
        <v>51.472202083994489</v>
      </c>
      <c r="I768"/>
    </row>
    <row r="769" spans="1:9" x14ac:dyDescent="0.3">
      <c r="A769" s="7" t="s">
        <v>6</v>
      </c>
      <c r="B769" s="8" t="s">
        <v>33</v>
      </c>
      <c r="C769" s="8" t="s">
        <v>40</v>
      </c>
      <c r="D769" s="8" t="s">
        <v>4</v>
      </c>
      <c r="E769" s="8" t="s">
        <v>5</v>
      </c>
      <c r="F769" s="13">
        <v>43.731155168279656</v>
      </c>
      <c r="G769" s="12">
        <v>1090.0628827176479</v>
      </c>
      <c r="I769"/>
    </row>
    <row r="770" spans="1:9" x14ac:dyDescent="0.3">
      <c r="A770" s="7" t="s">
        <v>6</v>
      </c>
      <c r="B770" s="8" t="s">
        <v>33</v>
      </c>
      <c r="C770" s="8" t="s">
        <v>41</v>
      </c>
      <c r="D770" s="8" t="s">
        <v>7</v>
      </c>
      <c r="E770" s="8" t="s">
        <v>8</v>
      </c>
      <c r="F770" s="13">
        <v>59.160537298339477</v>
      </c>
      <c r="G770" s="12">
        <v>260.13368676335449</v>
      </c>
      <c r="I770"/>
    </row>
    <row r="771" spans="1:9" x14ac:dyDescent="0.3">
      <c r="A771" s="7" t="s">
        <v>6</v>
      </c>
      <c r="B771" s="8" t="s">
        <v>33</v>
      </c>
      <c r="C771" s="8" t="s">
        <v>35</v>
      </c>
      <c r="D771" s="8" t="s">
        <v>4</v>
      </c>
      <c r="E771" s="8" t="s">
        <v>10</v>
      </c>
      <c r="F771" s="13">
        <v>159.66151985267061</v>
      </c>
      <c r="G771" s="12">
        <v>701.63119155653112</v>
      </c>
      <c r="I771"/>
    </row>
    <row r="772" spans="1:9" x14ac:dyDescent="0.3">
      <c r="A772" s="7" t="s">
        <v>11</v>
      </c>
      <c r="B772" s="8" t="s">
        <v>2</v>
      </c>
      <c r="C772" s="8" t="s">
        <v>3</v>
      </c>
      <c r="D772" s="8" t="s">
        <v>4</v>
      </c>
      <c r="E772" s="8" t="s">
        <v>5</v>
      </c>
      <c r="F772" s="13">
        <v>10.884318764055934</v>
      </c>
      <c r="G772" s="12">
        <v>1339.2901490277618</v>
      </c>
      <c r="I772"/>
    </row>
    <row r="773" spans="1:9" x14ac:dyDescent="0.3">
      <c r="A773" s="7" t="s">
        <v>11</v>
      </c>
      <c r="B773" s="8" t="s">
        <v>27</v>
      </c>
      <c r="C773" s="8" t="s">
        <v>29</v>
      </c>
      <c r="D773" s="8" t="s">
        <v>7</v>
      </c>
      <c r="E773" s="8" t="s">
        <v>8</v>
      </c>
      <c r="F773" s="13">
        <v>35.951779397873906</v>
      </c>
      <c r="G773" s="12">
        <v>1692.3875823414783</v>
      </c>
      <c r="I773"/>
    </row>
    <row r="774" spans="1:9" x14ac:dyDescent="0.3">
      <c r="A774" s="7" t="s">
        <v>11</v>
      </c>
      <c r="B774" s="8" t="s">
        <v>2</v>
      </c>
      <c r="C774" s="8" t="s">
        <v>26</v>
      </c>
      <c r="D774" s="8" t="s">
        <v>4</v>
      </c>
      <c r="E774" s="8" t="s">
        <v>10</v>
      </c>
      <c r="F774" s="13">
        <v>33.87053777360336</v>
      </c>
      <c r="G774" s="12">
        <v>141.26761171892213</v>
      </c>
      <c r="I774"/>
    </row>
    <row r="775" spans="1:9" x14ac:dyDescent="0.3">
      <c r="A775" s="7" t="s">
        <v>11</v>
      </c>
      <c r="B775" s="8" t="s">
        <v>33</v>
      </c>
      <c r="C775" s="8" t="s">
        <v>34</v>
      </c>
      <c r="D775" s="8" t="s">
        <v>12</v>
      </c>
      <c r="E775" s="8" t="s">
        <v>13</v>
      </c>
      <c r="F775" s="13">
        <v>48.688224098168575</v>
      </c>
      <c r="G775" s="12">
        <v>934.84262779154233</v>
      </c>
      <c r="I775"/>
    </row>
    <row r="776" spans="1:9" x14ac:dyDescent="0.3">
      <c r="A776" s="7" t="s">
        <v>11</v>
      </c>
      <c r="B776" s="8" t="s">
        <v>2</v>
      </c>
      <c r="C776" s="8" t="s">
        <v>31</v>
      </c>
      <c r="D776" s="8" t="s">
        <v>4</v>
      </c>
      <c r="E776" s="8" t="s">
        <v>5</v>
      </c>
      <c r="F776" s="13">
        <v>39.674217430365388</v>
      </c>
      <c r="G776" s="12">
        <v>874.8788159990545</v>
      </c>
      <c r="I776"/>
    </row>
    <row r="777" spans="1:9" x14ac:dyDescent="0.3">
      <c r="A777" s="7" t="s">
        <v>11</v>
      </c>
      <c r="B777" s="8" t="s">
        <v>33</v>
      </c>
      <c r="C777" s="8" t="s">
        <v>35</v>
      </c>
      <c r="D777" s="8" t="s">
        <v>7</v>
      </c>
      <c r="E777" s="8" t="s">
        <v>8</v>
      </c>
      <c r="F777" s="13">
        <v>4.3133620761182101</v>
      </c>
      <c r="G777" s="12">
        <v>1253.8952644302844</v>
      </c>
      <c r="I777"/>
    </row>
    <row r="778" spans="1:9" x14ac:dyDescent="0.3">
      <c r="A778" s="7" t="s">
        <v>1</v>
      </c>
      <c r="B778" s="8" t="s">
        <v>2</v>
      </c>
      <c r="C778" s="8" t="s">
        <v>26</v>
      </c>
      <c r="D778" s="8" t="s">
        <v>4</v>
      </c>
      <c r="E778" s="8" t="s">
        <v>10</v>
      </c>
      <c r="F778" s="13">
        <v>18.661016170153744</v>
      </c>
      <c r="G778" s="12">
        <v>1955.9201079588092</v>
      </c>
      <c r="I778"/>
    </row>
    <row r="779" spans="1:9" x14ac:dyDescent="0.3">
      <c r="A779" s="7" t="s">
        <v>1</v>
      </c>
      <c r="B779" s="8" t="s">
        <v>33</v>
      </c>
      <c r="C779" s="8" t="s">
        <v>41</v>
      </c>
      <c r="D779" s="8" t="s">
        <v>12</v>
      </c>
      <c r="E779" s="8" t="s">
        <v>13</v>
      </c>
      <c r="F779" s="13">
        <v>113.99482929136866</v>
      </c>
      <c r="G779" s="12">
        <v>1273.2185935863527</v>
      </c>
      <c r="I779"/>
    </row>
    <row r="780" spans="1:9" x14ac:dyDescent="0.3">
      <c r="A780" s="7" t="s">
        <v>9</v>
      </c>
      <c r="B780" s="8" t="s">
        <v>27</v>
      </c>
      <c r="C780" s="8" t="s">
        <v>28</v>
      </c>
      <c r="D780" s="8" t="s">
        <v>12</v>
      </c>
      <c r="E780" s="8" t="s">
        <v>16</v>
      </c>
      <c r="F780" s="13">
        <v>158.62511160522104</v>
      </c>
      <c r="G780" s="12">
        <v>589.26054201038005</v>
      </c>
      <c r="I780"/>
    </row>
    <row r="781" spans="1:9" x14ac:dyDescent="0.3">
      <c r="A781" s="7" t="s">
        <v>9</v>
      </c>
      <c r="B781" s="8" t="s">
        <v>33</v>
      </c>
      <c r="C781" s="8" t="s">
        <v>40</v>
      </c>
      <c r="D781" s="8" t="s">
        <v>4</v>
      </c>
      <c r="E781" s="8" t="s">
        <v>5</v>
      </c>
      <c r="F781" s="13">
        <v>15.856938247088692</v>
      </c>
      <c r="G781" s="12">
        <v>1240.5866051428839</v>
      </c>
      <c r="I781"/>
    </row>
    <row r="782" spans="1:9" x14ac:dyDescent="0.3">
      <c r="A782" s="7" t="s">
        <v>9</v>
      </c>
      <c r="B782" s="8" t="s">
        <v>33</v>
      </c>
      <c r="C782" s="8" t="s">
        <v>41</v>
      </c>
      <c r="D782" s="8" t="s">
        <v>7</v>
      </c>
      <c r="E782" s="8" t="s">
        <v>8</v>
      </c>
      <c r="F782" s="13">
        <v>115.29297061370016</v>
      </c>
      <c r="G782" s="12">
        <v>683.79592738747124</v>
      </c>
      <c r="I782"/>
    </row>
    <row r="783" spans="1:9" x14ac:dyDescent="0.3">
      <c r="A783" s="7" t="s">
        <v>9</v>
      </c>
      <c r="B783" s="8" t="s">
        <v>33</v>
      </c>
      <c r="C783" s="8" t="s">
        <v>35</v>
      </c>
      <c r="D783" s="8" t="s">
        <v>4</v>
      </c>
      <c r="E783" s="8" t="s">
        <v>10</v>
      </c>
      <c r="F783" s="13">
        <v>63.292984080908354</v>
      </c>
      <c r="G783" s="12">
        <v>2034.7002092993671</v>
      </c>
      <c r="I783"/>
    </row>
    <row r="784" spans="1:9" x14ac:dyDescent="0.3">
      <c r="A784" s="7" t="s">
        <v>1</v>
      </c>
      <c r="B784" s="8" t="s">
        <v>33</v>
      </c>
      <c r="C784" s="8" t="s">
        <v>39</v>
      </c>
      <c r="D784" s="8" t="s">
        <v>12</v>
      </c>
      <c r="E784" s="8" t="s">
        <v>13</v>
      </c>
      <c r="F784" s="13">
        <v>39.622472886912874</v>
      </c>
      <c r="G784" s="12">
        <v>1105.2946798739868</v>
      </c>
      <c r="I784"/>
    </row>
    <row r="785" spans="1:9" x14ac:dyDescent="0.3">
      <c r="A785" s="7" t="s">
        <v>1</v>
      </c>
      <c r="B785" s="8" t="s">
        <v>27</v>
      </c>
      <c r="C785" s="8" t="s">
        <v>29</v>
      </c>
      <c r="D785" s="8" t="s">
        <v>12</v>
      </c>
      <c r="E785" s="8" t="s">
        <v>16</v>
      </c>
      <c r="F785" s="13">
        <v>35.828044642312307</v>
      </c>
      <c r="G785" s="12">
        <v>641.2572489579361</v>
      </c>
      <c r="I785"/>
    </row>
    <row r="786" spans="1:9" x14ac:dyDescent="0.3">
      <c r="A786" s="7" t="s">
        <v>1</v>
      </c>
      <c r="B786" s="8" t="s">
        <v>33</v>
      </c>
      <c r="C786" s="8" t="s">
        <v>34</v>
      </c>
      <c r="D786" s="8" t="s">
        <v>4</v>
      </c>
      <c r="E786" s="8" t="s">
        <v>5</v>
      </c>
      <c r="F786" s="13">
        <v>28.140779022032802</v>
      </c>
      <c r="G786" s="12">
        <v>96.43267206793098</v>
      </c>
      <c r="I786"/>
    </row>
    <row r="787" spans="1:9" x14ac:dyDescent="0.3">
      <c r="A787" s="7" t="s">
        <v>1</v>
      </c>
      <c r="B787" s="8" t="s">
        <v>33</v>
      </c>
      <c r="C787" s="8" t="s">
        <v>40</v>
      </c>
      <c r="D787" s="8" t="s">
        <v>7</v>
      </c>
      <c r="E787" s="8" t="s">
        <v>8</v>
      </c>
      <c r="F787" s="13">
        <v>89.910305070316099</v>
      </c>
      <c r="G787" s="12">
        <v>89.581324028313247</v>
      </c>
      <c r="I787"/>
    </row>
    <row r="788" spans="1:9" x14ac:dyDescent="0.3">
      <c r="A788" s="7" t="s">
        <v>1</v>
      </c>
      <c r="B788" s="8" t="s">
        <v>33</v>
      </c>
      <c r="C788" s="8" t="s">
        <v>41</v>
      </c>
      <c r="D788" s="8" t="s">
        <v>4</v>
      </c>
      <c r="E788" s="8" t="s">
        <v>10</v>
      </c>
      <c r="F788" s="13">
        <v>23.652521093026735</v>
      </c>
      <c r="G788" s="12">
        <v>2207.208325251122</v>
      </c>
      <c r="I788"/>
    </row>
    <row r="789" spans="1:9" x14ac:dyDescent="0.3">
      <c r="A789" s="7" t="s">
        <v>1</v>
      </c>
      <c r="B789" s="8" t="s">
        <v>14</v>
      </c>
      <c r="C789" s="8" t="s">
        <v>36</v>
      </c>
      <c r="D789" s="8" t="s">
        <v>12</v>
      </c>
      <c r="E789" s="8" t="s">
        <v>13</v>
      </c>
      <c r="F789" s="13">
        <v>93.91121430990097</v>
      </c>
      <c r="G789" s="12">
        <v>415.82814862822488</v>
      </c>
      <c r="I789"/>
    </row>
    <row r="790" spans="1:9" x14ac:dyDescent="0.3">
      <c r="A790" s="7" t="s">
        <v>6</v>
      </c>
      <c r="B790" s="8" t="s">
        <v>2</v>
      </c>
      <c r="C790" s="8" t="s">
        <v>26</v>
      </c>
      <c r="D790" s="8" t="s">
        <v>12</v>
      </c>
      <c r="E790" s="8" t="s">
        <v>16</v>
      </c>
      <c r="F790" s="13">
        <v>24.557183740034816</v>
      </c>
      <c r="G790" s="12">
        <v>1844.7686758806958</v>
      </c>
      <c r="I790"/>
    </row>
    <row r="791" spans="1:9" x14ac:dyDescent="0.3">
      <c r="A791" s="7" t="s">
        <v>6</v>
      </c>
      <c r="B791" s="8" t="s">
        <v>33</v>
      </c>
      <c r="C791" s="8" t="s">
        <v>41</v>
      </c>
      <c r="D791" s="8" t="s">
        <v>7</v>
      </c>
      <c r="E791" s="8" t="s">
        <v>17</v>
      </c>
      <c r="F791" s="13">
        <v>95.622755951808358</v>
      </c>
      <c r="G791" s="12">
        <v>2133.0363696280765</v>
      </c>
      <c r="I791"/>
    </row>
    <row r="792" spans="1:9" x14ac:dyDescent="0.3">
      <c r="A792" s="7" t="s">
        <v>11</v>
      </c>
      <c r="B792" s="8" t="s">
        <v>27</v>
      </c>
      <c r="C792" s="8" t="s">
        <v>28</v>
      </c>
      <c r="D792" s="8" t="s">
        <v>4</v>
      </c>
      <c r="E792" s="8" t="s">
        <v>5</v>
      </c>
      <c r="F792" s="13">
        <v>155.88799492179533</v>
      </c>
      <c r="G792" s="12">
        <v>2020.0158629809084</v>
      </c>
      <c r="I792"/>
    </row>
    <row r="793" spans="1:9" x14ac:dyDescent="0.3">
      <c r="A793" s="7" t="s">
        <v>11</v>
      </c>
      <c r="B793" s="8" t="s">
        <v>33</v>
      </c>
      <c r="C793" s="8" t="s">
        <v>40</v>
      </c>
      <c r="D793" s="8" t="s">
        <v>7</v>
      </c>
      <c r="E793" s="8" t="s">
        <v>8</v>
      </c>
      <c r="F793" s="13">
        <v>32.111450230695482</v>
      </c>
      <c r="G793" s="12">
        <v>957.59685474670732</v>
      </c>
      <c r="I793"/>
    </row>
    <row r="794" spans="1:9" x14ac:dyDescent="0.3">
      <c r="A794" s="7" t="s">
        <v>11</v>
      </c>
      <c r="B794" s="8" t="s">
        <v>33</v>
      </c>
      <c r="C794" s="8" t="s">
        <v>41</v>
      </c>
      <c r="D794" s="8" t="s">
        <v>4</v>
      </c>
      <c r="E794" s="8" t="s">
        <v>10</v>
      </c>
      <c r="F794" s="13">
        <v>51.113953062667861</v>
      </c>
      <c r="G794" s="12">
        <v>120.9135447040353</v>
      </c>
      <c r="I794"/>
    </row>
    <row r="795" spans="1:9" x14ac:dyDescent="0.3">
      <c r="A795" s="7" t="s">
        <v>11</v>
      </c>
      <c r="B795" s="8" t="s">
        <v>33</v>
      </c>
      <c r="C795" s="8" t="s">
        <v>35</v>
      </c>
      <c r="D795" s="8" t="s">
        <v>4</v>
      </c>
      <c r="E795" s="8" t="s">
        <v>5</v>
      </c>
      <c r="F795" s="13">
        <v>166.22890426824597</v>
      </c>
      <c r="G795" s="12">
        <v>1074.8513429455761</v>
      </c>
      <c r="I795"/>
    </row>
    <row r="796" spans="1:9" x14ac:dyDescent="0.3">
      <c r="A796" s="7" t="s">
        <v>6</v>
      </c>
      <c r="B796" s="8" t="s">
        <v>33</v>
      </c>
      <c r="C796" s="8" t="s">
        <v>39</v>
      </c>
      <c r="D796" s="8" t="s">
        <v>4</v>
      </c>
      <c r="E796" s="8" t="s">
        <v>5</v>
      </c>
      <c r="F796" s="13">
        <v>44.063117236510152</v>
      </c>
      <c r="G796" s="12">
        <v>2069.2972232238462</v>
      </c>
      <c r="I796"/>
    </row>
    <row r="797" spans="1:9" x14ac:dyDescent="0.3">
      <c r="A797" s="7" t="s">
        <v>6</v>
      </c>
      <c r="B797" s="8" t="s">
        <v>27</v>
      </c>
      <c r="C797" s="8" t="s">
        <v>29</v>
      </c>
      <c r="D797" s="8" t="s">
        <v>7</v>
      </c>
      <c r="E797" s="8" t="s">
        <v>8</v>
      </c>
      <c r="F797" s="13">
        <v>14.986009524272959</v>
      </c>
      <c r="G797" s="12">
        <v>1757.1663033524956</v>
      </c>
      <c r="I797"/>
    </row>
    <row r="798" spans="1:9" x14ac:dyDescent="0.3">
      <c r="A798" s="7" t="s">
        <v>6</v>
      </c>
      <c r="B798" s="8" t="s">
        <v>33</v>
      </c>
      <c r="C798" s="8" t="s">
        <v>34</v>
      </c>
      <c r="D798" s="8" t="s">
        <v>4</v>
      </c>
      <c r="E798" s="8" t="s">
        <v>10</v>
      </c>
      <c r="F798" s="13">
        <v>83.39648134442541</v>
      </c>
      <c r="G798" s="12">
        <v>1415.8384040143228</v>
      </c>
      <c r="I798"/>
    </row>
    <row r="799" spans="1:9" x14ac:dyDescent="0.3">
      <c r="A799" s="7" t="s">
        <v>6</v>
      </c>
      <c r="B799" s="8" t="s">
        <v>33</v>
      </c>
      <c r="C799" s="8" t="s">
        <v>40</v>
      </c>
      <c r="D799" s="8" t="s">
        <v>12</v>
      </c>
      <c r="E799" s="8" t="s">
        <v>13</v>
      </c>
      <c r="F799" s="13">
        <v>60.232472425377637</v>
      </c>
      <c r="G799" s="12">
        <v>1082.3431871408011</v>
      </c>
      <c r="I799"/>
    </row>
    <row r="800" spans="1:9" x14ac:dyDescent="0.3">
      <c r="A800" s="7" t="s">
        <v>6</v>
      </c>
      <c r="B800" s="8" t="s">
        <v>33</v>
      </c>
      <c r="C800" s="8" t="s">
        <v>41</v>
      </c>
      <c r="D800" s="8" t="s">
        <v>12</v>
      </c>
      <c r="E800" s="8" t="s">
        <v>16</v>
      </c>
      <c r="F800" s="13">
        <v>18.671398546666751</v>
      </c>
      <c r="G800" s="12">
        <v>63.564294387372684</v>
      </c>
      <c r="I800"/>
    </row>
    <row r="801" spans="1:9" x14ac:dyDescent="0.3">
      <c r="A801" s="7" t="s">
        <v>6</v>
      </c>
      <c r="B801" s="8" t="s">
        <v>14</v>
      </c>
      <c r="C801" s="8" t="s">
        <v>36</v>
      </c>
      <c r="D801" s="8" t="s">
        <v>7</v>
      </c>
      <c r="E801" s="8" t="s">
        <v>17</v>
      </c>
      <c r="F801" s="13">
        <v>48.857429746567504</v>
      </c>
      <c r="G801" s="12">
        <v>1454.4282099334305</v>
      </c>
      <c r="I801"/>
    </row>
    <row r="802" spans="1:9" x14ac:dyDescent="0.3">
      <c r="A802" s="7" t="s">
        <v>1</v>
      </c>
      <c r="B802" s="8" t="s">
        <v>27</v>
      </c>
      <c r="C802" s="8" t="s">
        <v>28</v>
      </c>
      <c r="D802" s="8" t="s">
        <v>4</v>
      </c>
      <c r="E802" s="8" t="s">
        <v>5</v>
      </c>
      <c r="F802" s="13">
        <v>16.370310399634036</v>
      </c>
      <c r="G802" s="12">
        <v>1375.6443332731578</v>
      </c>
      <c r="I802"/>
    </row>
    <row r="803" spans="1:9" x14ac:dyDescent="0.3">
      <c r="A803" s="7" t="s">
        <v>1</v>
      </c>
      <c r="B803" s="8" t="s">
        <v>33</v>
      </c>
      <c r="C803" s="8" t="s">
        <v>39</v>
      </c>
      <c r="D803" s="8" t="s">
        <v>7</v>
      </c>
      <c r="E803" s="8" t="s">
        <v>8</v>
      </c>
      <c r="F803" s="13">
        <v>9.9415966573360492</v>
      </c>
      <c r="G803" s="12">
        <v>1507.2778008798196</v>
      </c>
      <c r="I803"/>
    </row>
    <row r="804" spans="1:9" x14ac:dyDescent="0.3">
      <c r="A804" s="7" t="s">
        <v>1</v>
      </c>
      <c r="B804" s="8" t="s">
        <v>33</v>
      </c>
      <c r="C804" s="8" t="s">
        <v>40</v>
      </c>
      <c r="D804" s="8" t="s">
        <v>4</v>
      </c>
      <c r="E804" s="8" t="s">
        <v>10</v>
      </c>
      <c r="F804" s="13">
        <v>13.84327679670605</v>
      </c>
      <c r="G804" s="12">
        <v>1389.3695843235037</v>
      </c>
      <c r="I804"/>
    </row>
    <row r="805" spans="1:9" x14ac:dyDescent="0.3">
      <c r="A805" s="7" t="s">
        <v>1</v>
      </c>
      <c r="B805" s="8" t="s">
        <v>33</v>
      </c>
      <c r="C805" s="8" t="s">
        <v>41</v>
      </c>
      <c r="D805" s="8" t="s">
        <v>4</v>
      </c>
      <c r="E805" s="8" t="s">
        <v>5</v>
      </c>
      <c r="F805" s="13">
        <v>76.069339581226814</v>
      </c>
      <c r="G805" s="12">
        <v>621.78908127680188</v>
      </c>
      <c r="I805"/>
    </row>
    <row r="806" spans="1:9" x14ac:dyDescent="0.3">
      <c r="A806" s="7" t="s">
        <v>1</v>
      </c>
      <c r="B806" s="8" t="s">
        <v>33</v>
      </c>
      <c r="C806" s="8" t="s">
        <v>35</v>
      </c>
      <c r="D806" s="8" t="s">
        <v>7</v>
      </c>
      <c r="E806" s="8" t="s">
        <v>8</v>
      </c>
      <c r="F806" s="13">
        <v>91.165281887515448</v>
      </c>
      <c r="G806" s="12">
        <v>1682.510927608746</v>
      </c>
      <c r="I806"/>
    </row>
    <row r="807" spans="1:9" x14ac:dyDescent="0.3">
      <c r="A807" s="7" t="s">
        <v>1</v>
      </c>
      <c r="B807" s="8" t="s">
        <v>2</v>
      </c>
      <c r="C807" s="8" t="s">
        <v>21</v>
      </c>
      <c r="D807" s="8" t="s">
        <v>4</v>
      </c>
      <c r="E807" s="8" t="s">
        <v>10</v>
      </c>
      <c r="F807" s="13">
        <v>79.090488484052912</v>
      </c>
      <c r="G807" s="12">
        <v>14.156183937302558</v>
      </c>
      <c r="I807"/>
    </row>
    <row r="808" spans="1:9" x14ac:dyDescent="0.3">
      <c r="A808" s="7" t="s">
        <v>9</v>
      </c>
      <c r="B808" s="8" t="s">
        <v>2</v>
      </c>
      <c r="C808" s="8" t="s">
        <v>26</v>
      </c>
      <c r="D808" s="8" t="s">
        <v>12</v>
      </c>
      <c r="E808" s="8" t="s">
        <v>13</v>
      </c>
      <c r="F808" s="13">
        <v>70.496250921132741</v>
      </c>
      <c r="G808" s="12">
        <v>301.62224934479127</v>
      </c>
      <c r="I808"/>
    </row>
    <row r="809" spans="1:9" x14ac:dyDescent="0.3">
      <c r="A809" s="7" t="s">
        <v>9</v>
      </c>
      <c r="B809" s="8" t="s">
        <v>33</v>
      </c>
      <c r="C809" s="8" t="s">
        <v>41</v>
      </c>
      <c r="D809" s="8" t="s">
        <v>4</v>
      </c>
      <c r="E809" s="8" t="s">
        <v>5</v>
      </c>
      <c r="F809" s="13">
        <v>141.83055839075678</v>
      </c>
      <c r="G809" s="12">
        <v>1302.2603903446061</v>
      </c>
      <c r="I809"/>
    </row>
    <row r="810" spans="1:9" x14ac:dyDescent="0.3">
      <c r="A810" s="7" t="s">
        <v>9</v>
      </c>
      <c r="B810" s="8" t="s">
        <v>33</v>
      </c>
      <c r="C810" s="8" t="s">
        <v>39</v>
      </c>
      <c r="D810" s="8" t="s">
        <v>7</v>
      </c>
      <c r="E810" s="8" t="s">
        <v>8</v>
      </c>
      <c r="F810" s="13">
        <v>33.443631172667665</v>
      </c>
      <c r="G810" s="12">
        <v>909.14996987170525</v>
      </c>
      <c r="I810"/>
    </row>
    <row r="811" spans="1:9" x14ac:dyDescent="0.3">
      <c r="A811" s="7" t="s">
        <v>9</v>
      </c>
      <c r="B811" s="8" t="s">
        <v>27</v>
      </c>
      <c r="C811" s="8" t="s">
        <v>29</v>
      </c>
      <c r="D811" s="8" t="s">
        <v>4</v>
      </c>
      <c r="E811" s="8" t="s">
        <v>10</v>
      </c>
      <c r="F811" s="13">
        <v>30.26707662802437</v>
      </c>
      <c r="G811" s="12">
        <v>292.87740997585843</v>
      </c>
      <c r="I811"/>
    </row>
    <row r="812" spans="1:9" x14ac:dyDescent="0.3">
      <c r="A812" s="7" t="s">
        <v>9</v>
      </c>
      <c r="B812" s="8" t="s">
        <v>33</v>
      </c>
      <c r="C812" s="8" t="s">
        <v>34</v>
      </c>
      <c r="D812" s="8" t="s">
        <v>12</v>
      </c>
      <c r="E812" s="8" t="s">
        <v>13</v>
      </c>
      <c r="F812" s="13">
        <v>95.933411904843524</v>
      </c>
      <c r="G812" s="12">
        <v>925.58306830730544</v>
      </c>
      <c r="I812"/>
    </row>
    <row r="813" spans="1:9" x14ac:dyDescent="0.3">
      <c r="A813" s="7" t="s">
        <v>9</v>
      </c>
      <c r="B813" s="8" t="s">
        <v>33</v>
      </c>
      <c r="C813" s="8" t="s">
        <v>40</v>
      </c>
      <c r="D813" s="8" t="s">
        <v>12</v>
      </c>
      <c r="E813" s="8" t="s">
        <v>16</v>
      </c>
      <c r="F813" s="13">
        <v>65.684354957465985</v>
      </c>
      <c r="G813" s="12">
        <v>998.08060534267952</v>
      </c>
      <c r="I813"/>
    </row>
    <row r="814" spans="1:9" x14ac:dyDescent="0.3">
      <c r="A814" s="7" t="s">
        <v>9</v>
      </c>
      <c r="B814" s="8" t="s">
        <v>33</v>
      </c>
      <c r="C814" s="8" t="s">
        <v>41</v>
      </c>
      <c r="D814" s="8" t="s">
        <v>4</v>
      </c>
      <c r="E814" s="8" t="s">
        <v>5</v>
      </c>
      <c r="F814" s="13">
        <v>59.237422627666092</v>
      </c>
      <c r="G814" s="12">
        <v>1723.8735832796374</v>
      </c>
      <c r="I814"/>
    </row>
    <row r="815" spans="1:9" x14ac:dyDescent="0.3">
      <c r="A815" s="7" t="s">
        <v>9</v>
      </c>
      <c r="B815" s="8" t="s">
        <v>14</v>
      </c>
      <c r="C815" s="8" t="s">
        <v>36</v>
      </c>
      <c r="D815" s="8" t="s">
        <v>7</v>
      </c>
      <c r="E815" s="8" t="s">
        <v>8</v>
      </c>
      <c r="F815" s="13">
        <v>31.865312833360804</v>
      </c>
      <c r="G815" s="12">
        <v>316.21496901623686</v>
      </c>
      <c r="I815"/>
    </row>
    <row r="816" spans="1:9" x14ac:dyDescent="0.3">
      <c r="A816" s="7" t="s">
        <v>6</v>
      </c>
      <c r="B816" s="8" t="s">
        <v>27</v>
      </c>
      <c r="C816" s="8" t="s">
        <v>28</v>
      </c>
      <c r="D816" s="8" t="s">
        <v>4</v>
      </c>
      <c r="E816" s="8" t="s">
        <v>10</v>
      </c>
      <c r="F816" s="13">
        <v>39.151269293597579</v>
      </c>
      <c r="G816" s="12">
        <v>234.26425771753202</v>
      </c>
      <c r="I816"/>
    </row>
    <row r="817" spans="1:9" x14ac:dyDescent="0.3">
      <c r="A817" s="7" t="s">
        <v>6</v>
      </c>
      <c r="B817" s="8" t="s">
        <v>33</v>
      </c>
      <c r="C817" s="8" t="s">
        <v>39</v>
      </c>
      <c r="D817" s="8" t="s">
        <v>12</v>
      </c>
      <c r="E817" s="8" t="s">
        <v>13</v>
      </c>
      <c r="F817" s="13">
        <v>96.723794768331572</v>
      </c>
      <c r="G817" s="12">
        <v>500.58603854577086</v>
      </c>
      <c r="I817"/>
    </row>
    <row r="818" spans="1:9" x14ac:dyDescent="0.3">
      <c r="A818" s="7" t="s">
        <v>6</v>
      </c>
      <c r="B818" s="8" t="s">
        <v>33</v>
      </c>
      <c r="C818" s="8" t="s">
        <v>40</v>
      </c>
      <c r="D818" s="8" t="s">
        <v>12</v>
      </c>
      <c r="E818" s="8" t="s">
        <v>16</v>
      </c>
      <c r="F818" s="13">
        <v>84.51051212641687</v>
      </c>
      <c r="G818" s="12">
        <v>974.10831303253872</v>
      </c>
      <c r="I818"/>
    </row>
    <row r="819" spans="1:9" x14ac:dyDescent="0.3">
      <c r="A819" s="7" t="s">
        <v>6</v>
      </c>
      <c r="B819" s="8" t="s">
        <v>33</v>
      </c>
      <c r="C819" s="8" t="s">
        <v>41</v>
      </c>
      <c r="D819" s="8" t="s">
        <v>4</v>
      </c>
      <c r="E819" s="8" t="s">
        <v>5</v>
      </c>
      <c r="F819" s="13">
        <v>29.577432581027097</v>
      </c>
      <c r="G819" s="12">
        <v>859.6183201855456</v>
      </c>
      <c r="I819"/>
    </row>
    <row r="820" spans="1:9" x14ac:dyDescent="0.3">
      <c r="A820" s="7" t="s">
        <v>6</v>
      </c>
      <c r="B820" s="8" t="s">
        <v>33</v>
      </c>
      <c r="C820" s="8" t="s">
        <v>35</v>
      </c>
      <c r="D820" s="8" t="s">
        <v>7</v>
      </c>
      <c r="E820" s="8" t="s">
        <v>8</v>
      </c>
      <c r="F820" s="13">
        <v>15.953764097230305</v>
      </c>
      <c r="G820" s="12">
        <v>646.30398201181379</v>
      </c>
      <c r="I820"/>
    </row>
    <row r="821" spans="1:9" x14ac:dyDescent="0.3">
      <c r="A821" s="7" t="s">
        <v>6</v>
      </c>
      <c r="B821" s="8" t="s">
        <v>2</v>
      </c>
      <c r="C821" s="8" t="s">
        <v>21</v>
      </c>
      <c r="D821" s="8" t="s">
        <v>4</v>
      </c>
      <c r="E821" s="8" t="s">
        <v>10</v>
      </c>
      <c r="F821" s="13">
        <v>33.27297347750573</v>
      </c>
      <c r="G821" s="12">
        <v>1016.8706902699523</v>
      </c>
      <c r="I821"/>
    </row>
    <row r="822" spans="1:9" x14ac:dyDescent="0.3">
      <c r="A822" s="7" t="s">
        <v>11</v>
      </c>
      <c r="B822" s="8" t="s">
        <v>2</v>
      </c>
      <c r="C822" s="8" t="s">
        <v>26</v>
      </c>
      <c r="D822" s="8" t="s">
        <v>12</v>
      </c>
      <c r="E822" s="8" t="s">
        <v>13</v>
      </c>
      <c r="F822" s="13">
        <v>37.325081157723616</v>
      </c>
      <c r="G822" s="12">
        <v>1765.8782926356362</v>
      </c>
      <c r="I822"/>
    </row>
    <row r="823" spans="1:9" x14ac:dyDescent="0.3">
      <c r="A823" s="7" t="s">
        <v>11</v>
      </c>
      <c r="B823" s="8" t="s">
        <v>33</v>
      </c>
      <c r="C823" s="8" t="s">
        <v>41</v>
      </c>
      <c r="D823" s="8" t="s">
        <v>12</v>
      </c>
      <c r="E823" s="8" t="s">
        <v>16</v>
      </c>
      <c r="F823" s="13">
        <v>33.105098735177307</v>
      </c>
      <c r="G823" s="12">
        <v>1440.7240502420027</v>
      </c>
      <c r="I823"/>
    </row>
    <row r="824" spans="1:9" x14ac:dyDescent="0.3">
      <c r="A824" s="7" t="s">
        <v>11</v>
      </c>
      <c r="B824" s="8" t="s">
        <v>33</v>
      </c>
      <c r="C824" s="8" t="s">
        <v>39</v>
      </c>
      <c r="D824" s="8" t="s">
        <v>7</v>
      </c>
      <c r="E824" s="8" t="s">
        <v>17</v>
      </c>
      <c r="F824" s="13">
        <v>95.79814975231784</v>
      </c>
      <c r="G824" s="12">
        <v>1549.1924045073974</v>
      </c>
      <c r="I824"/>
    </row>
    <row r="825" spans="1:9" x14ac:dyDescent="0.3">
      <c r="A825" s="7" t="s">
        <v>11</v>
      </c>
      <c r="B825" s="8" t="s">
        <v>27</v>
      </c>
      <c r="C825" s="8" t="s">
        <v>29</v>
      </c>
      <c r="D825" s="8" t="s">
        <v>4</v>
      </c>
      <c r="E825" s="8" t="s">
        <v>5</v>
      </c>
      <c r="F825" s="13">
        <v>0.12280691953492351</v>
      </c>
      <c r="G825" s="12">
        <v>1510.8045030853173</v>
      </c>
      <c r="I825"/>
    </row>
    <row r="826" spans="1:9" x14ac:dyDescent="0.3">
      <c r="A826" s="7" t="s">
        <v>11</v>
      </c>
      <c r="B826" s="8" t="s">
        <v>33</v>
      </c>
      <c r="C826" s="8" t="s">
        <v>34</v>
      </c>
      <c r="D826" s="8" t="s">
        <v>7</v>
      </c>
      <c r="E826" s="8" t="s">
        <v>8</v>
      </c>
      <c r="F826" s="13">
        <v>45.529467185679096</v>
      </c>
      <c r="G826" s="12">
        <v>1565.761987287764</v>
      </c>
      <c r="I826"/>
    </row>
    <row r="827" spans="1:9" x14ac:dyDescent="0.3">
      <c r="A827" s="7" t="s">
        <v>11</v>
      </c>
      <c r="B827" s="8" t="s">
        <v>33</v>
      </c>
      <c r="C827" s="8" t="s">
        <v>40</v>
      </c>
      <c r="D827" s="8" t="s">
        <v>4</v>
      </c>
      <c r="E827" s="8" t="s">
        <v>10</v>
      </c>
      <c r="F827" s="13">
        <v>2.5520686731397291</v>
      </c>
      <c r="G827" s="12">
        <v>62.60645892782486</v>
      </c>
      <c r="I827"/>
    </row>
    <row r="828" spans="1:9" x14ac:dyDescent="0.3">
      <c r="A828" s="7" t="s">
        <v>11</v>
      </c>
      <c r="B828" s="8" t="s">
        <v>33</v>
      </c>
      <c r="C828" s="8" t="s">
        <v>41</v>
      </c>
      <c r="D828" s="8" t="s">
        <v>4</v>
      </c>
      <c r="E828" s="8" t="s">
        <v>5</v>
      </c>
      <c r="F828" s="13">
        <v>52.970404221287026</v>
      </c>
      <c r="G828" s="12">
        <v>887.04551847313269</v>
      </c>
      <c r="I828"/>
    </row>
    <row r="829" spans="1:9" x14ac:dyDescent="0.3">
      <c r="A829" s="7" t="s">
        <v>11</v>
      </c>
      <c r="B829" s="8" t="s">
        <v>14</v>
      </c>
      <c r="C829" s="8" t="s">
        <v>36</v>
      </c>
      <c r="D829" s="8" t="s">
        <v>7</v>
      </c>
      <c r="E829" s="8" t="s">
        <v>8</v>
      </c>
      <c r="F829" s="13">
        <v>39.857964707698557</v>
      </c>
      <c r="G829" s="12">
        <v>668.05570994862683</v>
      </c>
      <c r="I829"/>
    </row>
    <row r="830" spans="1:9" x14ac:dyDescent="0.3">
      <c r="A830" s="7" t="s">
        <v>9</v>
      </c>
      <c r="B830" s="8" t="s">
        <v>27</v>
      </c>
      <c r="C830" s="8" t="s">
        <v>28</v>
      </c>
      <c r="D830" s="8" t="s">
        <v>4</v>
      </c>
      <c r="E830" s="8" t="s">
        <v>10</v>
      </c>
      <c r="F830" s="13">
        <v>76.464890854458645</v>
      </c>
      <c r="G830" s="12">
        <v>1019.0141298418312</v>
      </c>
      <c r="I830"/>
    </row>
    <row r="831" spans="1:9" x14ac:dyDescent="0.3">
      <c r="A831" s="7" t="s">
        <v>9</v>
      </c>
      <c r="B831" s="8" t="s">
        <v>33</v>
      </c>
      <c r="C831" s="8" t="s">
        <v>39</v>
      </c>
      <c r="D831" s="8" t="s">
        <v>12</v>
      </c>
      <c r="E831" s="8" t="s">
        <v>13</v>
      </c>
      <c r="F831" s="13">
        <v>17.547764117625775</v>
      </c>
      <c r="G831" s="12">
        <v>1480.3411344573178</v>
      </c>
      <c r="I831"/>
    </row>
    <row r="832" spans="1:9" x14ac:dyDescent="0.3">
      <c r="A832" s="7" t="s">
        <v>9</v>
      </c>
      <c r="B832" s="8" t="s">
        <v>33</v>
      </c>
      <c r="C832" s="8" t="s">
        <v>40</v>
      </c>
      <c r="D832" s="8" t="s">
        <v>12</v>
      </c>
      <c r="E832" s="8" t="s">
        <v>16</v>
      </c>
      <c r="F832" s="13">
        <v>71.244757218937593</v>
      </c>
      <c r="G832" s="12">
        <v>775.47237073379802</v>
      </c>
      <c r="I832"/>
    </row>
    <row r="833" spans="1:9" x14ac:dyDescent="0.3">
      <c r="A833" s="7" t="s">
        <v>9</v>
      </c>
      <c r="B833" s="8" t="s">
        <v>33</v>
      </c>
      <c r="C833" s="8" t="s">
        <v>41</v>
      </c>
      <c r="D833" s="8" t="s">
        <v>7</v>
      </c>
      <c r="E833" s="8" t="s">
        <v>17</v>
      </c>
      <c r="F833" s="13">
        <v>79.451389235509851</v>
      </c>
      <c r="G833" s="12">
        <v>790.57808028852014</v>
      </c>
      <c r="I833"/>
    </row>
    <row r="834" spans="1:9" x14ac:dyDescent="0.3">
      <c r="A834" s="7" t="s">
        <v>9</v>
      </c>
      <c r="B834" s="8" t="s">
        <v>33</v>
      </c>
      <c r="C834" s="8" t="s">
        <v>35</v>
      </c>
      <c r="D834" s="8" t="s">
        <v>4</v>
      </c>
      <c r="E834" s="8" t="s">
        <v>5</v>
      </c>
      <c r="F834" s="13">
        <v>0.97799701297844877</v>
      </c>
      <c r="G834" s="12">
        <v>1081.9222706620203</v>
      </c>
      <c r="I834"/>
    </row>
    <row r="835" spans="1:9" x14ac:dyDescent="0.3">
      <c r="A835" s="7" t="s">
        <v>9</v>
      </c>
      <c r="B835" s="8" t="s">
        <v>2</v>
      </c>
      <c r="C835" s="8" t="s">
        <v>21</v>
      </c>
      <c r="D835" s="8" t="s">
        <v>7</v>
      </c>
      <c r="E835" s="8" t="s">
        <v>8</v>
      </c>
      <c r="F835" s="13">
        <v>62.829624536607298</v>
      </c>
      <c r="G835" s="12">
        <v>1320.7063877724795</v>
      </c>
      <c r="I835"/>
    </row>
    <row r="836" spans="1:9" x14ac:dyDescent="0.3">
      <c r="A836" s="7" t="s">
        <v>11</v>
      </c>
      <c r="B836" s="8" t="s">
        <v>27</v>
      </c>
      <c r="C836" s="8" t="s">
        <v>28</v>
      </c>
      <c r="D836" s="8" t="s">
        <v>4</v>
      </c>
      <c r="E836" s="8" t="s">
        <v>10</v>
      </c>
      <c r="F836" s="13">
        <v>47.397226470548048</v>
      </c>
      <c r="G836" s="12">
        <v>792.47760263482996</v>
      </c>
      <c r="I836"/>
    </row>
    <row r="837" spans="1:9" x14ac:dyDescent="0.3">
      <c r="A837" s="7" t="s">
        <v>11</v>
      </c>
      <c r="B837" s="8" t="s">
        <v>33</v>
      </c>
      <c r="C837" s="8" t="s">
        <v>39</v>
      </c>
      <c r="D837" s="8" t="s">
        <v>12</v>
      </c>
      <c r="E837" s="8" t="s">
        <v>13</v>
      </c>
      <c r="F837" s="13">
        <v>30.892517790744023</v>
      </c>
      <c r="G837" s="12">
        <v>71.297017684247294</v>
      </c>
      <c r="I837"/>
    </row>
    <row r="838" spans="1:9" x14ac:dyDescent="0.3">
      <c r="A838" s="7" t="s">
        <v>11</v>
      </c>
      <c r="B838" s="8" t="s">
        <v>33</v>
      </c>
      <c r="C838" s="8" t="s">
        <v>40</v>
      </c>
      <c r="D838" s="8" t="s">
        <v>12</v>
      </c>
      <c r="E838" s="8" t="s">
        <v>16</v>
      </c>
      <c r="F838" s="13">
        <v>13.899430142282654</v>
      </c>
      <c r="G838" s="12">
        <v>88.636677909935315</v>
      </c>
      <c r="I838"/>
    </row>
    <row r="839" spans="1:9" x14ac:dyDescent="0.3">
      <c r="A839" s="7" t="s">
        <v>11</v>
      </c>
      <c r="B839" s="8" t="s">
        <v>33</v>
      </c>
      <c r="C839" s="8" t="s">
        <v>41</v>
      </c>
      <c r="D839" s="8" t="s">
        <v>7</v>
      </c>
      <c r="E839" s="8" t="s">
        <v>17</v>
      </c>
      <c r="F839" s="13">
        <v>41.937183433037717</v>
      </c>
      <c r="G839" s="12">
        <v>137.44027950425789</v>
      </c>
      <c r="I839"/>
    </row>
    <row r="840" spans="1:9" x14ac:dyDescent="0.3">
      <c r="A840" s="7" t="s">
        <v>11</v>
      </c>
      <c r="B840" s="8" t="s">
        <v>33</v>
      </c>
      <c r="C840" s="8" t="s">
        <v>35</v>
      </c>
      <c r="D840" s="8" t="s">
        <v>4</v>
      </c>
      <c r="E840" s="8" t="s">
        <v>5</v>
      </c>
      <c r="F840" s="13">
        <v>93.733632839848724</v>
      </c>
      <c r="G840" s="12">
        <v>631.4308937281312</v>
      </c>
      <c r="I840"/>
    </row>
    <row r="841" spans="1:9" x14ac:dyDescent="0.3">
      <c r="A841" s="7" t="s">
        <v>11</v>
      </c>
      <c r="B841" s="8" t="s">
        <v>2</v>
      </c>
      <c r="C841" s="8" t="s">
        <v>21</v>
      </c>
      <c r="D841" s="8" t="s">
        <v>7</v>
      </c>
      <c r="E841" s="8" t="s">
        <v>8</v>
      </c>
      <c r="F841" s="13">
        <v>15.816830643780122</v>
      </c>
      <c r="G841" s="12">
        <v>1242.3179600612893</v>
      </c>
      <c r="I841"/>
    </row>
    <row r="842" spans="1:9" x14ac:dyDescent="0.3">
      <c r="A842" s="7" t="s">
        <v>1</v>
      </c>
      <c r="B842" s="8" t="s">
        <v>14</v>
      </c>
      <c r="C842" s="8" t="s">
        <v>24</v>
      </c>
      <c r="D842" s="8" t="s">
        <v>4</v>
      </c>
      <c r="E842" s="8" t="s">
        <v>10</v>
      </c>
      <c r="F842" s="13">
        <v>68.078370189050474</v>
      </c>
      <c r="G842" s="12">
        <v>987.41608167201775</v>
      </c>
      <c r="I842"/>
    </row>
    <row r="843" spans="1:9" x14ac:dyDescent="0.3">
      <c r="A843" s="7" t="s">
        <v>1</v>
      </c>
      <c r="B843" s="8" t="s">
        <v>14</v>
      </c>
      <c r="C843" s="8" t="s">
        <v>37</v>
      </c>
      <c r="D843" s="8" t="s">
        <v>4</v>
      </c>
      <c r="E843" s="8" t="s">
        <v>5</v>
      </c>
      <c r="F843" s="13">
        <v>17.883281685135444</v>
      </c>
      <c r="G843" s="12">
        <v>731.54624825438077</v>
      </c>
      <c r="I843"/>
    </row>
    <row r="844" spans="1:9" x14ac:dyDescent="0.3">
      <c r="A844" s="7" t="s">
        <v>1</v>
      </c>
      <c r="B844" s="8" t="s">
        <v>27</v>
      </c>
      <c r="C844" s="8" t="s">
        <v>38</v>
      </c>
      <c r="D844" s="8" t="s">
        <v>7</v>
      </c>
      <c r="E844" s="8" t="s">
        <v>8</v>
      </c>
      <c r="F844" s="13">
        <v>46.066686459289485</v>
      </c>
      <c r="G844" s="12">
        <v>512.15281168097135</v>
      </c>
      <c r="I844"/>
    </row>
    <row r="845" spans="1:9" x14ac:dyDescent="0.3">
      <c r="A845" s="7" t="s">
        <v>1</v>
      </c>
      <c r="B845" s="8" t="s">
        <v>33</v>
      </c>
      <c r="C845" s="8" t="s">
        <v>39</v>
      </c>
      <c r="D845" s="8" t="s">
        <v>4</v>
      </c>
      <c r="E845" s="8" t="s">
        <v>10</v>
      </c>
      <c r="F845" s="13">
        <v>99.662378175526101</v>
      </c>
      <c r="G845" s="12">
        <v>164.35360121977283</v>
      </c>
      <c r="I845"/>
    </row>
    <row r="846" spans="1:9" x14ac:dyDescent="0.3">
      <c r="A846" s="7" t="s">
        <v>1</v>
      </c>
      <c r="B846" s="8" t="s">
        <v>2</v>
      </c>
      <c r="C846" s="8" t="s">
        <v>20</v>
      </c>
      <c r="D846" s="8" t="s">
        <v>12</v>
      </c>
      <c r="E846" s="8" t="s">
        <v>13</v>
      </c>
      <c r="F846" s="13">
        <v>34.935866758496559</v>
      </c>
      <c r="G846" s="12">
        <v>956.45543076334434</v>
      </c>
      <c r="I846"/>
    </row>
    <row r="847" spans="1:9" x14ac:dyDescent="0.3">
      <c r="A847" s="7" t="s">
        <v>1</v>
      </c>
      <c r="B847" s="8" t="s">
        <v>2</v>
      </c>
      <c r="C847" s="8" t="s">
        <v>3</v>
      </c>
      <c r="D847" s="8" t="s">
        <v>4</v>
      </c>
      <c r="E847" s="8" t="s">
        <v>5</v>
      </c>
      <c r="F847" s="13">
        <v>98.086902777595242</v>
      </c>
      <c r="G847" s="12">
        <v>8.437576100914157</v>
      </c>
      <c r="I847"/>
    </row>
    <row r="848" spans="1:9" x14ac:dyDescent="0.3">
      <c r="A848" s="7" t="s">
        <v>1</v>
      </c>
      <c r="B848" s="8" t="s">
        <v>2</v>
      </c>
      <c r="C848" s="8" t="s">
        <v>26</v>
      </c>
      <c r="D848" s="8" t="s">
        <v>7</v>
      </c>
      <c r="E848" s="8" t="s">
        <v>8</v>
      </c>
      <c r="F848" s="13">
        <v>1.7259981428651372</v>
      </c>
      <c r="G848" s="12">
        <v>1165.320155045265</v>
      </c>
      <c r="I848"/>
    </row>
    <row r="849" spans="1:9" x14ac:dyDescent="0.3">
      <c r="A849" s="7" t="s">
        <v>1</v>
      </c>
      <c r="B849" s="8" t="s">
        <v>33</v>
      </c>
      <c r="C849" s="8" t="s">
        <v>34</v>
      </c>
      <c r="D849" s="8" t="s">
        <v>4</v>
      </c>
      <c r="E849" s="8" t="s">
        <v>10</v>
      </c>
      <c r="F849" s="13">
        <v>90.809070597515529</v>
      </c>
      <c r="G849" s="12">
        <v>178.34636465395306</v>
      </c>
      <c r="I849"/>
    </row>
    <row r="850" spans="1:9" x14ac:dyDescent="0.3">
      <c r="A850" s="7" t="s">
        <v>1</v>
      </c>
      <c r="B850" s="8" t="s">
        <v>27</v>
      </c>
      <c r="C850" s="8" t="s">
        <v>42</v>
      </c>
      <c r="D850" s="8" t="s">
        <v>12</v>
      </c>
      <c r="E850" s="8" t="s">
        <v>13</v>
      </c>
      <c r="F850" s="13">
        <v>16.230366297349974</v>
      </c>
      <c r="G850" s="12">
        <v>979.22249286057195</v>
      </c>
      <c r="I850"/>
    </row>
    <row r="851" spans="1:9" x14ac:dyDescent="0.3">
      <c r="A851" s="7" t="s">
        <v>1</v>
      </c>
      <c r="B851" s="8" t="s">
        <v>2</v>
      </c>
      <c r="C851" s="8" t="s">
        <v>31</v>
      </c>
      <c r="D851" s="8" t="s">
        <v>12</v>
      </c>
      <c r="E851" s="8" t="s">
        <v>16</v>
      </c>
      <c r="F851" s="13">
        <v>17.62682664066233</v>
      </c>
      <c r="G851" s="12">
        <v>344.75385729110712</v>
      </c>
      <c r="I851"/>
    </row>
    <row r="852" spans="1:9" x14ac:dyDescent="0.3">
      <c r="A852" s="7" t="s">
        <v>1</v>
      </c>
      <c r="B852" s="8" t="s">
        <v>14</v>
      </c>
      <c r="C852" s="8" t="s">
        <v>22</v>
      </c>
      <c r="D852" s="8" t="s">
        <v>4</v>
      </c>
      <c r="E852" s="8" t="s">
        <v>5</v>
      </c>
      <c r="F852" s="13">
        <v>80.117506997066812</v>
      </c>
      <c r="G852" s="12">
        <v>200.52075077219342</v>
      </c>
      <c r="I852"/>
    </row>
    <row r="853" spans="1:9" x14ac:dyDescent="0.3">
      <c r="A853" s="7" t="s">
        <v>6</v>
      </c>
      <c r="B853" s="8" t="s">
        <v>14</v>
      </c>
      <c r="C853" s="8" t="s">
        <v>24</v>
      </c>
      <c r="D853" s="8" t="s">
        <v>7</v>
      </c>
      <c r="E853" s="8" t="s">
        <v>8</v>
      </c>
      <c r="F853" s="13">
        <v>41.690820012084373</v>
      </c>
      <c r="G853" s="12">
        <v>494.67635773187976</v>
      </c>
      <c r="I853"/>
    </row>
    <row r="854" spans="1:9" x14ac:dyDescent="0.3">
      <c r="A854" s="7" t="s">
        <v>6</v>
      </c>
      <c r="B854" s="8" t="s">
        <v>14</v>
      </c>
      <c r="C854" s="8" t="s">
        <v>37</v>
      </c>
      <c r="D854" s="8" t="s">
        <v>4</v>
      </c>
      <c r="E854" s="8" t="s">
        <v>10</v>
      </c>
      <c r="F854" s="13">
        <v>66.449217675290129</v>
      </c>
      <c r="G854" s="12">
        <v>691.08268875414421</v>
      </c>
      <c r="I854"/>
    </row>
    <row r="855" spans="1:9" x14ac:dyDescent="0.3">
      <c r="A855" s="7" t="s">
        <v>6</v>
      </c>
      <c r="B855" s="8" t="s">
        <v>27</v>
      </c>
      <c r="C855" s="8" t="s">
        <v>38</v>
      </c>
      <c r="D855" s="8" t="s">
        <v>12</v>
      </c>
      <c r="E855" s="8" t="s">
        <v>13</v>
      </c>
      <c r="F855" s="13">
        <v>76.95657500780726</v>
      </c>
      <c r="G855" s="12">
        <v>727.97721493213612</v>
      </c>
      <c r="I855"/>
    </row>
    <row r="856" spans="1:9" x14ac:dyDescent="0.3">
      <c r="A856" s="7" t="s">
        <v>6</v>
      </c>
      <c r="B856" s="8" t="s">
        <v>33</v>
      </c>
      <c r="C856" s="8" t="s">
        <v>39</v>
      </c>
      <c r="D856" s="8" t="s">
        <v>12</v>
      </c>
      <c r="E856" s="8" t="s">
        <v>16</v>
      </c>
      <c r="F856" s="13">
        <v>54.231157375397743</v>
      </c>
      <c r="G856" s="12">
        <v>970.58824790137987</v>
      </c>
      <c r="I856"/>
    </row>
    <row r="857" spans="1:9" x14ac:dyDescent="0.3">
      <c r="A857" s="7" t="s">
        <v>6</v>
      </c>
      <c r="B857" s="8" t="s">
        <v>2</v>
      </c>
      <c r="C857" s="8" t="s">
        <v>20</v>
      </c>
      <c r="D857" s="8" t="s">
        <v>4</v>
      </c>
      <c r="E857" s="8" t="s">
        <v>5</v>
      </c>
      <c r="F857" s="13">
        <v>46.390990324198356</v>
      </c>
      <c r="G857" s="12">
        <v>1161.6870207778593</v>
      </c>
      <c r="I857"/>
    </row>
    <row r="858" spans="1:9" x14ac:dyDescent="0.3">
      <c r="A858" s="7" t="s">
        <v>6</v>
      </c>
      <c r="B858" s="8" t="s">
        <v>2</v>
      </c>
      <c r="C858" s="8" t="s">
        <v>3</v>
      </c>
      <c r="D858" s="8" t="s">
        <v>7</v>
      </c>
      <c r="E858" s="8" t="s">
        <v>8</v>
      </c>
      <c r="F858" s="13">
        <v>66.484668577140837</v>
      </c>
      <c r="G858" s="12">
        <v>1026.8134137497218</v>
      </c>
      <c r="I858"/>
    </row>
    <row r="859" spans="1:9" x14ac:dyDescent="0.3">
      <c r="A859" s="7" t="s">
        <v>6</v>
      </c>
      <c r="B859" s="8" t="s">
        <v>2</v>
      </c>
      <c r="C859" s="8" t="s">
        <v>26</v>
      </c>
      <c r="D859" s="8" t="s">
        <v>4</v>
      </c>
      <c r="E859" s="8" t="s">
        <v>10</v>
      </c>
      <c r="F859" s="13">
        <v>54.045606597446749</v>
      </c>
      <c r="G859" s="12">
        <v>1240.0427043054751</v>
      </c>
      <c r="I859"/>
    </row>
    <row r="860" spans="1:9" x14ac:dyDescent="0.3">
      <c r="A860" s="7" t="s">
        <v>6</v>
      </c>
      <c r="B860" s="8" t="s">
        <v>33</v>
      </c>
      <c r="C860" s="8" t="s">
        <v>34</v>
      </c>
      <c r="D860" s="8" t="s">
        <v>12</v>
      </c>
      <c r="E860" s="8" t="s">
        <v>13</v>
      </c>
      <c r="F860" s="13">
        <v>97.416753747529583</v>
      </c>
      <c r="G860" s="12">
        <v>602.10688997058605</v>
      </c>
      <c r="I860"/>
    </row>
    <row r="861" spans="1:9" x14ac:dyDescent="0.3">
      <c r="A861" s="7" t="s">
        <v>6</v>
      </c>
      <c r="B861" s="8" t="s">
        <v>27</v>
      </c>
      <c r="C861" s="8" t="s">
        <v>42</v>
      </c>
      <c r="D861" s="8" t="s">
        <v>12</v>
      </c>
      <c r="E861" s="8" t="s">
        <v>16</v>
      </c>
      <c r="F861" s="13">
        <v>11.028466697734984</v>
      </c>
      <c r="G861" s="12">
        <v>853.61815960440254</v>
      </c>
      <c r="I861"/>
    </row>
    <row r="862" spans="1:9" x14ac:dyDescent="0.3">
      <c r="A862" s="7" t="s">
        <v>6</v>
      </c>
      <c r="B862" s="8" t="s">
        <v>2</v>
      </c>
      <c r="C862" s="8" t="s">
        <v>31</v>
      </c>
      <c r="D862" s="8" t="s">
        <v>7</v>
      </c>
      <c r="E862" s="8" t="s">
        <v>17</v>
      </c>
      <c r="F862" s="13">
        <v>73.332427678178647</v>
      </c>
      <c r="G862" s="12">
        <v>367.43574804203308</v>
      </c>
      <c r="I862"/>
    </row>
    <row r="863" spans="1:9" x14ac:dyDescent="0.3">
      <c r="A863" s="7" t="s">
        <v>6</v>
      </c>
      <c r="B863" s="8" t="s">
        <v>14</v>
      </c>
      <c r="C863" s="8" t="s">
        <v>22</v>
      </c>
      <c r="D863" s="8" t="s">
        <v>4</v>
      </c>
      <c r="E863" s="8" t="s">
        <v>5</v>
      </c>
      <c r="F863" s="13">
        <v>62.567463536743162</v>
      </c>
      <c r="G863" s="12">
        <v>506.18843043093693</v>
      </c>
      <c r="I863"/>
    </row>
    <row r="864" spans="1:9" x14ac:dyDescent="0.3">
      <c r="A864" s="7" t="s">
        <v>1</v>
      </c>
      <c r="B864" s="8" t="s">
        <v>33</v>
      </c>
      <c r="C864" s="8" t="s">
        <v>40</v>
      </c>
      <c r="D864" s="8" t="s">
        <v>7</v>
      </c>
      <c r="E864" s="8" t="s">
        <v>8</v>
      </c>
      <c r="F864" s="13">
        <v>16.544398359656043</v>
      </c>
      <c r="G864" s="12">
        <v>220.53457052243175</v>
      </c>
      <c r="I864"/>
    </row>
    <row r="865" spans="1:9" x14ac:dyDescent="0.3">
      <c r="A865" s="7" t="s">
        <v>1</v>
      </c>
      <c r="B865" s="8" t="s">
        <v>27</v>
      </c>
      <c r="C865" s="8" t="s">
        <v>42</v>
      </c>
      <c r="D865" s="8" t="s">
        <v>4</v>
      </c>
      <c r="E865" s="8" t="s">
        <v>10</v>
      </c>
      <c r="F865" s="13">
        <v>89.85486187530114</v>
      </c>
      <c r="G865" s="12">
        <v>444.07965508871712</v>
      </c>
      <c r="I865"/>
    </row>
    <row r="866" spans="1:9" x14ac:dyDescent="0.3">
      <c r="A866" s="7" t="s">
        <v>1</v>
      </c>
      <c r="B866" s="8" t="s">
        <v>14</v>
      </c>
      <c r="C866" s="8" t="s">
        <v>36</v>
      </c>
      <c r="D866" s="8" t="s">
        <v>4</v>
      </c>
      <c r="E866" s="8" t="s">
        <v>5</v>
      </c>
      <c r="F866" s="13">
        <v>47.781509461492533</v>
      </c>
      <c r="G866" s="12">
        <v>85.874904468471414</v>
      </c>
      <c r="I866"/>
    </row>
    <row r="867" spans="1:9" x14ac:dyDescent="0.3">
      <c r="A867" s="7" t="s">
        <v>9</v>
      </c>
      <c r="B867" s="8" t="s">
        <v>14</v>
      </c>
      <c r="C867" s="8" t="s">
        <v>24</v>
      </c>
      <c r="D867" s="8" t="s">
        <v>7</v>
      </c>
      <c r="E867" s="8" t="s">
        <v>8</v>
      </c>
      <c r="F867" s="13">
        <v>90.438748012456927</v>
      </c>
      <c r="G867" s="12">
        <v>69.764929403531823</v>
      </c>
      <c r="I867"/>
    </row>
    <row r="868" spans="1:9" x14ac:dyDescent="0.3">
      <c r="A868" s="7" t="s">
        <v>9</v>
      </c>
      <c r="B868" s="8" t="s">
        <v>14</v>
      </c>
      <c r="C868" s="8" t="s">
        <v>37</v>
      </c>
      <c r="D868" s="8" t="s">
        <v>4</v>
      </c>
      <c r="E868" s="8" t="s">
        <v>10</v>
      </c>
      <c r="F868" s="13">
        <v>44.095630760421045</v>
      </c>
      <c r="G868" s="12">
        <v>952.13390024756154</v>
      </c>
      <c r="I868"/>
    </row>
    <row r="869" spans="1:9" x14ac:dyDescent="0.3">
      <c r="A869" s="7" t="s">
        <v>9</v>
      </c>
      <c r="B869" s="8" t="s">
        <v>27</v>
      </c>
      <c r="C869" s="8" t="s">
        <v>38</v>
      </c>
      <c r="D869" s="8" t="s">
        <v>12</v>
      </c>
      <c r="E869" s="8" t="s">
        <v>13</v>
      </c>
      <c r="F869" s="13">
        <v>0.34219709659737418</v>
      </c>
      <c r="G869" s="12">
        <v>436.5491925896431</v>
      </c>
      <c r="I869"/>
    </row>
    <row r="870" spans="1:9" x14ac:dyDescent="0.3">
      <c r="A870" s="7" t="s">
        <v>9</v>
      </c>
      <c r="B870" s="8" t="s">
        <v>33</v>
      </c>
      <c r="C870" s="8" t="s">
        <v>39</v>
      </c>
      <c r="D870" s="8" t="s">
        <v>12</v>
      </c>
      <c r="E870" s="8" t="s">
        <v>16</v>
      </c>
      <c r="F870" s="13">
        <v>28.886795061043813</v>
      </c>
      <c r="G870" s="12">
        <v>132.33023527428486</v>
      </c>
      <c r="I870"/>
    </row>
    <row r="871" spans="1:9" x14ac:dyDescent="0.3">
      <c r="A871" s="7" t="s">
        <v>9</v>
      </c>
      <c r="B871" s="8" t="s">
        <v>2</v>
      </c>
      <c r="C871" s="8" t="s">
        <v>20</v>
      </c>
      <c r="D871" s="8" t="s">
        <v>7</v>
      </c>
      <c r="E871" s="8" t="s">
        <v>17</v>
      </c>
      <c r="F871" s="13">
        <v>88.99591504732598</v>
      </c>
      <c r="G871" s="12">
        <v>510.12656328477715</v>
      </c>
      <c r="I871"/>
    </row>
    <row r="872" spans="1:9" x14ac:dyDescent="0.3">
      <c r="A872" s="7" t="s">
        <v>9</v>
      </c>
      <c r="B872" s="8" t="s">
        <v>2</v>
      </c>
      <c r="C872" s="8" t="s">
        <v>3</v>
      </c>
      <c r="D872" s="8" t="s">
        <v>4</v>
      </c>
      <c r="E872" s="8" t="s">
        <v>5</v>
      </c>
      <c r="F872" s="13">
        <v>46.120390463875083</v>
      </c>
      <c r="G872" s="12">
        <v>182.8041930427089</v>
      </c>
      <c r="I872"/>
    </row>
    <row r="873" spans="1:9" x14ac:dyDescent="0.3">
      <c r="A873" s="7" t="s">
        <v>9</v>
      </c>
      <c r="B873" s="8" t="s">
        <v>2</v>
      </c>
      <c r="C873" s="8" t="s">
        <v>26</v>
      </c>
      <c r="D873" s="8" t="s">
        <v>7</v>
      </c>
      <c r="E873" s="8" t="s">
        <v>8</v>
      </c>
      <c r="F873" s="13">
        <v>32.756923799843207</v>
      </c>
      <c r="G873" s="12">
        <v>723.26939145653523</v>
      </c>
      <c r="I873"/>
    </row>
    <row r="874" spans="1:9" x14ac:dyDescent="0.3">
      <c r="A874" s="7" t="s">
        <v>9</v>
      </c>
      <c r="B874" s="8" t="s">
        <v>33</v>
      </c>
      <c r="C874" s="8" t="s">
        <v>34</v>
      </c>
      <c r="D874" s="8" t="s">
        <v>4</v>
      </c>
      <c r="E874" s="8" t="s">
        <v>10</v>
      </c>
      <c r="F874" s="13">
        <v>0.70188750978559256</v>
      </c>
      <c r="G874" s="12">
        <v>490.45819242308153</v>
      </c>
      <c r="I874"/>
    </row>
    <row r="875" spans="1:9" x14ac:dyDescent="0.3">
      <c r="A875" s="7" t="s">
        <v>9</v>
      </c>
      <c r="B875" s="8" t="s">
        <v>27</v>
      </c>
      <c r="C875" s="8" t="s">
        <v>42</v>
      </c>
      <c r="D875" s="8" t="s">
        <v>12</v>
      </c>
      <c r="E875" s="8" t="s">
        <v>13</v>
      </c>
      <c r="F875" s="13">
        <v>98.897944687905692</v>
      </c>
      <c r="G875" s="12">
        <v>260.55801010084724</v>
      </c>
      <c r="I875"/>
    </row>
    <row r="876" spans="1:9" x14ac:dyDescent="0.3">
      <c r="A876" s="7" t="s">
        <v>9</v>
      </c>
      <c r="B876" s="8" t="s">
        <v>2</v>
      </c>
      <c r="C876" s="8" t="s">
        <v>31</v>
      </c>
      <c r="D876" s="8" t="s">
        <v>12</v>
      </c>
      <c r="E876" s="8" t="s">
        <v>16</v>
      </c>
      <c r="F876" s="13">
        <v>81.521970396897814</v>
      </c>
      <c r="G876" s="12">
        <v>647.20361086019602</v>
      </c>
      <c r="I876"/>
    </row>
    <row r="877" spans="1:9" x14ac:dyDescent="0.3">
      <c r="A877" s="7" t="s">
        <v>9</v>
      </c>
      <c r="B877" s="8" t="s">
        <v>14</v>
      </c>
      <c r="C877" s="8" t="s">
        <v>22</v>
      </c>
      <c r="D877" s="8" t="s">
        <v>7</v>
      </c>
      <c r="E877" s="8" t="s">
        <v>17</v>
      </c>
      <c r="F877" s="13">
        <v>12.560129717621749</v>
      </c>
      <c r="G877" s="12">
        <v>343.27418102452066</v>
      </c>
      <c r="I877"/>
    </row>
    <row r="878" spans="1:9" x14ac:dyDescent="0.3">
      <c r="A878" s="7" t="s">
        <v>6</v>
      </c>
      <c r="B878" s="8" t="s">
        <v>33</v>
      </c>
      <c r="C878" s="8" t="s">
        <v>40</v>
      </c>
      <c r="D878" s="8" t="s">
        <v>4</v>
      </c>
      <c r="E878" s="8" t="s">
        <v>5</v>
      </c>
      <c r="F878" s="13">
        <v>0.66611805268621538</v>
      </c>
      <c r="G878" s="12">
        <v>1046.5468983700957</v>
      </c>
      <c r="I878"/>
    </row>
    <row r="879" spans="1:9" x14ac:dyDescent="0.3">
      <c r="A879" s="7" t="s">
        <v>6</v>
      </c>
      <c r="B879" s="8" t="s">
        <v>27</v>
      </c>
      <c r="C879" s="8" t="s">
        <v>42</v>
      </c>
      <c r="D879" s="8" t="s">
        <v>7</v>
      </c>
      <c r="E879" s="8" t="s">
        <v>8</v>
      </c>
      <c r="F879" s="13">
        <v>85.298099036208441</v>
      </c>
      <c r="G879" s="12">
        <v>602.0299642437385</v>
      </c>
      <c r="I879"/>
    </row>
    <row r="880" spans="1:9" x14ac:dyDescent="0.3">
      <c r="A880" s="7" t="s">
        <v>6</v>
      </c>
      <c r="B880" s="8" t="s">
        <v>14</v>
      </c>
      <c r="C880" s="8" t="s">
        <v>36</v>
      </c>
      <c r="D880" s="8" t="s">
        <v>4</v>
      </c>
      <c r="E880" s="8" t="s">
        <v>10</v>
      </c>
      <c r="F880" s="13">
        <v>72.971484513072937</v>
      </c>
      <c r="G880" s="12">
        <v>818.69689235977785</v>
      </c>
      <c r="I880"/>
    </row>
    <row r="881" spans="1:9" x14ac:dyDescent="0.3">
      <c r="A881" s="7" t="s">
        <v>11</v>
      </c>
      <c r="B881" s="8" t="s">
        <v>14</v>
      </c>
      <c r="C881" s="8" t="s">
        <v>24</v>
      </c>
      <c r="D881" s="8" t="s">
        <v>4</v>
      </c>
      <c r="E881" s="8" t="s">
        <v>5</v>
      </c>
      <c r="F881" s="13">
        <v>40.329351538912306</v>
      </c>
      <c r="G881" s="12">
        <v>438.24016965378178</v>
      </c>
      <c r="I881"/>
    </row>
    <row r="882" spans="1:9" x14ac:dyDescent="0.3">
      <c r="A882" s="7" t="s">
        <v>11</v>
      </c>
      <c r="B882" s="8" t="s">
        <v>14</v>
      </c>
      <c r="C882" s="8" t="s">
        <v>37</v>
      </c>
      <c r="D882" s="8" t="s">
        <v>7</v>
      </c>
      <c r="E882" s="8" t="s">
        <v>8</v>
      </c>
      <c r="F882" s="13">
        <v>80.122587300866144</v>
      </c>
      <c r="G882" s="12">
        <v>73.650424534405801</v>
      </c>
      <c r="I882"/>
    </row>
    <row r="883" spans="1:9" x14ac:dyDescent="0.3">
      <c r="A883" s="7" t="s">
        <v>11</v>
      </c>
      <c r="B883" s="8" t="s">
        <v>27</v>
      </c>
      <c r="C883" s="8" t="s">
        <v>38</v>
      </c>
      <c r="D883" s="8" t="s">
        <v>4</v>
      </c>
      <c r="E883" s="8" t="s">
        <v>10</v>
      </c>
      <c r="F883" s="13">
        <v>37.589796095107886</v>
      </c>
      <c r="G883" s="12">
        <v>668.25576554825147</v>
      </c>
      <c r="I883"/>
    </row>
    <row r="884" spans="1:9" x14ac:dyDescent="0.3">
      <c r="A884" s="7" t="s">
        <v>11</v>
      </c>
      <c r="B884" s="8" t="s">
        <v>33</v>
      </c>
      <c r="C884" s="8" t="s">
        <v>39</v>
      </c>
      <c r="D884" s="8" t="s">
        <v>12</v>
      </c>
      <c r="E884" s="8" t="s">
        <v>13</v>
      </c>
      <c r="F884" s="13">
        <v>38.443536151498847</v>
      </c>
      <c r="G884" s="12">
        <v>265.67192601964052</v>
      </c>
      <c r="I884"/>
    </row>
    <row r="885" spans="1:9" x14ac:dyDescent="0.3">
      <c r="A885" s="7" t="s">
        <v>11</v>
      </c>
      <c r="B885" s="8" t="s">
        <v>2</v>
      </c>
      <c r="C885" s="8" t="s">
        <v>20</v>
      </c>
      <c r="D885" s="8" t="s">
        <v>4</v>
      </c>
      <c r="E885" s="8" t="s">
        <v>5</v>
      </c>
      <c r="F885" s="13">
        <v>72.020172493466816</v>
      </c>
      <c r="G885" s="12">
        <v>477.38951308409469</v>
      </c>
      <c r="I885"/>
    </row>
    <row r="886" spans="1:9" x14ac:dyDescent="0.3">
      <c r="A886" s="7" t="s">
        <v>11</v>
      </c>
      <c r="B886" s="8" t="s">
        <v>2</v>
      </c>
      <c r="C886" s="8" t="s">
        <v>3</v>
      </c>
      <c r="D886" s="8" t="s">
        <v>7</v>
      </c>
      <c r="E886" s="8" t="s">
        <v>8</v>
      </c>
      <c r="F886" s="13">
        <v>97.466684218034061</v>
      </c>
      <c r="G886" s="12">
        <v>521.88292805031779</v>
      </c>
      <c r="I886"/>
    </row>
    <row r="887" spans="1:9" x14ac:dyDescent="0.3">
      <c r="A887" s="7" t="s">
        <v>11</v>
      </c>
      <c r="B887" s="8" t="s">
        <v>2</v>
      </c>
      <c r="C887" s="8" t="s">
        <v>26</v>
      </c>
      <c r="D887" s="8" t="s">
        <v>4</v>
      </c>
      <c r="E887" s="8" t="s">
        <v>10</v>
      </c>
      <c r="F887" s="13">
        <v>43.60665539643378</v>
      </c>
      <c r="G887" s="12">
        <v>761.93278639213077</v>
      </c>
      <c r="I887"/>
    </row>
    <row r="888" spans="1:9" x14ac:dyDescent="0.3">
      <c r="A888" s="7" t="s">
        <v>11</v>
      </c>
      <c r="B888" s="8" t="s">
        <v>33</v>
      </c>
      <c r="C888" s="8" t="s">
        <v>34</v>
      </c>
      <c r="D888" s="8" t="s">
        <v>12</v>
      </c>
      <c r="E888" s="8" t="s">
        <v>13</v>
      </c>
      <c r="F888" s="13">
        <v>60.96184803855067</v>
      </c>
      <c r="G888" s="12">
        <v>436.93991949168776</v>
      </c>
      <c r="I888"/>
    </row>
    <row r="889" spans="1:9" x14ac:dyDescent="0.3">
      <c r="A889" s="7" t="s">
        <v>11</v>
      </c>
      <c r="B889" s="8" t="s">
        <v>27</v>
      </c>
      <c r="C889" s="8" t="s">
        <v>42</v>
      </c>
      <c r="D889" s="8" t="s">
        <v>12</v>
      </c>
      <c r="E889" s="8" t="s">
        <v>16</v>
      </c>
      <c r="F889" s="13">
        <v>73.390654917056963</v>
      </c>
      <c r="G889" s="12">
        <v>447.54488037202918</v>
      </c>
      <c r="I889"/>
    </row>
    <row r="890" spans="1:9" x14ac:dyDescent="0.3">
      <c r="A890" s="7" t="s">
        <v>11</v>
      </c>
      <c r="B890" s="8" t="s">
        <v>2</v>
      </c>
      <c r="C890" s="8" t="s">
        <v>31</v>
      </c>
      <c r="D890" s="8" t="s">
        <v>4</v>
      </c>
      <c r="E890" s="8" t="s">
        <v>5</v>
      </c>
      <c r="F890" s="13">
        <v>88.280439690970525</v>
      </c>
      <c r="G890" s="12">
        <v>841.3782687456569</v>
      </c>
      <c r="I890"/>
    </row>
    <row r="891" spans="1:9" x14ac:dyDescent="0.3">
      <c r="A891" s="7" t="s">
        <v>11</v>
      </c>
      <c r="B891" s="8" t="s">
        <v>14</v>
      </c>
      <c r="C891" s="8" t="s">
        <v>22</v>
      </c>
      <c r="D891" s="8" t="s">
        <v>7</v>
      </c>
      <c r="E891" s="8" t="s">
        <v>8</v>
      </c>
      <c r="F891" s="13">
        <v>11.287118972632015</v>
      </c>
      <c r="G891" s="12">
        <v>26.392834044359006</v>
      </c>
      <c r="I891"/>
    </row>
    <row r="892" spans="1:9" x14ac:dyDescent="0.3">
      <c r="A892" s="7" t="s">
        <v>9</v>
      </c>
      <c r="B892" s="8" t="s">
        <v>33</v>
      </c>
      <c r="C892" s="8" t="s">
        <v>40</v>
      </c>
      <c r="D892" s="8" t="s">
        <v>4</v>
      </c>
      <c r="E892" s="8" t="s">
        <v>10</v>
      </c>
      <c r="F892" s="13">
        <v>18.194227049389156</v>
      </c>
      <c r="G892" s="12">
        <v>559.53956308639317</v>
      </c>
      <c r="I892"/>
    </row>
    <row r="893" spans="1:9" x14ac:dyDescent="0.3">
      <c r="A893" s="7" t="s">
        <v>9</v>
      </c>
      <c r="B893" s="8" t="s">
        <v>27</v>
      </c>
      <c r="C893" s="8" t="s">
        <v>42</v>
      </c>
      <c r="D893" s="8" t="s">
        <v>12</v>
      </c>
      <c r="E893" s="8" t="s">
        <v>13</v>
      </c>
      <c r="F893" s="13">
        <v>80.307100251502561</v>
      </c>
      <c r="G893" s="12">
        <v>339.43461898588248</v>
      </c>
      <c r="I893"/>
    </row>
    <row r="894" spans="1:9" x14ac:dyDescent="0.3">
      <c r="A894" s="7" t="s">
        <v>9</v>
      </c>
      <c r="B894" s="8" t="s">
        <v>14</v>
      </c>
      <c r="C894" s="8" t="s">
        <v>36</v>
      </c>
      <c r="D894" s="8" t="s">
        <v>12</v>
      </c>
      <c r="E894" s="8" t="s">
        <v>16</v>
      </c>
      <c r="F894" s="13">
        <v>86.052564703459211</v>
      </c>
      <c r="G894" s="12">
        <v>356.44870285402067</v>
      </c>
      <c r="I894"/>
    </row>
    <row r="895" spans="1:9" x14ac:dyDescent="0.3">
      <c r="A895" s="7" t="s">
        <v>11</v>
      </c>
      <c r="B895" s="8" t="s">
        <v>33</v>
      </c>
      <c r="C895" s="8" t="s">
        <v>40</v>
      </c>
      <c r="D895" s="8" t="s">
        <v>4</v>
      </c>
      <c r="E895" s="8" t="s">
        <v>5</v>
      </c>
      <c r="F895" s="13">
        <v>13.91753750767748</v>
      </c>
      <c r="G895" s="12">
        <v>325.4804428286343</v>
      </c>
      <c r="I895"/>
    </row>
    <row r="896" spans="1:9" x14ac:dyDescent="0.3">
      <c r="A896" s="7" t="s">
        <v>11</v>
      </c>
      <c r="B896" s="8" t="s">
        <v>27</v>
      </c>
      <c r="C896" s="8" t="s">
        <v>42</v>
      </c>
      <c r="D896" s="8" t="s">
        <v>7</v>
      </c>
      <c r="E896" s="8" t="s">
        <v>8</v>
      </c>
      <c r="F896" s="13">
        <v>41.819321679577115</v>
      </c>
      <c r="G896" s="12">
        <v>143.83771918399361</v>
      </c>
      <c r="I896"/>
    </row>
    <row r="897" spans="1:9" x14ac:dyDescent="0.3">
      <c r="A897" s="7" t="s">
        <v>11</v>
      </c>
      <c r="B897" s="8" t="s">
        <v>14</v>
      </c>
      <c r="C897" s="8" t="s">
        <v>36</v>
      </c>
      <c r="D897" s="8" t="s">
        <v>4</v>
      </c>
      <c r="E897" s="8" t="s">
        <v>10</v>
      </c>
      <c r="F897" s="13">
        <v>79.004936237470247</v>
      </c>
      <c r="G897" s="12">
        <v>393.36312886814994</v>
      </c>
      <c r="I897"/>
    </row>
    <row r="898" spans="1:9" x14ac:dyDescent="0.3">
      <c r="A898" s="7" t="s">
        <v>1</v>
      </c>
      <c r="B898" s="8" t="s">
        <v>14</v>
      </c>
      <c r="C898" s="8" t="s">
        <v>37</v>
      </c>
      <c r="D898" s="8" t="s">
        <v>12</v>
      </c>
      <c r="E898" s="8" t="s">
        <v>13</v>
      </c>
      <c r="F898" s="13">
        <v>86.052564703459211</v>
      </c>
      <c r="G898" s="12">
        <v>150</v>
      </c>
      <c r="I898"/>
    </row>
    <row r="899" spans="1:9" x14ac:dyDescent="0.3">
      <c r="A899" s="7" t="s">
        <v>6</v>
      </c>
      <c r="B899" s="8" t="s">
        <v>14</v>
      </c>
      <c r="C899" s="8" t="s">
        <v>37</v>
      </c>
      <c r="D899" s="8" t="s">
        <v>12</v>
      </c>
      <c r="E899" s="8" t="s">
        <v>16</v>
      </c>
      <c r="F899" s="13">
        <v>13.91753750767748</v>
      </c>
      <c r="G899" s="12">
        <v>900</v>
      </c>
      <c r="I899"/>
    </row>
    <row r="900" spans="1:9" x14ac:dyDescent="0.3">
      <c r="A900" s="7" t="s">
        <v>9</v>
      </c>
      <c r="B900" s="8" t="s">
        <v>14</v>
      </c>
      <c r="C900" s="8" t="s">
        <v>37</v>
      </c>
      <c r="D900" s="8" t="s">
        <v>7</v>
      </c>
      <c r="E900" s="8" t="s">
        <v>17</v>
      </c>
      <c r="F900" s="13">
        <v>41.819321679577115</v>
      </c>
      <c r="G900" s="12">
        <v>42</v>
      </c>
      <c r="I900"/>
    </row>
    <row r="901" spans="1:9" x14ac:dyDescent="0.3">
      <c r="A901" s="7" t="s">
        <v>11</v>
      </c>
      <c r="B901" s="8" t="s">
        <v>14</v>
      </c>
      <c r="C901" s="8" t="s">
        <v>37</v>
      </c>
      <c r="D901" s="8" t="s">
        <v>4</v>
      </c>
      <c r="E901" s="8" t="s">
        <v>5</v>
      </c>
      <c r="F901" s="13">
        <v>79.004936237470247</v>
      </c>
      <c r="G901" s="12">
        <v>88</v>
      </c>
      <c r="I901"/>
    </row>
    <row r="902" spans="1:9" x14ac:dyDescent="0.3">
      <c r="D902" s="11"/>
      <c r="E902" s="11"/>
      <c r="F902" s="11"/>
      <c r="I902"/>
    </row>
    <row r="903" spans="1:9" x14ac:dyDescent="0.3">
      <c r="D903" s="11"/>
      <c r="E903" s="11"/>
      <c r="F903" s="11"/>
      <c r="I903"/>
    </row>
    <row r="904" spans="1:9" x14ac:dyDescent="0.3">
      <c r="D904" s="11"/>
      <c r="E904" s="11"/>
      <c r="F904" s="11"/>
      <c r="I904"/>
    </row>
    <row r="905" spans="1:9" x14ac:dyDescent="0.3">
      <c r="D905" s="11"/>
      <c r="E905" s="11"/>
      <c r="F905" s="11"/>
      <c r="I905"/>
    </row>
    <row r="906" spans="1:9" x14ac:dyDescent="0.3">
      <c r="D906" s="11"/>
      <c r="E906" s="11"/>
      <c r="F906" s="11"/>
      <c r="I906"/>
    </row>
    <row r="907" spans="1:9" x14ac:dyDescent="0.3">
      <c r="D907" s="11"/>
      <c r="E907" s="11"/>
      <c r="F907" s="11"/>
      <c r="I907"/>
    </row>
    <row r="908" spans="1:9" x14ac:dyDescent="0.3">
      <c r="D908" s="11"/>
      <c r="E908" s="11"/>
      <c r="F908" s="11"/>
      <c r="I908"/>
    </row>
    <row r="909" spans="1:9" x14ac:dyDescent="0.3">
      <c r="D909" s="11"/>
      <c r="E909" s="11"/>
      <c r="F909" s="11"/>
      <c r="I909"/>
    </row>
    <row r="910" spans="1:9" x14ac:dyDescent="0.3">
      <c r="D910" s="11"/>
      <c r="I910"/>
    </row>
    <row r="911" spans="1:9" x14ac:dyDescent="0.3">
      <c r="D911" s="11"/>
      <c r="I911"/>
    </row>
    <row r="912" spans="1:9" x14ac:dyDescent="0.3">
      <c r="D912" s="11"/>
      <c r="I912"/>
    </row>
    <row r="913" spans="4:9" x14ac:dyDescent="0.3">
      <c r="D913" s="11"/>
      <c r="I913"/>
    </row>
    <row r="914" spans="4:9" x14ac:dyDescent="0.3">
      <c r="D914" s="11"/>
      <c r="I914"/>
    </row>
    <row r="915" spans="4:9" x14ac:dyDescent="0.3">
      <c r="D915" s="11"/>
      <c r="I915"/>
    </row>
    <row r="916" spans="4:9" x14ac:dyDescent="0.3">
      <c r="D916" s="11"/>
      <c r="I916"/>
    </row>
    <row r="917" spans="4:9" x14ac:dyDescent="0.3">
      <c r="D917" s="11"/>
      <c r="I917"/>
    </row>
    <row r="918" spans="4:9" x14ac:dyDescent="0.3">
      <c r="D918" s="11"/>
      <c r="I918"/>
    </row>
    <row r="919" spans="4:9" x14ac:dyDescent="0.3">
      <c r="D919" s="11"/>
      <c r="I919"/>
    </row>
    <row r="920" spans="4:9" x14ac:dyDescent="0.3">
      <c r="D920" s="11"/>
      <c r="I920"/>
    </row>
    <row r="921" spans="4:9" x14ac:dyDescent="0.3">
      <c r="D921" s="11"/>
      <c r="I921"/>
    </row>
    <row r="922" spans="4:9" x14ac:dyDescent="0.3">
      <c r="D922" s="11"/>
      <c r="I922"/>
    </row>
    <row r="923" spans="4:9" x14ac:dyDescent="0.3">
      <c r="D923" s="11"/>
      <c r="I923"/>
    </row>
    <row r="924" spans="4:9" x14ac:dyDescent="0.3">
      <c r="D924" s="11"/>
      <c r="I924"/>
    </row>
    <row r="925" spans="4:9" x14ac:dyDescent="0.3">
      <c r="D925" s="11"/>
      <c r="I925"/>
    </row>
  </sheetData>
  <sortState xmlns:xlrd2="http://schemas.microsoft.com/office/spreadsheetml/2017/richdata2" ref="I1:I6">
    <sortCondition ref="I1:I6"/>
  </sortState>
  <printOptions gridLines="1" gridLinesSet="0"/>
  <pageMargins left="0.75" right="0.75" top="1" bottom="1" header="0.5" footer="0.5"/>
  <pageSetup orientation="portrait" horizontalDpi="4294967293" r:id="rId1"/>
  <headerFooter alignWithMargins="0">
    <oddHeader>&amp;A</oddHeader>
    <oddFooter>Page &amp;P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5:K27"/>
  <sheetViews>
    <sheetView showGridLines="0" showRowColHeaders="0" zoomScaleNormal="100" workbookViewId="0">
      <selection activeCell="W20" sqref="W20"/>
    </sheetView>
  </sheetViews>
  <sheetFormatPr defaultRowHeight="14.4" x14ac:dyDescent="0.3"/>
  <cols>
    <col min="2" max="2" width="21.6640625" customWidth="1"/>
    <col min="4" max="4" width="11" bestFit="1" customWidth="1"/>
    <col min="5" max="5" width="12" bestFit="1" customWidth="1"/>
    <col min="6" max="6" width="11" bestFit="1" customWidth="1"/>
    <col min="7" max="7" width="8.88671875" customWidth="1"/>
    <col min="8" max="8" width="21.33203125" customWidth="1"/>
    <col min="11" max="11" width="35.6640625" customWidth="1"/>
    <col min="15" max="15" width="8.88671875" customWidth="1"/>
  </cols>
  <sheetData>
    <row r="15" spans="8:8" x14ac:dyDescent="0.3">
      <c r="H15" s="28"/>
    </row>
    <row r="20" spans="2:11" x14ac:dyDescent="0.3">
      <c r="B20" s="24" t="s">
        <v>5</v>
      </c>
      <c r="C20" s="25" t="s">
        <v>1</v>
      </c>
      <c r="D20" s="25" t="s">
        <v>6</v>
      </c>
      <c r="E20" s="25" t="s">
        <v>9</v>
      </c>
      <c r="F20" s="25" t="s">
        <v>11</v>
      </c>
    </row>
    <row r="21" spans="2:11" x14ac:dyDescent="0.3">
      <c r="B21" s="8" t="s">
        <v>8</v>
      </c>
      <c r="C21" s="26">
        <f>SUMIFS(Финансы[Сумма], Финансы[Продукт], $B21, Финансы[Квартал], C$20)</f>
        <v>3716099.6022993</v>
      </c>
      <c r="D21" s="26">
        <f>SUMIFS(Финансы[Сумма], Финансы[Продукт], $B21, Финансы[Квартал], D$20)</f>
        <v>9230635.2396968547</v>
      </c>
      <c r="E21" s="26">
        <f>SUMIFS(Финансы[Сумма], Финансы[Продукт], $B21, Финансы[Квартал], E$20)</f>
        <v>19012434.021335002</v>
      </c>
      <c r="F21" s="26">
        <f>SUMIFS(Финансы[Сумма], Финансы[Продукт], $B21, Финансы[Квартал], F$20)</f>
        <v>7514587.9615697684</v>
      </c>
    </row>
    <row r="22" spans="2:11" x14ac:dyDescent="0.3">
      <c r="B22" s="8" t="s">
        <v>10</v>
      </c>
      <c r="C22" s="26">
        <f>SUMIFS(Финансы[Сумма], Финансы[Продукт], $B22, Финансы[Квартал], C$20)</f>
        <v>10507546.781018656</v>
      </c>
      <c r="D22" s="26">
        <f>SUMIFS(Финансы[Сумма], Финансы[Продукт], $B22, Финансы[Квартал], D$20)</f>
        <v>9066038.9310609531</v>
      </c>
      <c r="E22" s="26">
        <f>SUMIFS(Финансы[Сумма], Финансы[Продукт], $B22, Финансы[Квартал], E$20)</f>
        <v>11617624.570669712</v>
      </c>
      <c r="F22" s="26">
        <f>SUMIFS(Финансы[Сумма], Финансы[Продукт], $B22, Финансы[Квартал], F$20)</f>
        <v>4991235.1129056783</v>
      </c>
    </row>
    <row r="23" spans="2:11" ht="23.4" x14ac:dyDescent="0.3">
      <c r="B23" s="8" t="s">
        <v>13</v>
      </c>
      <c r="C23" s="26">
        <f>SUMIFS(Финансы[Сумма], Финансы[Продукт], $B23, Финансы[Квартал], C$20)</f>
        <v>8849820.127815498</v>
      </c>
      <c r="D23" s="26">
        <f>SUMIFS(Финансы[Сумма], Финансы[Продукт], $B23, Финансы[Квартал], D$20)</f>
        <v>5867434.8919673311</v>
      </c>
      <c r="E23" s="26">
        <f>SUMIFS(Финансы[Сумма], Финансы[Продукт], $B23, Финансы[Квартал], E$20)</f>
        <v>4490893.0608828636</v>
      </c>
      <c r="F23" s="26">
        <f>SUMIFS(Финансы[Сумма], Финансы[Продукт], $B23, Финансы[Квартал], F$20)</f>
        <v>3276753.3887649914</v>
      </c>
      <c r="K23" s="29" t="s">
        <v>71</v>
      </c>
    </row>
    <row r="24" spans="2:11" x14ac:dyDescent="0.3">
      <c r="B24" s="8" t="s">
        <v>16</v>
      </c>
      <c r="C24" s="26">
        <f>SUMIFS(Финансы[Сумма], Финансы[Продукт], $B24, Финансы[Квартал], C$20)</f>
        <v>7010148.2318410072</v>
      </c>
      <c r="D24" s="26">
        <f>SUMIFS(Финансы[Сумма], Финансы[Продукт], $B24, Финансы[Квартал], D$20)</f>
        <v>3163385.2128203162</v>
      </c>
      <c r="E24" s="26">
        <f>SUMIFS(Финансы[Сумма], Финансы[Продукт], $B24, Финансы[Квартал], E$20)</f>
        <v>1641906.1038358856</v>
      </c>
      <c r="F24" s="26">
        <f>SUMIFS(Финансы[Сумма], Финансы[Продукт], $B24, Финансы[Квартал], F$20)</f>
        <v>5736656.2130248873</v>
      </c>
    </row>
    <row r="25" spans="2:11" x14ac:dyDescent="0.3">
      <c r="B25" s="8" t="s">
        <v>17</v>
      </c>
      <c r="C25" s="26">
        <f>SUMIFS(Финансы[Сумма], Финансы[Продукт], $B25, Финансы[Квартал], C$20)</f>
        <v>672392.18105339864</v>
      </c>
      <c r="D25" s="26">
        <f>SUMIFS(Финансы[Сумма], Финансы[Продукт], $B25, Финансы[Квартал], D$20)</f>
        <v>730756.93431061378</v>
      </c>
      <c r="E25" s="26">
        <f>SUMIFS(Финансы[Сумма], Финансы[Продукт], $B25, Финансы[Квартал], E$20)</f>
        <v>11402514.115431102</v>
      </c>
      <c r="F25" s="26">
        <f>SUMIFS(Финансы[Сумма], Финансы[Продукт], $B25, Финансы[Квартал], F$20)</f>
        <v>2887291.8484658888</v>
      </c>
    </row>
    <row r="26" spans="2:11" x14ac:dyDescent="0.3">
      <c r="C26" s="23"/>
    </row>
    <row r="27" spans="2:11" x14ac:dyDescent="0.3">
      <c r="C27" s="27">
        <f>SUM(C21:C26)</f>
        <v>30756006.92402786</v>
      </c>
      <c r="D27" s="27">
        <f>SUM(D21:D26)</f>
        <v>28058251.209856071</v>
      </c>
      <c r="E27" s="27">
        <f>SUM(E21:E26)</f>
        <v>48165371.872154571</v>
      </c>
      <c r="F27" s="27">
        <f>SUM(F21:F26)</f>
        <v>24406524.524731215</v>
      </c>
    </row>
  </sheetData>
  <hyperlinks>
    <hyperlink ref="K23" location="Панель_Продажи!A1" display="К дашборду Продажи" xr:uid="{06704940-9F5B-4DFD-89FC-4656287F9964}"/>
  </hyperlink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123292F-9F72-4BB9-BAED-ADBA442C18C4}">
            <xm:f>C$20=Фин_промежут!$I$1</xm:f>
            <x14:dxf/>
          </x14:cfRule>
          <xm:sqref>B20:F20</xm:sqref>
        </x14:conditionalFormatting>
      </x14:conditionalFormattings>
    </ex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FCA90-F0ED-4EAA-90BF-A379C03D75E7}">
  <dimension ref="L1"/>
  <sheetViews>
    <sheetView showGridLines="0" showRowColHeaders="0" tabSelected="1" workbookViewId="0">
      <selection activeCell="AA18" sqref="AA18"/>
    </sheetView>
  </sheetViews>
  <sheetFormatPr defaultRowHeight="14.4" x14ac:dyDescent="0.3"/>
  <sheetData>
    <row r="1" spans="12:12" x14ac:dyDescent="0.3">
      <c r="L1">
        <v>1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32" r:id="rId3" name="Scroll Bar 12">
              <controlPr defaultSize="0" autoPict="0">
                <anchor moveWithCells="1">
                  <from>
                    <xdr:col>21</xdr:col>
                    <xdr:colOff>30480</xdr:colOff>
                    <xdr:row>4</xdr:row>
                    <xdr:rowOff>7620</xdr:rowOff>
                  </from>
                  <to>
                    <xdr:col>21</xdr:col>
                    <xdr:colOff>403860</xdr:colOff>
                    <xdr:row>28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4" name="Drop Down 13">
              <controlPr defaultSize="0" autoLine="0" autoPict="0">
                <anchor moveWithCells="1">
                  <from>
                    <xdr:col>11</xdr:col>
                    <xdr:colOff>7620</xdr:colOff>
                    <xdr:row>28</xdr:row>
                    <xdr:rowOff>15240</xdr:rowOff>
                  </from>
                  <to>
                    <xdr:col>21</xdr:col>
                    <xdr:colOff>411480</xdr:colOff>
                    <xdr:row>29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5" name="Group Box 14">
              <controlPr defaultSize="0" autoFill="0" autoPict="0">
                <anchor moveWithCells="1">
                  <from>
                    <xdr:col>3</xdr:col>
                    <xdr:colOff>320040</xdr:colOff>
                    <xdr:row>16</xdr:row>
                    <xdr:rowOff>30480</xdr:rowOff>
                  </from>
                  <to>
                    <xdr:col>4</xdr:col>
                    <xdr:colOff>449580</xdr:colOff>
                    <xdr:row>26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6" name="Option Button 15">
              <controlPr defaultSize="0" autoFill="0" autoLine="0" autoPict="0">
                <anchor moveWithCells="1">
                  <from>
                    <xdr:col>3</xdr:col>
                    <xdr:colOff>335280</xdr:colOff>
                    <xdr:row>18</xdr:row>
                    <xdr:rowOff>7620</xdr:rowOff>
                  </from>
                  <to>
                    <xdr:col>4</xdr:col>
                    <xdr:colOff>373380</xdr:colOff>
                    <xdr:row>19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7" name="Option Button 16">
              <controlPr defaultSize="0" autoFill="0" autoLine="0" autoPict="0">
                <anchor moveWithCells="1">
                  <from>
                    <xdr:col>3</xdr:col>
                    <xdr:colOff>327660</xdr:colOff>
                    <xdr:row>19</xdr:row>
                    <xdr:rowOff>83820</xdr:rowOff>
                  </from>
                  <to>
                    <xdr:col>4</xdr:col>
                    <xdr:colOff>312420</xdr:colOff>
                    <xdr:row>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8" name="Option Button 17">
              <controlPr defaultSize="0" autoFill="0" autoLine="0" autoPict="0">
                <anchor moveWithCells="1">
                  <from>
                    <xdr:col>3</xdr:col>
                    <xdr:colOff>350520</xdr:colOff>
                    <xdr:row>20</xdr:row>
                    <xdr:rowOff>129540</xdr:rowOff>
                  </from>
                  <to>
                    <xdr:col>4</xdr:col>
                    <xdr:colOff>335280</xdr:colOff>
                    <xdr:row>22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9" name="Option Button 18">
              <controlPr defaultSize="0" autoFill="0" autoLine="0" autoPict="0">
                <anchor moveWithCells="1">
                  <from>
                    <xdr:col>3</xdr:col>
                    <xdr:colOff>335280</xdr:colOff>
                    <xdr:row>22</xdr:row>
                    <xdr:rowOff>53340</xdr:rowOff>
                  </from>
                  <to>
                    <xdr:col>4</xdr:col>
                    <xdr:colOff>365760</xdr:colOff>
                    <xdr:row>24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Фин_промежут</vt:lpstr>
      <vt:lpstr>Прод_промежут</vt:lpstr>
      <vt:lpstr>Продажи</vt:lpstr>
      <vt:lpstr>Финансы</vt:lpstr>
      <vt:lpstr>Панель_Финансы</vt:lpstr>
      <vt:lpstr>Панель_Продажи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2021-11-27T11:18:12Z</dcterms:created>
  <dcterms:modified xsi:type="dcterms:W3CDTF">2026-05-14T22:38:26Z</dcterms:modified>
</cp:coreProperties>
</file>